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5768a799a5654c5/Pulpit/Portfolio/"/>
    </mc:Choice>
  </mc:AlternateContent>
  <xr:revisionPtr revIDLastSave="210" documentId="6_{6C506BD0-8409-47DE-9BE0-4A0A9138E8AB}" xr6:coauthVersionLast="47" xr6:coauthVersionMax="47" xr10:uidLastSave="{88E9237F-C8BF-46B0-AAAD-CEE20383F518}"/>
  <bookViews>
    <workbookView xWindow="-15" yWindow="0" windowWidth="28815" windowHeight="15600" firstSheet="4" activeTab="8" xr2:uid="{00000000-000D-0000-FFFF-FFFF00000000}"/>
  </bookViews>
  <sheets>
    <sheet name="Sales by category" sheetId="2" r:id="rId1"/>
    <sheet name="Margin analysis" sheetId="5" r:id="rId2"/>
    <sheet name="monthly sales trend" sheetId="6" r:id="rId3"/>
    <sheet name="TOP 10 Product" sheetId="7" r:id="rId4"/>
    <sheet name="Units by Category" sheetId="8" r:id="rId5"/>
    <sheet name="Profitability" sheetId="9" r:id="rId6"/>
    <sheet name="Analist „ABC”" sheetId="10" r:id="rId7"/>
    <sheet name="Top_Categories" sheetId="11" r:id="rId8"/>
    <sheet name="Region_Profit" sheetId="12" r:id="rId9"/>
    <sheet name="Sales" sheetId="1" r:id="rId10"/>
  </sheets>
  <calcPr calcId="191029"/>
  <pivotCaches>
    <pivotCache cacheId="0" r:id="rId11"/>
    <pivotCache cacheId="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C6" i="10"/>
  <c r="C7" i="10"/>
  <c r="C8" i="10"/>
  <c r="C9" i="10"/>
  <c r="C10" i="10"/>
  <c r="C11" i="10"/>
  <c r="C12" i="10"/>
  <c r="C13" i="10"/>
  <c r="C14" i="10"/>
  <c r="C4" i="10"/>
  <c r="D4" i="10"/>
  <c r="D5" i="10" s="1"/>
  <c r="D6" i="10" s="1"/>
  <c r="D7" i="10" s="1"/>
  <c r="D8" i="10" s="1"/>
  <c r="D9" i="10" s="1"/>
  <c r="D10" i="10" s="1"/>
  <c r="D11" i="10" s="1"/>
  <c r="D12" i="10" s="1"/>
  <c r="D13" i="10" s="1"/>
  <c r="D14" i="10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2" i="1"/>
  <c r="E15" i="7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2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2" i="1"/>
</calcChain>
</file>

<file path=xl/sharedStrings.xml><?xml version="1.0" encoding="utf-8"?>
<sst xmlns="http://schemas.openxmlformats.org/spreadsheetml/2006/main" count="10661" uniqueCount="100">
  <si>
    <t>Date</t>
  </si>
  <si>
    <t>Product</t>
  </si>
  <si>
    <t>Category</t>
  </si>
  <si>
    <t>Region</t>
  </si>
  <si>
    <t>Price</t>
  </si>
  <si>
    <t>Cost</t>
  </si>
  <si>
    <t>Quantity</t>
  </si>
  <si>
    <t>Laptop A</t>
  </si>
  <si>
    <t>Electronics</t>
  </si>
  <si>
    <t>South</t>
  </si>
  <si>
    <t>Pen</t>
  </si>
  <si>
    <t>Office Supplies</t>
  </si>
  <si>
    <t>Monitor</t>
  </si>
  <si>
    <t>West</t>
  </si>
  <si>
    <t>Mouse</t>
  </si>
  <si>
    <t>Accessories</t>
  </si>
  <si>
    <t>Headphones</t>
  </si>
  <si>
    <t>East</t>
  </si>
  <si>
    <t>North</t>
  </si>
  <si>
    <t>Chair</t>
  </si>
  <si>
    <t>Furniture</t>
  </si>
  <si>
    <t>Desk</t>
  </si>
  <si>
    <t>Laptop B</t>
  </si>
  <si>
    <t>Notebook</t>
  </si>
  <si>
    <t>Lamp</t>
  </si>
  <si>
    <t>Keyboard</t>
  </si>
  <si>
    <t>Revenue</t>
  </si>
  <si>
    <t>CostTotal</t>
  </si>
  <si>
    <t>Margin</t>
  </si>
  <si>
    <t>Margin%</t>
  </si>
  <si>
    <t>Month</t>
  </si>
  <si>
    <t>Suma z Revenue</t>
  </si>
  <si>
    <t>Etykiety wierszy</t>
  </si>
  <si>
    <t>Suma końcowa</t>
  </si>
  <si>
    <t xml:space="preserve">Wnioski z przychodu </t>
  </si>
  <si>
    <t>1.Największy przychód jest z elektroniki i akcesori</t>
  </si>
  <si>
    <t>2.Najmniejszy przychód mamy z materiałów biurowych</t>
  </si>
  <si>
    <t>Różnica między najwyszym przychodem a najniższym
 wynosi ≈ 2 052 805,57</t>
  </si>
  <si>
    <t>Średnia z Margin%</t>
  </si>
  <si>
    <t>Etykiety kolumn</t>
  </si>
  <si>
    <t>Wnioski z marży</t>
  </si>
  <si>
    <t>1.Marża trzyma się na tym samym poziomie
 pomino małych różnic na categoriach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</si>
  <si>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</si>
  <si>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</si>
  <si>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</si>
  <si>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</si>
  <si>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</si>
  <si>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</si>
  <si>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</si>
  <si>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</si>
  <si>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</si>
  <si>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</si>
  <si>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</si>
  <si>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</si>
  <si>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</si>
  <si>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</si>
  <si>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</si>
  <si>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</si>
  <si>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</si>
  <si>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</si>
  <si>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</si>
  <si>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</si>
  <si>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</si>
  <si>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</si>
  <si>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</si>
  <si>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</si>
  <si>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</si>
  <si>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</si>
  <si>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</si>
  <si>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</si>
  <si>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</si>
  <si>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</si>
  <si>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</si>
  <si>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</si>
  <si>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</si>
  <si>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</si>
  <si>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</si>
  <si>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</si>
  <si>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Wnioski</t>
  </si>
  <si>
    <t>Sprzedaż z biegiem czasu wzrasta,
możemy zauważyć tendencję rosnącą</t>
  </si>
  <si>
    <t>Top 10 Produktów</t>
  </si>
  <si>
    <t>1. Laptop A</t>
  </si>
  <si>
    <t>2.Chair</t>
  </si>
  <si>
    <t>3.Headphones</t>
  </si>
  <si>
    <t>4.Monitor</t>
  </si>
  <si>
    <t>5.Keyboard</t>
  </si>
  <si>
    <t>6.Notebook</t>
  </si>
  <si>
    <t>7.Desk</t>
  </si>
  <si>
    <t>8.Mouse</t>
  </si>
  <si>
    <t>9.LaptopB</t>
  </si>
  <si>
    <t>10.Lamp</t>
  </si>
  <si>
    <t>Suma</t>
  </si>
  <si>
    <t>Suma z Quantity</t>
  </si>
  <si>
    <t>Analiza ilości sprzedanych produktów pokazała, że trzy główne kategorie – Accessories, Electronics i Furniture – mają bardzo zbliżony wolumen (ok. 5200 sztuk każda)</t>
  </si>
  <si>
    <t>Najsłabiej sprzedającą się kategorią okazały się Office Supplies, z wynikiem 3354 sztuk, co oznacza ponad 35% niższy wolumen niż w pozostałych grupach produktowych.</t>
  </si>
  <si>
    <t>Profit</t>
  </si>
  <si>
    <t>Suma z Profit</t>
  </si>
  <si>
    <r>
      <rPr>
        <b/>
        <sz val="11"/>
        <color theme="1"/>
        <rFont val="Calibri"/>
        <family val="2"/>
        <charset val="238"/>
        <scheme val="minor"/>
      </rPr>
      <t>Najbardziej rentowne kategorie to</t>
    </r>
    <r>
      <rPr>
        <sz val="11"/>
        <color theme="1"/>
        <rFont val="Calibri"/>
        <family val="2"/>
        <scheme val="minor"/>
      </rPr>
      <t>:
1. Accessories (1,56 mln zł)
2. Furniture (1,55 mln zł)</t>
    </r>
  </si>
  <si>
    <r>
      <rPr>
        <b/>
        <sz val="11"/>
        <color theme="1"/>
        <rFont val="Calibri"/>
        <family val="2"/>
        <charset val="238"/>
        <scheme val="minor"/>
      </rPr>
      <t>Najsłabiej wypadająca kategoria</t>
    </r>
    <r>
      <rPr>
        <sz val="11"/>
        <color theme="1"/>
        <rFont val="Calibri"/>
        <family val="2"/>
        <scheme val="minor"/>
      </rPr>
      <t xml:space="preserve">
Office Supplies (0,99 mln zł)
O ponad 35–40% słabsza od topowych kategorii.
Możliwe przyczyny:
1. niższa cena jednostkowa
2. niższa marża
3. mniejszy wolumen sprzedaży</t>
    </r>
  </si>
  <si>
    <t>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</si>
</sst>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1" xfId="1" applyNumberFormat="1" applyFont="1" applyBorder="1"/>
    <xf numFmtId="10" fontId="0" fillId="0" borderId="0" xfId="1" applyNumberFormat="1" applyFont="1"/>
    <xf numFmtId="0" fontId="4" fillId="0" borderId="0" xfId="0" applyFont="1"/>
    <xf numFmtId="2" fontId="0" fillId="0" borderId="0" xfId="0" applyNumberFormat="1"/>
    <xf numFmtId="9" fontId="0" fillId="0" borderId="0" xfId="1" applyFont="1"/>
    <xf numFmtId="0" fontId="0" fillId="0" borderId="8" xfId="0" applyBorder="1"/>
    <xf numFmtId="9" fontId="0" fillId="0" borderId="8" xfId="1" applyFont="1" applyBorder="1"/>
    <xf numFmtId="9" fontId="0" fillId="0" borderId="1" xfId="0" applyNumberFormat="1" applyBorder="1"/>
    <xf numFmtId="9" fontId="0" fillId="0" borderId="0" xfId="1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4" fillId="0" borderId="8" xfId="1" applyNumberFormat="1" applyFont="1" applyBorder="1" applyAlignment="1">
      <alignment horizontal="center" vertical="center"/>
    </xf>
    <xf numFmtId="2" fontId="4" fillId="0" borderId="9" xfId="1" applyNumberFormat="1" applyFont="1" applyBorder="1" applyAlignment="1">
      <alignment horizontal="center" vertical="center"/>
    </xf>
    <xf numFmtId="2" fontId="4" fillId="0" borderId="10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NumberFormat="1"/>
  </cellXfs>
  <cellStyles count="2">
    <cellStyle name="Normalny" xfId="0" builtinId="0"/>
    <cellStyle name="Procentowy" xfId="1" builtinId="5"/>
  </cellStyles>
  <dxfs count="3">
    <dxf>
      <numFmt numFmtId="2" formatCode="0.00"/>
    </dxf>
    <dxf>
      <numFmt numFmtId="2" formatCode="0.00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[Portfolio_Project1_Sales.xlsx]monthly sales trend!Tabela przestawna1</c:name>
    <c:fmtId val="12"/>
  </c:pivotSource>
  <c:chart>
    <c:autoTitleDeleted val="1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Suma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'monthly sales trend'!$A$4:$A$40</c:f>
              <c:strCache>
                <c:ptCount val="36"/>
                <c:pt idx="0">
                  <c:v>2022-08</c:v>
                </c:pt>
                <c:pt idx="1">
                  <c:v>2024-07</c:v>
                </c:pt>
                <c:pt idx="2">
                  <c:v>2022-12</c:v>
                </c:pt>
                <c:pt idx="3">
                  <c:v>2024-02</c:v>
                </c:pt>
                <c:pt idx="4">
                  <c:v>2023-09</c:v>
                </c:pt>
                <c:pt idx="5">
                  <c:v>2023-11</c:v>
                </c:pt>
                <c:pt idx="6">
                  <c:v>2022-04</c:v>
                </c:pt>
                <c:pt idx="7">
                  <c:v>2022-05</c:v>
                </c:pt>
                <c:pt idx="8">
                  <c:v>2023-01</c:v>
                </c:pt>
                <c:pt idx="9">
                  <c:v>2024-05</c:v>
                </c:pt>
                <c:pt idx="10">
                  <c:v>2023-02</c:v>
                </c:pt>
                <c:pt idx="11">
                  <c:v>2022-01</c:v>
                </c:pt>
                <c:pt idx="12">
                  <c:v>2024-04</c:v>
                </c:pt>
                <c:pt idx="13">
                  <c:v>2024-10</c:v>
                </c:pt>
                <c:pt idx="14">
                  <c:v>2024-12</c:v>
                </c:pt>
                <c:pt idx="15">
                  <c:v>2023-12</c:v>
                </c:pt>
                <c:pt idx="16">
                  <c:v>2023-05</c:v>
                </c:pt>
                <c:pt idx="17">
                  <c:v>2024-11</c:v>
                </c:pt>
                <c:pt idx="18">
                  <c:v>2022-03</c:v>
                </c:pt>
                <c:pt idx="19">
                  <c:v>2023-07</c:v>
                </c:pt>
                <c:pt idx="20">
                  <c:v>2023-06</c:v>
                </c:pt>
                <c:pt idx="21">
                  <c:v>2022-06</c:v>
                </c:pt>
                <c:pt idx="22">
                  <c:v>2024-09</c:v>
                </c:pt>
                <c:pt idx="23">
                  <c:v>2022-09</c:v>
                </c:pt>
                <c:pt idx="24">
                  <c:v>2023-10</c:v>
                </c:pt>
                <c:pt idx="25">
                  <c:v>2022-10</c:v>
                </c:pt>
                <c:pt idx="26">
                  <c:v>2022-11</c:v>
                </c:pt>
                <c:pt idx="27">
                  <c:v>2023-08</c:v>
                </c:pt>
                <c:pt idx="28">
                  <c:v>2022-02</c:v>
                </c:pt>
                <c:pt idx="29">
                  <c:v>2023-04</c:v>
                </c:pt>
                <c:pt idx="30">
                  <c:v>2024-06</c:v>
                </c:pt>
                <c:pt idx="31">
                  <c:v>2024-08</c:v>
                </c:pt>
                <c:pt idx="32">
                  <c:v>2023-03</c:v>
                </c:pt>
                <c:pt idx="33">
                  <c:v>2022-07</c:v>
                </c:pt>
                <c:pt idx="34">
                  <c:v>2024-03</c:v>
                </c:pt>
                <c:pt idx="35">
                  <c:v>2024-01</c:v>
                </c:pt>
              </c:strCache>
            </c:strRef>
          </c:cat>
          <c:val>
            <c:numRef>
              <c:f>'monthly sales trend'!$B$4:$B$40</c:f>
              <c:numCache>
                <c:formatCode>General</c:formatCode>
                <c:ptCount val="36"/>
                <c:pt idx="0">
                  <c:v>412573.28</c:v>
                </c:pt>
                <c:pt idx="1">
                  <c:v>434228.76</c:v>
                </c:pt>
                <c:pt idx="2">
                  <c:v>437737.14999999997</c:v>
                </c:pt>
                <c:pt idx="3">
                  <c:v>452418.37000000017</c:v>
                </c:pt>
                <c:pt idx="4">
                  <c:v>468929.11000000004</c:v>
                </c:pt>
                <c:pt idx="5">
                  <c:v>472087.21000000008</c:v>
                </c:pt>
                <c:pt idx="6">
                  <c:v>473054.88999999996</c:v>
                </c:pt>
                <c:pt idx="7">
                  <c:v>480253.75</c:v>
                </c:pt>
                <c:pt idx="8">
                  <c:v>486291.95</c:v>
                </c:pt>
                <c:pt idx="9">
                  <c:v>498053.38999999984</c:v>
                </c:pt>
                <c:pt idx="10">
                  <c:v>503081.06</c:v>
                </c:pt>
                <c:pt idx="11">
                  <c:v>504693.98999999987</c:v>
                </c:pt>
                <c:pt idx="12">
                  <c:v>508335.24999999994</c:v>
                </c:pt>
                <c:pt idx="13">
                  <c:v>511843.98000000016</c:v>
                </c:pt>
                <c:pt idx="14">
                  <c:v>516535.6700000001</c:v>
                </c:pt>
                <c:pt idx="15">
                  <c:v>516660.54999999993</c:v>
                </c:pt>
                <c:pt idx="16">
                  <c:v>516797.87000000017</c:v>
                </c:pt>
                <c:pt idx="17">
                  <c:v>517918.10999999993</c:v>
                </c:pt>
                <c:pt idx="18">
                  <c:v>521573.00999999989</c:v>
                </c:pt>
                <c:pt idx="19">
                  <c:v>523396.93000000005</c:v>
                </c:pt>
                <c:pt idx="20">
                  <c:v>527968.92999999993</c:v>
                </c:pt>
                <c:pt idx="21">
                  <c:v>531696.1100000001</c:v>
                </c:pt>
                <c:pt idx="22">
                  <c:v>534796.60999999975</c:v>
                </c:pt>
                <c:pt idx="23">
                  <c:v>548104.75</c:v>
                </c:pt>
                <c:pt idx="24">
                  <c:v>562485.46</c:v>
                </c:pt>
                <c:pt idx="25">
                  <c:v>564880.65</c:v>
                </c:pt>
                <c:pt idx="26">
                  <c:v>565377.18000000017</c:v>
                </c:pt>
                <c:pt idx="27">
                  <c:v>566578.27</c:v>
                </c:pt>
                <c:pt idx="28">
                  <c:v>567807.37999999989</c:v>
                </c:pt>
                <c:pt idx="29">
                  <c:v>570080.63</c:v>
                </c:pt>
                <c:pt idx="30">
                  <c:v>571428.82999999996</c:v>
                </c:pt>
                <c:pt idx="31">
                  <c:v>574242.81999999995</c:v>
                </c:pt>
                <c:pt idx="32">
                  <c:v>586010.58000000031</c:v>
                </c:pt>
                <c:pt idx="33">
                  <c:v>591377.85000000009</c:v>
                </c:pt>
                <c:pt idx="34">
                  <c:v>616123.16999999969</c:v>
                </c:pt>
                <c:pt idx="35">
                  <c:v>621827.06000000052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E-48C5-9954-08E16E28C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291696"/>
        <c:axId val="1898292176"/>
      </c:lineChart>
      <c:catAx>
        <c:axId val="189829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8292176"/>
        <c:crosses val="autoZero"/>
        <c:auto val="1"/>
        <c:lblAlgn val="ctr"/>
        <c:lblOffset val="100"/>
        <c:noMultiLvlLbl val="0"/>
      </c:catAx>
      <c:valAx>
        <c:axId val="1898292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829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[Portfolio_Project1_Sales.xlsx]Top_Categories!Tabela przestawna1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Top_Categories!$B$3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Top_Categories!$A$4:$A$8</c:f>
              <c:strCache>
                <c:ptCount val="4"/>
                <c:pt idx="0">
                  <c:v>Electronics</c:v>
                </c:pt>
                <c:pt idx="1">
                  <c:v>Accessories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Top_Categories!$B$4:$B$8</c:f>
              <c:numCache>
                <c:formatCode>General</c:formatCode>
                <c:ptCount val="4"/>
                <c:pt idx="0">
                  <c:v>5296170.76</c:v>
                </c:pt>
                <c:pt idx="1">
                  <c:v>5218963.4699999895</c:v>
                </c:pt>
                <c:pt idx="2">
                  <c:v>5098751.1399999894</c:v>
                </c:pt>
                <c:pt idx="3">
                  <c:v>3243365.1899999948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A-4F3A-962C-EF06B58A44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2341728"/>
        <c:axId val="742344128"/>
      </c:barChart>
      <c:catAx>
        <c:axId val="74234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2344128"/>
        <c:crosses val="autoZero"/>
        <c:auto val="1"/>
        <c:lblAlgn val="ctr"/>
        <c:lblOffset val="100"/>
        <c:noMultiLvlLbl val="0"/>
      </c:catAx>
      <c:valAx>
        <c:axId val="7423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2341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[Portfolio_Project1_Sales.xlsx]Region_Profit!Tabela przestawna2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Region_Profit!$B$3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Region_Profit!$A$4:$A$8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Region_Profit!$B$4:$B$8</c:f>
              <c:numCache>
                <c:formatCode>General</c:formatCode>
                <c:ptCount val="4"/>
                <c:pt idx="0">
                  <c:v>1507624.8699999999</c:v>
                </c:pt>
                <c:pt idx="1">
                  <c:v>1374854.9500000007</c:v>
                </c:pt>
                <c:pt idx="2">
                  <c:v>1410354.5399999975</c:v>
                </c:pt>
                <c:pt idx="3">
                  <c:v>1356238.170000003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6-433A-AAF2-FB9170533F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9435312"/>
        <c:axId val="549434832"/>
      </c:barChart>
      <c:catAx>
        <c:axId val="54943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9434832"/>
        <c:crosses val="autoZero"/>
        <c:auto val="1"/>
        <c:lblAlgn val="ctr"/>
        <c:lblOffset val="100"/>
        <c:noMultiLvlLbl val="0"/>
      </c:catAx>
      <c:valAx>
        <c:axId val="5494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94353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19</xdr:col>
      <xdr:colOff>228600</xdr:colOff>
      <xdr:row>32</xdr:row>
      <xdr:rowOff>76200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166BA79-685C-0634-5880-8313DDB77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2</xdr:row>
      <xdr:rowOff>14287</xdr:rowOff>
    </xdr:from>
    <xdr:to>
      <xdr:col>17</xdr:col>
      <xdr:colOff>171449</xdr:colOff>
      <xdr:row>23</xdr:row>
      <xdr:rowOff>104775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BD47ACD-24DD-B658-2174-AE76922A2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4761</xdr:colOff>
      <xdr:row>1</xdr:row>
      <xdr:rowOff>0</xdr:rowOff>
    </xdr:from>
    <xdr:to>
      <xdr:col>15</xdr:col>
      <xdr:colOff>276224</xdr:colOff>
      <xdr:row>22</xdr:row>
      <xdr:rowOff>80962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7570C56-52ED-B930-BCD0-810CEA577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 Gmuzdek" refreshedDate="45999.76023634259" createdVersion="8" refreshedVersion="8" minRefreshableVersion="3" recordCount="3500" xr:uid="{2699106A-C9BD-49B5-8BDF-A211B70FF139}">
  <cacheSource type="worksheet">
    <worksheetSource ref="A1:L3501" sheet="Sales"/>
  </cacheSource>
  <cacheFields count="12">
    <cacheField name="Date" numFmtId="14">
      <sharedItems containsSemiMixedTypes="0" containsNonDate="0" containsDate="1" containsString="0" minDate="2022-01-01T00:00:00" maxDate="2025-01-01T00:00:00"/>
    </cacheField>
    <cacheField name="Product" numFmtId="0">
      <sharedItems count="11">
        <s v="Laptop A"/>
        <s v="Pen"/>
        <s v="Monitor"/>
        <s v="Mouse"/>
        <s v="Headphones"/>
        <s v="Chair"/>
        <s v="Desk"/>
        <s v="Laptop B"/>
        <s v="Notebook"/>
        <s v="Lamp"/>
        <s v="Keyboard"/>
      </sharedItems>
    </cacheField>
    <cacheField name="Category" numFmtId="0">
      <sharedItems count="4">
        <s v="Electronics"/>
        <s v="Office Supplies"/>
        <s v="Accessories"/>
        <s v="Furniture"/>
      </sharedItems>
    </cacheField>
    <cacheField name="Region" numFmtId="0">
      <sharedItems count="4">
        <s v="South"/>
        <s v="West"/>
        <s v="East"/>
        <s v="North"/>
      </sharedItems>
    </cacheField>
    <cacheField name="Price" numFmtId="0">
      <sharedItems containsSemiMixedTypes="0" containsString="0" containsNumber="1" minValue="20.16" maxValue="1999.67"/>
    </cacheField>
    <cacheField name="Cost" numFmtId="0">
      <sharedItems containsSemiMixedTypes="0" containsString="0" containsNumber="1" minValue="10.98" maxValue="1774.41"/>
    </cacheField>
    <cacheField name="Quantity" numFmtId="0">
      <sharedItems containsSemiMixedTypes="0" containsString="0" containsNumber="1" containsInteger="1" minValue="1" maxValue="10"/>
    </cacheField>
    <cacheField name="Revenue" numFmtId="0">
      <sharedItems containsSemiMixedTypes="0" containsString="0" containsNumber="1" minValue="21.62" maxValue="19845"/>
    </cacheField>
    <cacheField name="CostTotal" numFmtId="0">
      <sharedItems containsSemiMixedTypes="0" containsString="0" containsNumber="1" minValue="15.9" maxValue="17039.900000000001"/>
    </cacheField>
    <cacheField name="Margin" numFmtId="0">
      <sharedItems containsSemiMixedTypes="0" containsString="0" containsNumber="1" minValue="2.8300000000000018" maxValue="9645.9000000000015"/>
    </cacheField>
    <cacheField name="Margin%" numFmtId="10">
      <sharedItems containsSemiMixedTypes="0" containsString="0" containsNumber="1" minValue="0.10017495946061272" maxValue="0.499796286595658"/>
    </cacheField>
    <cacheField name="Month" numFmtId="0">
      <sharedItems count="36">
        <s v="2023-06"/>
        <s v="2022-11"/>
        <s v="2024-11"/>
        <s v="2024-05"/>
        <s v="2024-06"/>
        <s v="2023-10"/>
        <s v="2023-04"/>
        <s v="2022-03"/>
        <s v="2022-07"/>
        <s v="2022-01"/>
        <s v="2023-11"/>
        <s v="2023-07"/>
        <s v="2022-09"/>
        <s v="2023-01"/>
        <s v="2023-08"/>
        <s v="2022-08"/>
        <s v="2024-09"/>
        <s v="2024-10"/>
        <s v="2022-06"/>
        <s v="2023-03"/>
        <s v="2022-02"/>
        <s v="2024-08"/>
        <s v="2024-04"/>
        <s v="2024-12"/>
        <s v="2023-09"/>
        <s v="2022-10"/>
        <s v="2024-01"/>
        <s v="2023-02"/>
        <s v="2024-07"/>
        <s v="2024-03"/>
        <s v="2023-12"/>
        <s v="2023-05"/>
        <s v="2022-04"/>
        <s v="2022-12"/>
        <s v="2024-02"/>
        <s v="2022-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 Gmuzdek" refreshedDate="46001.382115972221" createdVersion="8" refreshedVersion="8" minRefreshableVersion="3" recordCount="3500" xr:uid="{7FCA7F95-6488-42C3-BA91-DF369AE866CB}">
  <cacheSource type="worksheet">
    <worksheetSource ref="A1:M3501" sheet="Sales"/>
  </cacheSource>
  <cacheFields count="13">
    <cacheField name="Date" numFmtId="14">
      <sharedItems containsSemiMixedTypes="0" containsNonDate="0" containsDate="1" containsString="0" minDate="2022-01-01T00:00:00" maxDate="2025-01-01T00:00:00"/>
    </cacheField>
    <cacheField name="Product" numFmtId="0">
      <sharedItems count="11">
        <s v="Laptop A"/>
        <s v="Pen"/>
        <s v="Monitor"/>
        <s v="Mouse"/>
        <s v="Headphones"/>
        <s v="Chair"/>
        <s v="Desk"/>
        <s v="Laptop B"/>
        <s v="Notebook"/>
        <s v="Lamp"/>
        <s v="Keyboard"/>
      </sharedItems>
    </cacheField>
    <cacheField name="Category" numFmtId="0">
      <sharedItems count="4">
        <s v="Electronics"/>
        <s v="Office Supplies"/>
        <s v="Accessories"/>
        <s v="Furniture"/>
      </sharedItems>
    </cacheField>
    <cacheField name="Region" numFmtId="0">
      <sharedItems count="4">
        <s v="South"/>
        <s v="West"/>
        <s v="East"/>
        <s v="North"/>
      </sharedItems>
    </cacheField>
    <cacheField name="Price" numFmtId="0">
      <sharedItems containsSemiMixedTypes="0" containsString="0" containsNumber="1" minValue="20.16" maxValue="1999.67"/>
    </cacheField>
    <cacheField name="Cost" numFmtId="0">
      <sharedItems containsSemiMixedTypes="0" containsString="0" containsNumber="1" minValue="10.98" maxValue="1774.41"/>
    </cacheField>
    <cacheField name="Quantity" numFmtId="0">
      <sharedItems containsSemiMixedTypes="0" containsString="0" containsNumber="1" containsInteger="1" minValue="1" maxValue="10"/>
    </cacheField>
    <cacheField name="Revenue" numFmtId="0">
      <sharedItems containsSemiMixedTypes="0" containsString="0" containsNumber="1" minValue="21.62" maxValue="19845"/>
    </cacheField>
    <cacheField name="CostTotal" numFmtId="0">
      <sharedItems containsSemiMixedTypes="0" containsString="0" containsNumber="1" minValue="15.9" maxValue="17039.900000000001"/>
    </cacheField>
    <cacheField name="Margin" numFmtId="0">
      <sharedItems containsSemiMixedTypes="0" containsString="0" containsNumber="1" minValue="2.8300000000000018" maxValue="9645.9000000000015"/>
    </cacheField>
    <cacheField name="Margin%" numFmtId="10">
      <sharedItems containsSemiMixedTypes="0" containsString="0" containsNumber="1" minValue="0.10017495946061272" maxValue="0.499796286595658"/>
    </cacheField>
    <cacheField name="Month" numFmtId="0">
      <sharedItems count="36">
        <s v="2023-06"/>
        <s v="2022-11"/>
        <s v="2024-11"/>
        <s v="2024-05"/>
        <s v="2024-06"/>
        <s v="2023-10"/>
        <s v="2023-04"/>
        <s v="2022-03"/>
        <s v="2022-07"/>
        <s v="2022-01"/>
        <s v="2023-11"/>
        <s v="2023-07"/>
        <s v="2022-09"/>
        <s v="2023-01"/>
        <s v="2023-08"/>
        <s v="2022-08"/>
        <s v="2024-09"/>
        <s v="2024-10"/>
        <s v="2022-06"/>
        <s v="2023-03"/>
        <s v="2022-02"/>
        <s v="2024-08"/>
        <s v="2024-04"/>
        <s v="2024-12"/>
        <s v="2023-09"/>
        <s v="2022-10"/>
        <s v="2024-01"/>
        <s v="2023-02"/>
        <s v="2024-07"/>
        <s v="2024-03"/>
        <s v="2023-12"/>
        <s v="2023-05"/>
        <s v="2022-04"/>
        <s v="2022-12"/>
        <s v="2024-02"/>
        <s v="2022-05"/>
      </sharedItems>
    </cacheField>
    <cacheField name="Profit" numFmtId="0">
      <sharedItems containsSemiMixedTypes="0" containsString="0" containsNumber="1" minValue="2.8300000000000018" maxValue="9645.9000000000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3-06-28T00:00:00"/>
    <x v="0"/>
    <x v="0"/>
    <x v="0"/>
    <n v="1641.49"/>
    <n v="1320.71"/>
    <n v="7"/>
    <n v="11490.43"/>
    <n v="9244.9700000000012"/>
    <n v="2245.4599999999991"/>
    <n v="0.19542001474270321"/>
    <x v="0"/>
  </r>
  <r>
    <d v="2022-11-01T00:00:00"/>
    <x v="1"/>
    <x v="1"/>
    <x v="0"/>
    <n v="1368.71"/>
    <n v="691.23"/>
    <n v="5"/>
    <n v="6843.55"/>
    <n v="3456.15"/>
    <n v="3387.4"/>
    <n v="0.49497702215955169"/>
    <x v="1"/>
  </r>
  <r>
    <d v="2024-11-10T00:00:00"/>
    <x v="2"/>
    <x v="0"/>
    <x v="1"/>
    <n v="1865.58"/>
    <n v="1612.14"/>
    <n v="6"/>
    <n v="11193.48"/>
    <n v="9672.84"/>
    <n v="1520.6399999999994"/>
    <n v="0.13585051297719739"/>
    <x v="2"/>
  </r>
  <r>
    <d v="2024-05-26T00:00:00"/>
    <x v="3"/>
    <x v="2"/>
    <x v="0"/>
    <n v="163.13999999999999"/>
    <n v="81.7"/>
    <n v="4"/>
    <n v="652.55999999999995"/>
    <n v="326.8"/>
    <n v="325.75999999999993"/>
    <n v="0.49920313840872865"/>
    <x v="3"/>
  </r>
  <r>
    <d v="2024-06-23T00:00:00"/>
    <x v="2"/>
    <x v="0"/>
    <x v="0"/>
    <n v="1807.93"/>
    <n v="1098.26"/>
    <n v="2"/>
    <n v="3615.86"/>
    <n v="2196.52"/>
    <n v="1419.3400000000001"/>
    <n v="0.39253179050073844"/>
    <x v="4"/>
  </r>
  <r>
    <d v="2024-11-16T00:00:00"/>
    <x v="4"/>
    <x v="2"/>
    <x v="2"/>
    <n v="522.77"/>
    <n v="265.95"/>
    <n v="2"/>
    <n v="1045.54"/>
    <n v="531.9"/>
    <n v="513.64"/>
    <n v="0.49126767029477592"/>
    <x v="2"/>
  </r>
  <r>
    <d v="2023-10-01T00:00:00"/>
    <x v="4"/>
    <x v="2"/>
    <x v="3"/>
    <n v="642.88"/>
    <n v="402.65"/>
    <n v="4"/>
    <n v="2571.52"/>
    <n v="1610.6"/>
    <n v="960.92000000000007"/>
    <n v="0.37367782478845202"/>
    <x v="5"/>
  </r>
  <r>
    <d v="2023-04-06T00:00:00"/>
    <x v="4"/>
    <x v="2"/>
    <x v="1"/>
    <n v="713.78"/>
    <n v="598.36"/>
    <n v="3"/>
    <n v="2141.34"/>
    <n v="1795.08"/>
    <n v="346.26000000000022"/>
    <n v="0.16170248535963472"/>
    <x v="6"/>
  </r>
  <r>
    <d v="2022-03-07T00:00:00"/>
    <x v="5"/>
    <x v="3"/>
    <x v="1"/>
    <n v="1490.26"/>
    <n v="1003.3"/>
    <n v="1"/>
    <n v="1490.26"/>
    <n v="1003.3"/>
    <n v="486.96000000000004"/>
    <n v="0.32676177311341648"/>
    <x v="7"/>
  </r>
  <r>
    <d v="2022-07-07T00:00:00"/>
    <x v="5"/>
    <x v="3"/>
    <x v="3"/>
    <n v="1530.74"/>
    <n v="868.87"/>
    <n v="2"/>
    <n v="3061.48"/>
    <n v="1737.74"/>
    <n v="1323.74"/>
    <n v="0.43238564354495213"/>
    <x v="8"/>
  </r>
  <r>
    <d v="2022-01-21T00:00:00"/>
    <x v="2"/>
    <x v="0"/>
    <x v="0"/>
    <n v="1515.59"/>
    <n v="1213.2"/>
    <n v="1"/>
    <n v="1515.59"/>
    <n v="1213.2"/>
    <n v="302.38999999999987"/>
    <n v="0.19951965901068225"/>
    <x v="9"/>
  </r>
  <r>
    <d v="2023-11-05T00:00:00"/>
    <x v="2"/>
    <x v="0"/>
    <x v="3"/>
    <n v="1569.54"/>
    <n v="1267.6500000000001"/>
    <n v="6"/>
    <n v="9417.24"/>
    <n v="7605.9000000000005"/>
    <n v="1811.3399999999992"/>
    <n v="0.19234297947169227"/>
    <x v="10"/>
  </r>
  <r>
    <d v="2023-07-10T00:00:00"/>
    <x v="3"/>
    <x v="2"/>
    <x v="1"/>
    <n v="1290.77"/>
    <n v="999.7"/>
    <n v="4"/>
    <n v="5163.08"/>
    <n v="3998.8"/>
    <n v="1164.2799999999997"/>
    <n v="0.22550105750830896"/>
    <x v="11"/>
  </r>
  <r>
    <d v="2024-05-26T00:00:00"/>
    <x v="0"/>
    <x v="0"/>
    <x v="0"/>
    <n v="1143.8800000000001"/>
    <n v="581.04999999999995"/>
    <n v="4"/>
    <n v="4575.5200000000004"/>
    <n v="2324.1999999999998"/>
    <n v="2251.3200000000006"/>
    <n v="0.49203587788928915"/>
    <x v="3"/>
  </r>
  <r>
    <d v="2022-09-05T00:00:00"/>
    <x v="4"/>
    <x v="2"/>
    <x v="2"/>
    <n v="747.87"/>
    <n v="403.12"/>
    <n v="6"/>
    <n v="4487.22"/>
    <n v="2418.7200000000003"/>
    <n v="2068.5"/>
    <n v="0.46097583804671932"/>
    <x v="12"/>
  </r>
  <r>
    <d v="2023-01-21T00:00:00"/>
    <x v="6"/>
    <x v="3"/>
    <x v="2"/>
    <n v="431.4"/>
    <n v="276"/>
    <n v="10"/>
    <n v="4314"/>
    <n v="2760"/>
    <n v="1554"/>
    <n v="0.36022253129346316"/>
    <x v="13"/>
  </r>
  <r>
    <d v="2023-08-15T00:00:00"/>
    <x v="1"/>
    <x v="1"/>
    <x v="1"/>
    <n v="322.10000000000002"/>
    <n v="249.05"/>
    <n v="10"/>
    <n v="3221"/>
    <n v="2490.5"/>
    <n v="730.5"/>
    <n v="0.22679292145296492"/>
    <x v="14"/>
  </r>
  <r>
    <d v="2022-08-19T00:00:00"/>
    <x v="2"/>
    <x v="0"/>
    <x v="2"/>
    <n v="1392.68"/>
    <n v="1186.3399999999999"/>
    <n v="4"/>
    <n v="5570.72"/>
    <n v="4745.3599999999997"/>
    <n v="825.36000000000058"/>
    <n v="0.14816038142286825"/>
    <x v="15"/>
  </r>
  <r>
    <d v="2022-07-26T00:00:00"/>
    <x v="7"/>
    <x v="0"/>
    <x v="0"/>
    <n v="496.74"/>
    <n v="333.38"/>
    <n v="2"/>
    <n v="993.48"/>
    <n v="666.76"/>
    <n v="326.72000000000003"/>
    <n v="0.32886419454845595"/>
    <x v="8"/>
  </r>
  <r>
    <d v="2024-09-25T00:00:00"/>
    <x v="2"/>
    <x v="0"/>
    <x v="1"/>
    <n v="1361.41"/>
    <n v="901.56"/>
    <n v="10"/>
    <n v="13614.1"/>
    <n v="9015.5999999999985"/>
    <n v="4598.5000000000018"/>
    <n v="0.3377748070015647"/>
    <x v="16"/>
  </r>
  <r>
    <d v="2022-01-28T00:00:00"/>
    <x v="4"/>
    <x v="2"/>
    <x v="0"/>
    <n v="1550.37"/>
    <n v="1004.18"/>
    <n v="3"/>
    <n v="4651.1099999999997"/>
    <n v="3012.54"/>
    <n v="1638.5699999999997"/>
    <n v="0.35229654856582621"/>
    <x v="9"/>
  </r>
  <r>
    <d v="2024-10-10T00:00:00"/>
    <x v="4"/>
    <x v="2"/>
    <x v="3"/>
    <n v="648.98"/>
    <n v="475.86"/>
    <n v="9"/>
    <n v="5840.82"/>
    <n v="4282.74"/>
    <n v="1558.08"/>
    <n v="0.26675706493266355"/>
    <x v="17"/>
  </r>
  <r>
    <d v="2023-11-16T00:00:00"/>
    <x v="3"/>
    <x v="2"/>
    <x v="1"/>
    <n v="351.95"/>
    <n v="232.1"/>
    <n v="6"/>
    <n v="2111.6999999999998"/>
    <n v="1392.6"/>
    <n v="719.09999999999991"/>
    <n v="0.3405313254723682"/>
    <x v="10"/>
  </r>
  <r>
    <d v="2022-06-11T00:00:00"/>
    <x v="5"/>
    <x v="3"/>
    <x v="1"/>
    <n v="295.36"/>
    <n v="151.66999999999999"/>
    <n v="10"/>
    <n v="2953.6000000000004"/>
    <n v="1516.6999999999998"/>
    <n v="1436.9000000000005"/>
    <n v="0.48649106175514639"/>
    <x v="18"/>
  </r>
  <r>
    <d v="2022-09-25T00:00:00"/>
    <x v="5"/>
    <x v="3"/>
    <x v="0"/>
    <n v="903.6"/>
    <n v="511.4"/>
    <n v="7"/>
    <n v="6325.2"/>
    <n v="3579.7999999999997"/>
    <n v="2745.4"/>
    <n v="0.43404161133244801"/>
    <x v="12"/>
  </r>
  <r>
    <d v="2023-08-01T00:00:00"/>
    <x v="2"/>
    <x v="0"/>
    <x v="2"/>
    <n v="71.900000000000006"/>
    <n v="63.73"/>
    <n v="2"/>
    <n v="143.80000000000001"/>
    <n v="127.46"/>
    <n v="16.340000000000018"/>
    <n v="0.11363004172461764"/>
    <x v="14"/>
  </r>
  <r>
    <d v="2023-03-13T00:00:00"/>
    <x v="2"/>
    <x v="0"/>
    <x v="2"/>
    <n v="750.28"/>
    <n v="415.42"/>
    <n v="5"/>
    <n v="3751.3999999999996"/>
    <n v="2077.1"/>
    <n v="1674.2999999999997"/>
    <n v="0.44631337633949991"/>
    <x v="19"/>
  </r>
  <r>
    <d v="2022-02-03T00:00:00"/>
    <x v="8"/>
    <x v="1"/>
    <x v="3"/>
    <n v="1751.03"/>
    <n v="1515.32"/>
    <n v="4"/>
    <n v="7004.12"/>
    <n v="6061.28"/>
    <n v="942.84000000000015"/>
    <n v="0.13461219967676169"/>
    <x v="20"/>
  </r>
  <r>
    <d v="2024-08-29T00:00:00"/>
    <x v="1"/>
    <x v="1"/>
    <x v="2"/>
    <n v="1814.43"/>
    <n v="1395.46"/>
    <n v="4"/>
    <n v="7257.72"/>
    <n v="5581.84"/>
    <n v="1675.88"/>
    <n v="0.23090998274940341"/>
    <x v="21"/>
  </r>
  <r>
    <d v="2022-06-30T00:00:00"/>
    <x v="8"/>
    <x v="1"/>
    <x v="2"/>
    <n v="1854.49"/>
    <n v="1552.16"/>
    <n v="7"/>
    <n v="12981.43"/>
    <n v="10865.12"/>
    <n v="2116.3099999999995"/>
    <n v="0.16302595322703273"/>
    <x v="18"/>
  </r>
  <r>
    <d v="2023-04-22T00:00:00"/>
    <x v="9"/>
    <x v="3"/>
    <x v="3"/>
    <n v="1678.72"/>
    <n v="862.71"/>
    <n v="9"/>
    <n v="15108.48"/>
    <n v="7764.39"/>
    <n v="7344.0899999999992"/>
    <n v="0.48609059283263434"/>
    <x v="6"/>
  </r>
  <r>
    <d v="2024-08-05T00:00:00"/>
    <x v="2"/>
    <x v="0"/>
    <x v="1"/>
    <n v="1720.13"/>
    <n v="1268.29"/>
    <n v="8"/>
    <n v="13761.04"/>
    <n v="10146.32"/>
    <n v="3614.7200000000012"/>
    <n v="0.26267782086237673"/>
    <x v="21"/>
  </r>
  <r>
    <d v="2024-04-15T00:00:00"/>
    <x v="6"/>
    <x v="3"/>
    <x v="1"/>
    <n v="1316.95"/>
    <n v="717.77"/>
    <n v="4"/>
    <n v="5267.8"/>
    <n v="2871.08"/>
    <n v="2396.7200000000003"/>
    <n v="0.45497551159876992"/>
    <x v="22"/>
  </r>
  <r>
    <d v="2022-11-25T00:00:00"/>
    <x v="5"/>
    <x v="3"/>
    <x v="2"/>
    <n v="377.02"/>
    <n v="247.03"/>
    <n v="2"/>
    <n v="754.04"/>
    <n v="494.06"/>
    <n v="259.97999999999996"/>
    <n v="0.34478277014481989"/>
    <x v="1"/>
  </r>
  <r>
    <d v="2024-12-11T00:00:00"/>
    <x v="4"/>
    <x v="2"/>
    <x v="3"/>
    <n v="475.27"/>
    <n v="400.31"/>
    <n v="10"/>
    <n v="4752.7"/>
    <n v="4003.1"/>
    <n v="749.59999999999991"/>
    <n v="0.15772087445031244"/>
    <x v="23"/>
  </r>
  <r>
    <d v="2023-09-26T00:00:00"/>
    <x v="10"/>
    <x v="2"/>
    <x v="3"/>
    <n v="1394.89"/>
    <n v="723.49"/>
    <n v="5"/>
    <n v="6974.4500000000007"/>
    <n v="3617.45"/>
    <n v="3357.0000000000009"/>
    <n v="0.48132827678168177"/>
    <x v="24"/>
  </r>
  <r>
    <d v="2024-11-12T00:00:00"/>
    <x v="4"/>
    <x v="2"/>
    <x v="1"/>
    <n v="1635.61"/>
    <n v="822.15"/>
    <n v="8"/>
    <n v="13084.88"/>
    <n v="6577.2"/>
    <n v="6507.6799999999994"/>
    <n v="0.49734349875581585"/>
    <x v="2"/>
  </r>
  <r>
    <d v="2022-10-04T00:00:00"/>
    <x v="4"/>
    <x v="2"/>
    <x v="0"/>
    <n v="309.45999999999998"/>
    <n v="217.35"/>
    <n v="9"/>
    <n v="2785.14"/>
    <n v="1956.1499999999999"/>
    <n v="828.99"/>
    <n v="0.29764751502617465"/>
    <x v="25"/>
  </r>
  <r>
    <d v="2022-02-25T00:00:00"/>
    <x v="4"/>
    <x v="2"/>
    <x v="1"/>
    <n v="1467.54"/>
    <n v="1176.79"/>
    <n v="5"/>
    <n v="7337.7"/>
    <n v="5883.95"/>
    <n v="1453.75"/>
    <n v="0.19812066451340338"/>
    <x v="20"/>
  </r>
  <r>
    <d v="2023-07-20T00:00:00"/>
    <x v="8"/>
    <x v="1"/>
    <x v="2"/>
    <n v="924.01"/>
    <n v="681.12"/>
    <n v="7"/>
    <n v="6468.07"/>
    <n v="4767.84"/>
    <n v="1700.2299999999996"/>
    <n v="0.26286512050735378"/>
    <x v="11"/>
  </r>
  <r>
    <d v="2024-01-17T00:00:00"/>
    <x v="7"/>
    <x v="0"/>
    <x v="3"/>
    <n v="1554.68"/>
    <n v="1282.8900000000001"/>
    <n v="6"/>
    <n v="9328.08"/>
    <n v="7697.34"/>
    <n v="1630.7399999999998"/>
    <n v="0.17482054184784004"/>
    <x v="26"/>
  </r>
  <r>
    <d v="2023-02-13T00:00:00"/>
    <x v="2"/>
    <x v="0"/>
    <x v="2"/>
    <n v="898.06"/>
    <n v="723.45"/>
    <n v="2"/>
    <n v="1796.12"/>
    <n v="1446.9"/>
    <n v="349.2199999999998"/>
    <n v="0.19443021624390341"/>
    <x v="27"/>
  </r>
  <r>
    <d v="2023-02-12T00:00:00"/>
    <x v="1"/>
    <x v="1"/>
    <x v="1"/>
    <n v="1879.67"/>
    <n v="1126.8499999999999"/>
    <n v="2"/>
    <n v="3759.34"/>
    <n v="2253.6999999999998"/>
    <n v="1505.6400000000003"/>
    <n v="0.40050647188070254"/>
    <x v="27"/>
  </r>
  <r>
    <d v="2023-06-01T00:00:00"/>
    <x v="3"/>
    <x v="2"/>
    <x v="2"/>
    <n v="1452.13"/>
    <n v="1293.68"/>
    <n v="2"/>
    <n v="2904.26"/>
    <n v="2587.36"/>
    <n v="316.90000000000009"/>
    <n v="0.10911557505182046"/>
    <x v="0"/>
  </r>
  <r>
    <d v="2023-06-25T00:00:00"/>
    <x v="8"/>
    <x v="1"/>
    <x v="2"/>
    <n v="638.03"/>
    <n v="519.16"/>
    <n v="8"/>
    <n v="5104.24"/>
    <n v="4153.28"/>
    <n v="950.96"/>
    <n v="0.18630785386267104"/>
    <x v="0"/>
  </r>
  <r>
    <d v="2024-07-09T00:00:00"/>
    <x v="3"/>
    <x v="2"/>
    <x v="2"/>
    <n v="647.75"/>
    <n v="371.57"/>
    <n v="8"/>
    <n v="5182"/>
    <n v="2972.56"/>
    <n v="2209.44"/>
    <n v="0.42636819760710154"/>
    <x v="28"/>
  </r>
  <r>
    <d v="2024-03-16T00:00:00"/>
    <x v="2"/>
    <x v="0"/>
    <x v="3"/>
    <n v="1638.71"/>
    <n v="1461.22"/>
    <n v="8"/>
    <n v="13109.68"/>
    <n v="11689.76"/>
    <n v="1419.92"/>
    <n v="0.10831080545062885"/>
    <x v="29"/>
  </r>
  <r>
    <d v="2024-04-18T00:00:00"/>
    <x v="6"/>
    <x v="3"/>
    <x v="0"/>
    <n v="955"/>
    <n v="658.35"/>
    <n v="1"/>
    <n v="955"/>
    <n v="658.35"/>
    <n v="296.64999999999998"/>
    <n v="0.3106282722513089"/>
    <x v="22"/>
  </r>
  <r>
    <d v="2023-01-15T00:00:00"/>
    <x v="10"/>
    <x v="2"/>
    <x v="0"/>
    <n v="1924.06"/>
    <n v="1428.57"/>
    <n v="2"/>
    <n v="3848.12"/>
    <n v="2857.14"/>
    <n v="990.98"/>
    <n v="0.25752315416359156"/>
    <x v="13"/>
  </r>
  <r>
    <d v="2024-06-25T00:00:00"/>
    <x v="8"/>
    <x v="1"/>
    <x v="1"/>
    <n v="1029.92"/>
    <n v="550.91"/>
    <n v="10"/>
    <n v="10299.200000000001"/>
    <n v="5509.0999999999995"/>
    <n v="4790.1000000000013"/>
    <n v="0.46509437626223404"/>
    <x v="4"/>
  </r>
  <r>
    <d v="2024-06-16T00:00:00"/>
    <x v="9"/>
    <x v="3"/>
    <x v="0"/>
    <n v="601.14"/>
    <n v="371.84"/>
    <n v="9"/>
    <n v="5410.26"/>
    <n v="3346.56"/>
    <n v="2063.7000000000003"/>
    <n v="0.38144192700535651"/>
    <x v="4"/>
  </r>
  <r>
    <d v="2022-09-10T00:00:00"/>
    <x v="6"/>
    <x v="3"/>
    <x v="0"/>
    <n v="223.31"/>
    <n v="182.79"/>
    <n v="4"/>
    <n v="893.24"/>
    <n v="731.16"/>
    <n v="162.08000000000004"/>
    <n v="0.18145179347095969"/>
    <x v="12"/>
  </r>
  <r>
    <d v="2023-09-28T00:00:00"/>
    <x v="10"/>
    <x v="2"/>
    <x v="3"/>
    <n v="426.88"/>
    <n v="311.35000000000002"/>
    <n v="2"/>
    <n v="853.76"/>
    <n v="622.70000000000005"/>
    <n v="231.05999999999995"/>
    <n v="0.27063811844077956"/>
    <x v="24"/>
  </r>
  <r>
    <d v="2023-09-12T00:00:00"/>
    <x v="5"/>
    <x v="3"/>
    <x v="2"/>
    <n v="419.95"/>
    <n v="325.27"/>
    <n v="9"/>
    <n v="3779.5499999999997"/>
    <n v="2927.43"/>
    <n v="852.11999999999989"/>
    <n v="0.22545541135849503"/>
    <x v="24"/>
  </r>
  <r>
    <d v="2022-02-26T00:00:00"/>
    <x v="10"/>
    <x v="2"/>
    <x v="3"/>
    <n v="1941.24"/>
    <n v="1626.1"/>
    <n v="4"/>
    <n v="7764.96"/>
    <n v="6504.4"/>
    <n v="1260.5600000000004"/>
    <n v="0.16233953555459402"/>
    <x v="20"/>
  </r>
  <r>
    <d v="2023-07-07T00:00:00"/>
    <x v="7"/>
    <x v="0"/>
    <x v="2"/>
    <n v="1323.68"/>
    <n v="1125.95"/>
    <n v="10"/>
    <n v="13236.800000000001"/>
    <n v="11259.5"/>
    <n v="1977.3000000000011"/>
    <n v="0.14937900398887954"/>
    <x v="11"/>
  </r>
  <r>
    <d v="2023-12-20T00:00:00"/>
    <x v="10"/>
    <x v="2"/>
    <x v="2"/>
    <n v="973.74"/>
    <n v="848.74"/>
    <n v="9"/>
    <n v="8763.66"/>
    <n v="7638.66"/>
    <n v="1125"/>
    <n v="0.12837102306570541"/>
    <x v="30"/>
  </r>
  <r>
    <d v="2024-05-05T00:00:00"/>
    <x v="3"/>
    <x v="2"/>
    <x v="3"/>
    <n v="91.22"/>
    <n v="77.14"/>
    <n v="4"/>
    <n v="364.88"/>
    <n v="308.56"/>
    <n v="56.319999999999993"/>
    <n v="0.15435211576408681"/>
    <x v="3"/>
  </r>
  <r>
    <d v="2023-05-21T00:00:00"/>
    <x v="0"/>
    <x v="0"/>
    <x v="2"/>
    <n v="96.35"/>
    <n v="63.96"/>
    <n v="8"/>
    <n v="770.8"/>
    <n v="511.68"/>
    <n v="259.11999999999995"/>
    <n v="0.33617021276595738"/>
    <x v="31"/>
  </r>
  <r>
    <d v="2022-04-22T00:00:00"/>
    <x v="0"/>
    <x v="0"/>
    <x v="0"/>
    <n v="639.75"/>
    <n v="488.42"/>
    <n v="1"/>
    <n v="639.75"/>
    <n v="488.42"/>
    <n v="151.32999999999998"/>
    <n v="0.23654552559593589"/>
    <x v="32"/>
  </r>
  <r>
    <d v="2024-04-07T00:00:00"/>
    <x v="7"/>
    <x v="0"/>
    <x v="0"/>
    <n v="224.85"/>
    <n v="131.08000000000001"/>
    <n v="8"/>
    <n v="1798.8"/>
    <n v="1048.6400000000001"/>
    <n v="750.15999999999985"/>
    <n v="0.41703357794084939"/>
    <x v="22"/>
  </r>
  <r>
    <d v="2024-04-03T00:00:00"/>
    <x v="9"/>
    <x v="3"/>
    <x v="1"/>
    <n v="202.75"/>
    <n v="144.77000000000001"/>
    <n v="9"/>
    <n v="1824.75"/>
    <n v="1302.93"/>
    <n v="521.81999999999994"/>
    <n v="0.28596794081381005"/>
    <x v="22"/>
  </r>
  <r>
    <d v="2024-07-02T00:00:00"/>
    <x v="0"/>
    <x v="0"/>
    <x v="0"/>
    <n v="839.39"/>
    <n v="521.74"/>
    <n v="9"/>
    <n v="7554.51"/>
    <n v="4695.66"/>
    <n v="2858.8500000000004"/>
    <n v="0.37842957385720588"/>
    <x v="28"/>
  </r>
  <r>
    <d v="2023-08-10T00:00:00"/>
    <x v="0"/>
    <x v="0"/>
    <x v="3"/>
    <n v="471.15"/>
    <n v="393.77"/>
    <n v="5"/>
    <n v="2355.75"/>
    <n v="1968.85"/>
    <n v="386.90000000000009"/>
    <n v="0.16423644274647145"/>
    <x v="14"/>
  </r>
  <r>
    <d v="2024-11-14T00:00:00"/>
    <x v="9"/>
    <x v="3"/>
    <x v="3"/>
    <n v="1919.37"/>
    <n v="1059.1199999999999"/>
    <n v="2"/>
    <n v="3838.74"/>
    <n v="2118.2399999999998"/>
    <n v="1720.5"/>
    <n v="0.44819393863611501"/>
    <x v="2"/>
  </r>
  <r>
    <d v="2022-02-10T00:00:00"/>
    <x v="2"/>
    <x v="0"/>
    <x v="1"/>
    <n v="242.6"/>
    <n v="122.5"/>
    <n v="6"/>
    <n v="1455.6"/>
    <n v="735"/>
    <n v="720.59999999999991"/>
    <n v="0.49505358615004119"/>
    <x v="20"/>
  </r>
  <r>
    <d v="2022-04-02T00:00:00"/>
    <x v="3"/>
    <x v="2"/>
    <x v="0"/>
    <n v="136.78"/>
    <n v="69.59"/>
    <n v="9"/>
    <n v="1231.02"/>
    <n v="626.31000000000006"/>
    <n v="604.70999999999992"/>
    <n v="0.49122678754203825"/>
    <x v="32"/>
  </r>
  <r>
    <d v="2023-12-10T00:00:00"/>
    <x v="7"/>
    <x v="0"/>
    <x v="1"/>
    <n v="1522.4"/>
    <n v="1162.8699999999999"/>
    <n v="9"/>
    <n v="13701.6"/>
    <n v="10465.829999999998"/>
    <n v="3235.7700000000023"/>
    <n v="0.23616001050972166"/>
    <x v="30"/>
  </r>
  <r>
    <d v="2023-12-08T00:00:00"/>
    <x v="9"/>
    <x v="3"/>
    <x v="0"/>
    <n v="542.57000000000005"/>
    <n v="352.9"/>
    <n v="2"/>
    <n v="1085.1400000000001"/>
    <n v="705.8"/>
    <n v="379.34000000000015"/>
    <n v="0.34957701310430001"/>
    <x v="30"/>
  </r>
  <r>
    <d v="2024-05-20T00:00:00"/>
    <x v="2"/>
    <x v="0"/>
    <x v="2"/>
    <n v="310.69"/>
    <n v="178.84"/>
    <n v="2"/>
    <n v="621.38"/>
    <n v="357.68"/>
    <n v="263.7"/>
    <n v="0.42437799736071324"/>
    <x v="3"/>
  </r>
  <r>
    <d v="2023-11-06T00:00:00"/>
    <x v="5"/>
    <x v="3"/>
    <x v="0"/>
    <n v="333.08"/>
    <n v="202.2"/>
    <n v="5"/>
    <n v="1665.3999999999999"/>
    <n v="1011"/>
    <n v="654.39999999999986"/>
    <n v="0.39293863336135459"/>
    <x v="10"/>
  </r>
  <r>
    <d v="2023-02-04T00:00:00"/>
    <x v="2"/>
    <x v="0"/>
    <x v="1"/>
    <n v="1174.94"/>
    <n v="921"/>
    <n v="1"/>
    <n v="1174.94"/>
    <n v="921"/>
    <n v="253.94000000000005"/>
    <n v="0.21613018537116793"/>
    <x v="27"/>
  </r>
  <r>
    <d v="2023-11-18T00:00:00"/>
    <x v="0"/>
    <x v="0"/>
    <x v="0"/>
    <n v="1068.96"/>
    <n v="718.57"/>
    <n v="5"/>
    <n v="5344.8"/>
    <n v="3592.8500000000004"/>
    <n v="1751.9499999999998"/>
    <n v="0.32778588534650499"/>
    <x v="10"/>
  </r>
  <r>
    <d v="2022-09-19T00:00:00"/>
    <x v="2"/>
    <x v="0"/>
    <x v="1"/>
    <n v="73"/>
    <n v="63.96"/>
    <n v="4"/>
    <n v="292"/>
    <n v="255.84"/>
    <n v="36.159999999999997"/>
    <n v="0.12383561643835615"/>
    <x v="12"/>
  </r>
  <r>
    <d v="2024-03-29T00:00:00"/>
    <x v="3"/>
    <x v="2"/>
    <x v="2"/>
    <n v="335.39"/>
    <n v="287.07"/>
    <n v="8"/>
    <n v="2683.12"/>
    <n v="2296.56"/>
    <n v="386.55999999999995"/>
    <n v="0.14407108142759176"/>
    <x v="29"/>
  </r>
  <r>
    <d v="2023-12-19T00:00:00"/>
    <x v="5"/>
    <x v="3"/>
    <x v="3"/>
    <n v="1498.8"/>
    <n v="1029.06"/>
    <n v="9"/>
    <n v="13489.199999999999"/>
    <n v="9261.5399999999991"/>
    <n v="4227.66"/>
    <n v="0.31341072858286628"/>
    <x v="30"/>
  </r>
  <r>
    <d v="2022-07-12T00:00:00"/>
    <x v="4"/>
    <x v="2"/>
    <x v="3"/>
    <n v="1354.22"/>
    <n v="810.9"/>
    <n v="9"/>
    <n v="12187.98"/>
    <n v="7298.0999999999995"/>
    <n v="4889.88"/>
    <n v="0.40120512176751194"/>
    <x v="8"/>
  </r>
  <r>
    <d v="2023-07-14T00:00:00"/>
    <x v="5"/>
    <x v="3"/>
    <x v="0"/>
    <n v="745.56"/>
    <n v="423.85"/>
    <n v="9"/>
    <n v="6710.0399999999991"/>
    <n v="3814.65"/>
    <n v="2895.389999999999"/>
    <n v="0.43150115349535911"/>
    <x v="11"/>
  </r>
  <r>
    <d v="2022-10-10T00:00:00"/>
    <x v="5"/>
    <x v="3"/>
    <x v="1"/>
    <n v="598.80999999999995"/>
    <n v="340.32"/>
    <n v="7"/>
    <n v="4191.67"/>
    <n v="2382.2399999999998"/>
    <n v="1809.4300000000003"/>
    <n v="0.43167281775521454"/>
    <x v="25"/>
  </r>
  <r>
    <d v="2023-02-26T00:00:00"/>
    <x v="2"/>
    <x v="0"/>
    <x v="1"/>
    <n v="425.41"/>
    <n v="288.47000000000003"/>
    <n v="6"/>
    <n v="2552.46"/>
    <n v="1730.8200000000002"/>
    <n v="821.63999999999987"/>
    <n v="0.32190122470087673"/>
    <x v="27"/>
  </r>
  <r>
    <d v="2024-06-09T00:00:00"/>
    <x v="4"/>
    <x v="2"/>
    <x v="1"/>
    <n v="1573.04"/>
    <n v="874.53"/>
    <n v="4"/>
    <n v="6292.16"/>
    <n v="3498.12"/>
    <n v="2794.04"/>
    <n v="0.44405100951024767"/>
    <x v="4"/>
  </r>
  <r>
    <d v="2022-09-07T00:00:00"/>
    <x v="2"/>
    <x v="0"/>
    <x v="3"/>
    <n v="1222.45"/>
    <n v="720.8"/>
    <n v="8"/>
    <n v="9779.6"/>
    <n v="5766.4"/>
    <n v="4013.2000000000007"/>
    <n v="0.41036443208311185"/>
    <x v="12"/>
  </r>
  <r>
    <d v="2022-12-25T00:00:00"/>
    <x v="10"/>
    <x v="2"/>
    <x v="2"/>
    <n v="1918.76"/>
    <n v="1386.05"/>
    <n v="9"/>
    <n v="17268.84"/>
    <n v="12474.449999999999"/>
    <n v="4794.3900000000012"/>
    <n v="0.27763242927724163"/>
    <x v="33"/>
  </r>
  <r>
    <d v="2024-12-26T00:00:00"/>
    <x v="10"/>
    <x v="2"/>
    <x v="3"/>
    <n v="1903.6"/>
    <n v="1480.35"/>
    <n v="10"/>
    <n v="19036"/>
    <n v="14803.5"/>
    <n v="4232.5"/>
    <n v="0.222341878545913"/>
    <x v="23"/>
  </r>
  <r>
    <d v="2023-01-14T00:00:00"/>
    <x v="3"/>
    <x v="2"/>
    <x v="0"/>
    <n v="580.89"/>
    <n v="371.47"/>
    <n v="7"/>
    <n v="4066.23"/>
    <n v="2600.29"/>
    <n v="1465.94"/>
    <n v="0.3605157602988518"/>
    <x v="13"/>
  </r>
  <r>
    <d v="2024-08-09T00:00:00"/>
    <x v="8"/>
    <x v="1"/>
    <x v="1"/>
    <n v="1146.3"/>
    <n v="858.05"/>
    <n v="3"/>
    <n v="3438.8999999999996"/>
    <n v="2574.1499999999996"/>
    <n v="864.75"/>
    <n v="0.25146122306551516"/>
    <x v="21"/>
  </r>
  <r>
    <d v="2023-09-13T00:00:00"/>
    <x v="2"/>
    <x v="0"/>
    <x v="2"/>
    <n v="1512.49"/>
    <n v="1093.73"/>
    <n v="10"/>
    <n v="15124.9"/>
    <n v="10937.3"/>
    <n v="4187.6000000000004"/>
    <n v="0.27686794623435529"/>
    <x v="24"/>
  </r>
  <r>
    <d v="2022-11-22T00:00:00"/>
    <x v="2"/>
    <x v="0"/>
    <x v="3"/>
    <n v="680.6"/>
    <n v="589.33000000000004"/>
    <n v="4"/>
    <n v="2722.4"/>
    <n v="2357.3200000000002"/>
    <n v="365.07999999999993"/>
    <n v="0.13410226270937406"/>
    <x v="1"/>
  </r>
  <r>
    <d v="2023-09-21T00:00:00"/>
    <x v="9"/>
    <x v="3"/>
    <x v="3"/>
    <n v="775.8"/>
    <n v="610.35"/>
    <n v="9"/>
    <n v="6982.2"/>
    <n v="5493.1500000000005"/>
    <n v="1489.0499999999993"/>
    <n v="0.21326372776488775"/>
    <x v="24"/>
  </r>
  <r>
    <d v="2024-12-26T00:00:00"/>
    <x v="9"/>
    <x v="3"/>
    <x v="1"/>
    <n v="1778.29"/>
    <n v="1055.8900000000001"/>
    <n v="8"/>
    <n v="14226.32"/>
    <n v="8447.1200000000008"/>
    <n v="5779.1999999999989"/>
    <n v="0.4062329541300912"/>
    <x v="23"/>
  </r>
  <r>
    <d v="2024-05-30T00:00:00"/>
    <x v="6"/>
    <x v="3"/>
    <x v="0"/>
    <n v="820.47"/>
    <n v="693.41"/>
    <n v="8"/>
    <n v="6563.76"/>
    <n v="5547.28"/>
    <n v="1016.4800000000005"/>
    <n v="0.15486245688446873"/>
    <x v="3"/>
  </r>
  <r>
    <d v="2023-12-14T00:00:00"/>
    <x v="4"/>
    <x v="2"/>
    <x v="1"/>
    <n v="348.43"/>
    <n v="276.13"/>
    <n v="4"/>
    <n v="1393.72"/>
    <n v="1104.52"/>
    <n v="289.20000000000005"/>
    <n v="0.20750222426312318"/>
    <x v="30"/>
  </r>
  <r>
    <d v="2024-10-30T00:00:00"/>
    <x v="1"/>
    <x v="1"/>
    <x v="0"/>
    <n v="1353.59"/>
    <n v="679.82"/>
    <n v="3"/>
    <n v="4060.7699999999995"/>
    <n v="2039.46"/>
    <n v="2021.3099999999995"/>
    <n v="0.4977652021660916"/>
    <x v="17"/>
  </r>
  <r>
    <d v="2024-11-24T00:00:00"/>
    <x v="6"/>
    <x v="3"/>
    <x v="1"/>
    <n v="775.87"/>
    <n v="578.87"/>
    <n v="3"/>
    <n v="2327.61"/>
    <n v="1736.6100000000001"/>
    <n v="591"/>
    <n v="0.25390851560184052"/>
    <x v="2"/>
  </r>
  <r>
    <d v="2022-04-28T00:00:00"/>
    <x v="8"/>
    <x v="1"/>
    <x v="2"/>
    <n v="323.16000000000003"/>
    <n v="219.45"/>
    <n v="1"/>
    <n v="323.16000000000003"/>
    <n v="219.45"/>
    <n v="103.71000000000004"/>
    <n v="0.32092461938358718"/>
    <x v="32"/>
  </r>
  <r>
    <d v="2024-08-16T00:00:00"/>
    <x v="0"/>
    <x v="0"/>
    <x v="1"/>
    <n v="1072.97"/>
    <n v="569.95000000000005"/>
    <n v="9"/>
    <n v="9656.73"/>
    <n v="5129.55"/>
    <n v="4527.1799999999994"/>
    <n v="0.46881087076059902"/>
    <x v="21"/>
  </r>
  <r>
    <d v="2022-06-23T00:00:00"/>
    <x v="2"/>
    <x v="0"/>
    <x v="0"/>
    <n v="534.59"/>
    <n v="379.64"/>
    <n v="3"/>
    <n v="1603.77"/>
    <n v="1138.92"/>
    <n v="464.84999999999991"/>
    <n v="0.28984829495501219"/>
    <x v="18"/>
  </r>
  <r>
    <d v="2024-01-07T00:00:00"/>
    <x v="9"/>
    <x v="3"/>
    <x v="1"/>
    <n v="496.15"/>
    <n v="298.77"/>
    <n v="2"/>
    <n v="992.3"/>
    <n v="597.54"/>
    <n v="394.76"/>
    <n v="0.39782323893983673"/>
    <x v="26"/>
  </r>
  <r>
    <d v="2024-03-29T00:00:00"/>
    <x v="3"/>
    <x v="2"/>
    <x v="3"/>
    <n v="1938.65"/>
    <n v="1418.12"/>
    <n v="9"/>
    <n v="17447.850000000002"/>
    <n v="12763.079999999998"/>
    <n v="4684.7700000000041"/>
    <n v="0.26850127666159462"/>
    <x v="29"/>
  </r>
  <r>
    <d v="2024-04-24T00:00:00"/>
    <x v="5"/>
    <x v="3"/>
    <x v="0"/>
    <n v="632.66999999999996"/>
    <n v="348.4"/>
    <n v="3"/>
    <n v="1898.0099999999998"/>
    <n v="1045.1999999999998"/>
    <n v="852.81"/>
    <n v="0.44931796987370987"/>
    <x v="22"/>
  </r>
  <r>
    <d v="2024-07-29T00:00:00"/>
    <x v="3"/>
    <x v="2"/>
    <x v="2"/>
    <n v="185.65"/>
    <n v="159.1"/>
    <n v="3"/>
    <n v="556.95000000000005"/>
    <n v="477.29999999999995"/>
    <n v="79.650000000000091"/>
    <n v="0.14301104228386766"/>
    <x v="28"/>
  </r>
  <r>
    <d v="2022-09-30T00:00:00"/>
    <x v="4"/>
    <x v="2"/>
    <x v="2"/>
    <n v="1657.78"/>
    <n v="1037.3399999999999"/>
    <n v="6"/>
    <n v="9946.68"/>
    <n v="6224.0399999999991"/>
    <n v="3722.6400000000012"/>
    <n v="0.37425955193089566"/>
    <x v="12"/>
  </r>
  <r>
    <d v="2024-12-03T00:00:00"/>
    <x v="10"/>
    <x v="2"/>
    <x v="3"/>
    <n v="964.51"/>
    <n v="778.56"/>
    <n v="3"/>
    <n v="2893.5299999999997"/>
    <n v="2335.6799999999998"/>
    <n v="557.84999999999991"/>
    <n v="0.19279219500057021"/>
    <x v="23"/>
  </r>
  <r>
    <d v="2022-10-26T00:00:00"/>
    <x v="4"/>
    <x v="2"/>
    <x v="1"/>
    <n v="1223.18"/>
    <n v="726.29"/>
    <n v="1"/>
    <n v="1223.18"/>
    <n v="726.29"/>
    <n v="496.8900000000001"/>
    <n v="0.40622802858123913"/>
    <x v="25"/>
  </r>
  <r>
    <d v="2022-11-17T00:00:00"/>
    <x v="1"/>
    <x v="1"/>
    <x v="3"/>
    <n v="613.09"/>
    <n v="435.53"/>
    <n v="8"/>
    <n v="4904.72"/>
    <n v="3484.24"/>
    <n v="1420.4800000000005"/>
    <n v="0.28961490156420761"/>
    <x v="1"/>
  </r>
  <r>
    <d v="2023-07-12T00:00:00"/>
    <x v="0"/>
    <x v="0"/>
    <x v="1"/>
    <n v="721.45"/>
    <n v="638.66"/>
    <n v="1"/>
    <n v="721.45"/>
    <n v="638.66"/>
    <n v="82.790000000000077"/>
    <n v="0.11475500727701167"/>
    <x v="11"/>
  </r>
  <r>
    <d v="2023-07-13T00:00:00"/>
    <x v="7"/>
    <x v="0"/>
    <x v="1"/>
    <n v="1291.78"/>
    <n v="1015.9"/>
    <n v="7"/>
    <n v="9042.4599999999991"/>
    <n v="7111.3"/>
    <n v="1931.1599999999989"/>
    <n v="0.2135657774543652"/>
    <x v="11"/>
  </r>
  <r>
    <d v="2024-09-27T00:00:00"/>
    <x v="2"/>
    <x v="0"/>
    <x v="3"/>
    <n v="873.75"/>
    <n v="766.37"/>
    <n v="5"/>
    <n v="4368.75"/>
    <n v="3831.85"/>
    <n v="536.90000000000009"/>
    <n v="0.12289556509299"/>
    <x v="16"/>
  </r>
  <r>
    <d v="2022-06-24T00:00:00"/>
    <x v="10"/>
    <x v="2"/>
    <x v="3"/>
    <n v="989.82"/>
    <n v="710.34"/>
    <n v="3"/>
    <n v="2969.46"/>
    <n v="2131.02"/>
    <n v="838.44"/>
    <n v="0.28235436746075043"/>
    <x v="18"/>
  </r>
  <r>
    <d v="2023-05-25T00:00:00"/>
    <x v="10"/>
    <x v="2"/>
    <x v="3"/>
    <n v="576.76"/>
    <n v="428.9"/>
    <n v="1"/>
    <n v="576.76"/>
    <n v="428.9"/>
    <n v="147.86000000000001"/>
    <n v="0.2563631319786393"/>
    <x v="31"/>
  </r>
  <r>
    <d v="2023-05-16T00:00:00"/>
    <x v="3"/>
    <x v="2"/>
    <x v="0"/>
    <n v="237.57"/>
    <n v="159.15"/>
    <n v="5"/>
    <n v="1187.8499999999999"/>
    <n v="795.75"/>
    <n v="392.09999999999991"/>
    <n v="0.33009218335648438"/>
    <x v="31"/>
  </r>
  <r>
    <d v="2024-10-25T00:00:00"/>
    <x v="1"/>
    <x v="1"/>
    <x v="0"/>
    <n v="1494.32"/>
    <n v="1295.55"/>
    <n v="9"/>
    <n v="13448.88"/>
    <n v="11659.949999999999"/>
    <n v="1788.9300000000003"/>
    <n v="0.13301702446597788"/>
    <x v="17"/>
  </r>
  <r>
    <d v="2024-10-29T00:00:00"/>
    <x v="3"/>
    <x v="2"/>
    <x v="1"/>
    <n v="1280.47"/>
    <n v="723.05"/>
    <n v="8"/>
    <n v="10243.76"/>
    <n v="5784.4"/>
    <n v="4459.3600000000006"/>
    <n v="0.43532452927440712"/>
    <x v="17"/>
  </r>
  <r>
    <d v="2022-12-08T00:00:00"/>
    <x v="10"/>
    <x v="2"/>
    <x v="0"/>
    <n v="876.12"/>
    <n v="462.95"/>
    <n v="1"/>
    <n v="876.12"/>
    <n v="462.95"/>
    <n v="413.17"/>
    <n v="0.47159064968269188"/>
    <x v="33"/>
  </r>
  <r>
    <d v="2023-11-29T00:00:00"/>
    <x v="3"/>
    <x v="2"/>
    <x v="2"/>
    <n v="90.27"/>
    <n v="79.209999999999994"/>
    <n v="7"/>
    <n v="631.89"/>
    <n v="554.46999999999991"/>
    <n v="77.420000000000073"/>
    <n v="0.12252132491414656"/>
    <x v="10"/>
  </r>
  <r>
    <d v="2024-04-02T00:00:00"/>
    <x v="5"/>
    <x v="3"/>
    <x v="2"/>
    <n v="952.95"/>
    <n v="794.02"/>
    <n v="10"/>
    <n v="9529.5"/>
    <n v="7940.2"/>
    <n v="1589.3000000000002"/>
    <n v="0.16677685083162813"/>
    <x v="22"/>
  </r>
  <r>
    <d v="2022-11-06T00:00:00"/>
    <x v="6"/>
    <x v="3"/>
    <x v="2"/>
    <n v="1024.25"/>
    <n v="828.09"/>
    <n v="7"/>
    <n v="7169.75"/>
    <n v="5796.63"/>
    <n v="1373.12"/>
    <n v="0.19151574322675127"/>
    <x v="1"/>
  </r>
  <r>
    <d v="2022-02-01T00:00:00"/>
    <x v="9"/>
    <x v="3"/>
    <x v="0"/>
    <n v="1187.4100000000001"/>
    <n v="1004.63"/>
    <n v="3"/>
    <n v="3562.2300000000005"/>
    <n v="3013.89"/>
    <n v="548.3400000000006"/>
    <n v="0.15393166639997993"/>
    <x v="20"/>
  </r>
  <r>
    <d v="2022-11-16T00:00:00"/>
    <x v="0"/>
    <x v="0"/>
    <x v="1"/>
    <n v="1681.93"/>
    <n v="865.67"/>
    <n v="2"/>
    <n v="3363.86"/>
    <n v="1731.34"/>
    <n v="1632.5200000000002"/>
    <n v="0.48531151712615866"/>
    <x v="1"/>
  </r>
  <r>
    <d v="2022-03-17T00:00:00"/>
    <x v="10"/>
    <x v="2"/>
    <x v="2"/>
    <n v="93.35"/>
    <n v="65.540000000000006"/>
    <n v="5"/>
    <n v="466.75"/>
    <n v="327.70000000000005"/>
    <n v="139.04999999999995"/>
    <n v="0.29791108730583815"/>
    <x v="7"/>
  </r>
  <r>
    <d v="2023-03-23T00:00:00"/>
    <x v="0"/>
    <x v="0"/>
    <x v="0"/>
    <n v="835.94"/>
    <n v="485"/>
    <n v="4"/>
    <n v="3343.76"/>
    <n v="1940"/>
    <n v="1403.7600000000002"/>
    <n v="0.41981481924540043"/>
    <x v="19"/>
  </r>
  <r>
    <d v="2024-08-05T00:00:00"/>
    <x v="0"/>
    <x v="0"/>
    <x v="0"/>
    <n v="704.67"/>
    <n v="564.33000000000004"/>
    <n v="5"/>
    <n v="3523.35"/>
    <n v="2821.65"/>
    <n v="701.69999999999982"/>
    <n v="0.19915705223721739"/>
    <x v="21"/>
  </r>
  <r>
    <d v="2022-10-21T00:00:00"/>
    <x v="8"/>
    <x v="1"/>
    <x v="1"/>
    <n v="743.01"/>
    <n v="552.95000000000005"/>
    <n v="6"/>
    <n v="4458.0599999999995"/>
    <n v="3317.7000000000003"/>
    <n v="1140.3599999999992"/>
    <n v="0.25579736477301773"/>
    <x v="25"/>
  </r>
  <r>
    <d v="2023-06-24T00:00:00"/>
    <x v="3"/>
    <x v="2"/>
    <x v="1"/>
    <n v="1627.89"/>
    <n v="1082.3699999999999"/>
    <n v="10"/>
    <n v="16278.900000000001"/>
    <n v="10823.699999999999"/>
    <n v="5455.2000000000025"/>
    <n v="0.33510863756150611"/>
    <x v="0"/>
  </r>
  <r>
    <d v="2024-04-03T00:00:00"/>
    <x v="5"/>
    <x v="3"/>
    <x v="1"/>
    <n v="1977.65"/>
    <n v="1668.37"/>
    <n v="3"/>
    <n v="5932.9500000000007"/>
    <n v="5005.1099999999997"/>
    <n v="927.84000000000106"/>
    <n v="0.15638763178519977"/>
    <x v="22"/>
  </r>
  <r>
    <d v="2024-05-20T00:00:00"/>
    <x v="5"/>
    <x v="3"/>
    <x v="2"/>
    <n v="627.55999999999995"/>
    <n v="432.46"/>
    <n v="6"/>
    <n v="3765.3599999999997"/>
    <n v="2594.7599999999998"/>
    <n v="1170.5999999999999"/>
    <n v="0.31088660845178151"/>
    <x v="3"/>
  </r>
  <r>
    <d v="2023-08-05T00:00:00"/>
    <x v="8"/>
    <x v="1"/>
    <x v="2"/>
    <n v="1633.27"/>
    <n v="834.25"/>
    <n v="6"/>
    <n v="9799.619999999999"/>
    <n v="5005.5"/>
    <n v="4794.119999999999"/>
    <n v="0.48921488792422557"/>
    <x v="14"/>
  </r>
  <r>
    <d v="2024-09-19T00:00:00"/>
    <x v="1"/>
    <x v="1"/>
    <x v="0"/>
    <n v="1016.26"/>
    <n v="518.9"/>
    <n v="4"/>
    <n v="4065.04"/>
    <n v="2075.6"/>
    <n v="1989.44"/>
    <n v="0.48940231830437092"/>
    <x v="16"/>
  </r>
  <r>
    <d v="2024-08-13T00:00:00"/>
    <x v="3"/>
    <x v="2"/>
    <x v="2"/>
    <n v="718.74"/>
    <n v="625.47"/>
    <n v="2"/>
    <n v="1437.48"/>
    <n v="1250.94"/>
    <n v="186.53999999999996"/>
    <n v="0.12976876200016693"/>
    <x v="21"/>
  </r>
  <r>
    <d v="2024-10-07T00:00:00"/>
    <x v="8"/>
    <x v="1"/>
    <x v="0"/>
    <n v="38.93"/>
    <n v="30.21"/>
    <n v="8"/>
    <n v="311.44"/>
    <n v="241.68"/>
    <n v="69.759999999999991"/>
    <n v="0.22399178011816076"/>
    <x v="17"/>
  </r>
  <r>
    <d v="2022-03-22T00:00:00"/>
    <x v="7"/>
    <x v="0"/>
    <x v="2"/>
    <n v="1997.13"/>
    <n v="1265.8399999999999"/>
    <n v="9"/>
    <n v="17974.170000000002"/>
    <n v="11392.56"/>
    <n v="6581.6100000000024"/>
    <n v="0.36617045460235448"/>
    <x v="7"/>
  </r>
  <r>
    <d v="2022-06-08T00:00:00"/>
    <x v="6"/>
    <x v="3"/>
    <x v="2"/>
    <n v="242.46"/>
    <n v="125.35"/>
    <n v="9"/>
    <n v="2182.14"/>
    <n v="1128.1499999999999"/>
    <n v="1053.99"/>
    <n v="0.4830075063928071"/>
    <x v="18"/>
  </r>
  <r>
    <d v="2022-06-09T00:00:00"/>
    <x v="0"/>
    <x v="0"/>
    <x v="0"/>
    <n v="1637.06"/>
    <n v="1168.48"/>
    <n v="1"/>
    <n v="1637.06"/>
    <n v="1168.48"/>
    <n v="468.57999999999993"/>
    <n v="0.2862326365557768"/>
    <x v="18"/>
  </r>
  <r>
    <d v="2023-08-24T00:00:00"/>
    <x v="0"/>
    <x v="0"/>
    <x v="2"/>
    <n v="1326.54"/>
    <n v="852.28"/>
    <n v="4"/>
    <n v="5306.16"/>
    <n v="3409.12"/>
    <n v="1897.04"/>
    <n v="0.35751654680597644"/>
    <x v="14"/>
  </r>
  <r>
    <d v="2023-03-03T00:00:00"/>
    <x v="8"/>
    <x v="1"/>
    <x v="3"/>
    <n v="20.16"/>
    <n v="15.14"/>
    <n v="2"/>
    <n v="40.32"/>
    <n v="30.28"/>
    <n v="10.039999999999999"/>
    <n v="0.24900793650793648"/>
    <x v="19"/>
  </r>
  <r>
    <d v="2023-09-01T00:00:00"/>
    <x v="0"/>
    <x v="0"/>
    <x v="1"/>
    <n v="468.99"/>
    <n v="353.84"/>
    <n v="5"/>
    <n v="2344.9499999999998"/>
    <n v="1769.1999999999998"/>
    <n v="575.75"/>
    <n v="0.24552762319025995"/>
    <x v="24"/>
  </r>
  <r>
    <d v="2024-05-16T00:00:00"/>
    <x v="5"/>
    <x v="3"/>
    <x v="3"/>
    <n v="1488.48"/>
    <n v="1049.08"/>
    <n v="6"/>
    <n v="8930.880000000001"/>
    <n v="6294.48"/>
    <n v="2636.4000000000015"/>
    <n v="0.29520047296571011"/>
    <x v="3"/>
  </r>
  <r>
    <d v="2024-03-16T00:00:00"/>
    <x v="1"/>
    <x v="1"/>
    <x v="2"/>
    <n v="407.94"/>
    <n v="342.7"/>
    <n v="1"/>
    <n v="407.94"/>
    <n v="342.7"/>
    <n v="65.240000000000009"/>
    <n v="0.15992547923714273"/>
    <x v="29"/>
  </r>
  <r>
    <d v="2023-10-15T00:00:00"/>
    <x v="1"/>
    <x v="1"/>
    <x v="2"/>
    <n v="1461.6"/>
    <n v="1012.72"/>
    <n v="3"/>
    <n v="4384.7999999999993"/>
    <n v="3038.16"/>
    <n v="1346.6399999999994"/>
    <n v="0.30711548987411047"/>
    <x v="5"/>
  </r>
  <r>
    <d v="2023-04-09T00:00:00"/>
    <x v="4"/>
    <x v="2"/>
    <x v="1"/>
    <n v="1775.64"/>
    <n v="1194.9100000000001"/>
    <n v="4"/>
    <n v="7102.56"/>
    <n v="4779.6400000000003"/>
    <n v="2322.92"/>
    <n v="0.32705390732355655"/>
    <x v="6"/>
  </r>
  <r>
    <d v="2024-12-27T00:00:00"/>
    <x v="5"/>
    <x v="3"/>
    <x v="1"/>
    <n v="1828.24"/>
    <n v="1294.47"/>
    <n v="10"/>
    <n v="18282.400000000001"/>
    <n v="12944.7"/>
    <n v="5337.7000000000007"/>
    <n v="0.29195838620750014"/>
    <x v="23"/>
  </r>
  <r>
    <d v="2023-06-26T00:00:00"/>
    <x v="8"/>
    <x v="1"/>
    <x v="0"/>
    <n v="1264.02"/>
    <n v="835.07"/>
    <n v="10"/>
    <n v="12640.2"/>
    <n v="8350.7000000000007"/>
    <n v="4289.5"/>
    <n v="0.33935380769291623"/>
    <x v="0"/>
  </r>
  <r>
    <d v="2023-06-22T00:00:00"/>
    <x v="8"/>
    <x v="1"/>
    <x v="2"/>
    <n v="728.96"/>
    <n v="492.42"/>
    <n v="10"/>
    <n v="7289.6"/>
    <n v="4924.2"/>
    <n v="2365.4000000000005"/>
    <n v="0.32448968393327488"/>
    <x v="0"/>
  </r>
  <r>
    <d v="2023-08-21T00:00:00"/>
    <x v="5"/>
    <x v="3"/>
    <x v="3"/>
    <n v="1623.4"/>
    <n v="1288.68"/>
    <n v="2"/>
    <n v="3246.8"/>
    <n v="2577.36"/>
    <n v="669.44"/>
    <n v="0.20618455094246643"/>
    <x v="14"/>
  </r>
  <r>
    <d v="2022-10-02T00:00:00"/>
    <x v="3"/>
    <x v="2"/>
    <x v="2"/>
    <n v="1004.21"/>
    <n v="880.42"/>
    <n v="7"/>
    <n v="7029.47"/>
    <n v="6162.94"/>
    <n v="866.53000000000065"/>
    <n v="0.12327102896804462"/>
    <x v="25"/>
  </r>
  <r>
    <d v="2023-05-03T00:00:00"/>
    <x v="10"/>
    <x v="2"/>
    <x v="3"/>
    <n v="53.98"/>
    <n v="37.01"/>
    <n v="2"/>
    <n v="107.96"/>
    <n v="74.02"/>
    <n v="33.94"/>
    <n v="0.31437569470174137"/>
    <x v="31"/>
  </r>
  <r>
    <d v="2024-02-05T00:00:00"/>
    <x v="10"/>
    <x v="2"/>
    <x v="1"/>
    <n v="1168.53"/>
    <n v="821.13"/>
    <n v="6"/>
    <n v="7011.18"/>
    <n v="4926.78"/>
    <n v="2084.4000000000005"/>
    <n v="0.29729660342481584"/>
    <x v="34"/>
  </r>
  <r>
    <d v="2022-10-29T00:00:00"/>
    <x v="6"/>
    <x v="3"/>
    <x v="0"/>
    <n v="1087.94"/>
    <n v="595.33000000000004"/>
    <n v="9"/>
    <n v="9791.4600000000009"/>
    <n v="5357.97"/>
    <n v="4433.4900000000007"/>
    <n v="0.45279151423791758"/>
    <x v="25"/>
  </r>
  <r>
    <d v="2022-11-25T00:00:00"/>
    <x v="1"/>
    <x v="1"/>
    <x v="2"/>
    <n v="1145.57"/>
    <n v="859.78"/>
    <n v="2"/>
    <n v="2291.14"/>
    <n v="1719.56"/>
    <n v="571.57999999999993"/>
    <n v="0.24947406094782509"/>
    <x v="1"/>
  </r>
  <r>
    <d v="2024-07-13T00:00:00"/>
    <x v="4"/>
    <x v="2"/>
    <x v="1"/>
    <n v="1816.42"/>
    <n v="1327.37"/>
    <n v="5"/>
    <n v="9082.1"/>
    <n v="6636.8499999999995"/>
    <n v="2445.2500000000009"/>
    <n v="0.2692383920018499"/>
    <x v="28"/>
  </r>
  <r>
    <d v="2023-03-21T00:00:00"/>
    <x v="10"/>
    <x v="2"/>
    <x v="0"/>
    <n v="246.44"/>
    <n v="200.62"/>
    <n v="4"/>
    <n v="985.76"/>
    <n v="802.48"/>
    <n v="183.27999999999997"/>
    <n v="0.18592760915435802"/>
    <x v="19"/>
  </r>
  <r>
    <d v="2022-02-27T00:00:00"/>
    <x v="0"/>
    <x v="0"/>
    <x v="0"/>
    <n v="1850.31"/>
    <n v="1051.01"/>
    <n v="9"/>
    <n v="16652.79"/>
    <n v="9459.09"/>
    <n v="7193.7000000000007"/>
    <n v="0.43198166793672416"/>
    <x v="20"/>
  </r>
  <r>
    <d v="2022-02-14T00:00:00"/>
    <x v="6"/>
    <x v="3"/>
    <x v="0"/>
    <n v="767.38"/>
    <n v="686.49"/>
    <n v="1"/>
    <n v="767.38"/>
    <n v="686.49"/>
    <n v="80.889999999999986"/>
    <n v="0.10541061794677993"/>
    <x v="20"/>
  </r>
  <r>
    <d v="2022-06-02T00:00:00"/>
    <x v="2"/>
    <x v="0"/>
    <x v="0"/>
    <n v="1609.01"/>
    <n v="876.8"/>
    <n v="5"/>
    <n v="8045.05"/>
    <n v="4384"/>
    <n v="3661.05"/>
    <n v="0.45506864469456376"/>
    <x v="18"/>
  </r>
  <r>
    <d v="2024-03-22T00:00:00"/>
    <x v="4"/>
    <x v="2"/>
    <x v="3"/>
    <n v="1359.99"/>
    <n v="870.28"/>
    <n v="5"/>
    <n v="6799.95"/>
    <n v="4351.3999999999996"/>
    <n v="2448.5500000000002"/>
    <n v="0.36008353002595611"/>
    <x v="29"/>
  </r>
  <r>
    <d v="2024-01-20T00:00:00"/>
    <x v="0"/>
    <x v="0"/>
    <x v="1"/>
    <n v="1587.06"/>
    <n v="1013.15"/>
    <n v="4"/>
    <n v="6348.24"/>
    <n v="4052.6"/>
    <n v="2295.64"/>
    <n v="0.36161833831109091"/>
    <x v="26"/>
  </r>
  <r>
    <d v="2024-12-12T00:00:00"/>
    <x v="7"/>
    <x v="0"/>
    <x v="1"/>
    <n v="323.14"/>
    <n v="195.79"/>
    <n v="4"/>
    <n v="1292.56"/>
    <n v="783.16"/>
    <n v="509.4"/>
    <n v="0.3941016277774339"/>
    <x v="23"/>
  </r>
  <r>
    <d v="2022-01-16T00:00:00"/>
    <x v="3"/>
    <x v="2"/>
    <x v="2"/>
    <n v="836.38"/>
    <n v="711.18"/>
    <n v="8"/>
    <n v="6691.04"/>
    <n v="5689.44"/>
    <n v="1001.6000000000004"/>
    <n v="0.14969272340323783"/>
    <x v="9"/>
  </r>
  <r>
    <d v="2022-02-04T00:00:00"/>
    <x v="2"/>
    <x v="0"/>
    <x v="3"/>
    <n v="833.51"/>
    <n v="677.38"/>
    <n v="8"/>
    <n v="6668.08"/>
    <n v="5419.04"/>
    <n v="1249.04"/>
    <n v="0.18731628894674329"/>
    <x v="20"/>
  </r>
  <r>
    <d v="2023-09-29T00:00:00"/>
    <x v="5"/>
    <x v="3"/>
    <x v="1"/>
    <n v="1400.09"/>
    <n v="936.45"/>
    <n v="3"/>
    <n v="4200.2699999999995"/>
    <n v="2809.3500000000004"/>
    <n v="1390.9199999999992"/>
    <n v="0.33115014034812029"/>
    <x v="24"/>
  </r>
  <r>
    <d v="2023-07-21T00:00:00"/>
    <x v="2"/>
    <x v="0"/>
    <x v="0"/>
    <n v="229.43"/>
    <n v="181.19"/>
    <n v="7"/>
    <n v="1606.01"/>
    <n v="1268.33"/>
    <n v="337.68000000000006"/>
    <n v="0.21026021008586501"/>
    <x v="11"/>
  </r>
  <r>
    <d v="2023-06-05T00:00:00"/>
    <x v="10"/>
    <x v="2"/>
    <x v="0"/>
    <n v="223.07"/>
    <n v="156.33000000000001"/>
    <n v="5"/>
    <n v="1115.3499999999999"/>
    <n v="781.65000000000009"/>
    <n v="333.69999999999982"/>
    <n v="0.29918859550813631"/>
    <x v="0"/>
  </r>
  <r>
    <d v="2024-06-07T00:00:00"/>
    <x v="3"/>
    <x v="2"/>
    <x v="0"/>
    <n v="781.48"/>
    <n v="466.27"/>
    <n v="2"/>
    <n v="1562.96"/>
    <n v="932.54"/>
    <n v="630.42000000000007"/>
    <n v="0.40335005374417776"/>
    <x v="4"/>
  </r>
  <r>
    <d v="2022-05-11T00:00:00"/>
    <x v="4"/>
    <x v="2"/>
    <x v="2"/>
    <n v="919.09"/>
    <n v="748.71"/>
    <n v="5"/>
    <n v="4595.45"/>
    <n v="3743.55"/>
    <n v="851.89999999999964"/>
    <n v="0.18537901620080724"/>
    <x v="35"/>
  </r>
  <r>
    <d v="2022-08-16T00:00:00"/>
    <x v="0"/>
    <x v="0"/>
    <x v="0"/>
    <n v="488.72"/>
    <n v="383.17"/>
    <n v="7"/>
    <n v="3421.04"/>
    <n v="2682.19"/>
    <n v="738.84999999999991"/>
    <n v="0.21597233589785561"/>
    <x v="15"/>
  </r>
  <r>
    <d v="2024-09-22T00:00:00"/>
    <x v="6"/>
    <x v="3"/>
    <x v="3"/>
    <n v="1296.6500000000001"/>
    <n v="875.06"/>
    <n v="1"/>
    <n v="1296.6500000000001"/>
    <n v="875.06"/>
    <n v="421.59000000000015"/>
    <n v="0.32513785524235539"/>
    <x v="16"/>
  </r>
  <r>
    <d v="2023-01-11T00:00:00"/>
    <x v="8"/>
    <x v="1"/>
    <x v="0"/>
    <n v="1444.32"/>
    <n v="858.77"/>
    <n v="9"/>
    <n v="12998.88"/>
    <n v="7728.93"/>
    <n v="5269.9499999999989"/>
    <n v="0.40541569735238725"/>
    <x v="13"/>
  </r>
  <r>
    <d v="2022-10-21T00:00:00"/>
    <x v="7"/>
    <x v="0"/>
    <x v="0"/>
    <n v="1169.72"/>
    <n v="745.92"/>
    <n v="3"/>
    <n v="3509.16"/>
    <n v="2237.7599999999998"/>
    <n v="1271.4000000000001"/>
    <n v="0.36230892863249331"/>
    <x v="25"/>
  </r>
  <r>
    <d v="2024-07-22T00:00:00"/>
    <x v="7"/>
    <x v="0"/>
    <x v="2"/>
    <n v="270.57"/>
    <n v="220.12"/>
    <n v="7"/>
    <n v="1893.99"/>
    <n v="1540.8400000000001"/>
    <n v="353.14999999999986"/>
    <n v="0.18645821783641933"/>
    <x v="28"/>
  </r>
  <r>
    <d v="2022-12-21T00:00:00"/>
    <x v="9"/>
    <x v="3"/>
    <x v="0"/>
    <n v="478.59"/>
    <n v="352.02"/>
    <n v="4"/>
    <n v="1914.36"/>
    <n v="1408.08"/>
    <n v="506.28"/>
    <n v="0.26446436406945401"/>
    <x v="33"/>
  </r>
  <r>
    <d v="2023-10-21T00:00:00"/>
    <x v="3"/>
    <x v="2"/>
    <x v="3"/>
    <n v="213.32"/>
    <n v="131"/>
    <n v="1"/>
    <n v="213.32"/>
    <n v="131"/>
    <n v="82.32"/>
    <n v="0.38589911869491839"/>
    <x v="5"/>
  </r>
  <r>
    <d v="2024-06-08T00:00:00"/>
    <x v="8"/>
    <x v="1"/>
    <x v="0"/>
    <n v="900.7"/>
    <n v="766.79"/>
    <n v="10"/>
    <n v="9007"/>
    <n v="7667.9"/>
    <n v="1339.1000000000004"/>
    <n v="0.14867325413567228"/>
    <x v="4"/>
  </r>
  <r>
    <d v="2024-01-28T00:00:00"/>
    <x v="10"/>
    <x v="2"/>
    <x v="2"/>
    <n v="1043.31"/>
    <n v="782.35"/>
    <n v="6"/>
    <n v="6259.86"/>
    <n v="4694.1000000000004"/>
    <n v="1565.7599999999993"/>
    <n v="0.25012699964535939"/>
    <x v="26"/>
  </r>
  <r>
    <d v="2024-01-01T00:00:00"/>
    <x v="5"/>
    <x v="3"/>
    <x v="2"/>
    <n v="1202.71"/>
    <n v="963.89"/>
    <n v="8"/>
    <n v="9621.68"/>
    <n v="7711.12"/>
    <n v="1910.5600000000004"/>
    <n v="0.19856823340622431"/>
    <x v="26"/>
  </r>
  <r>
    <d v="2024-12-07T00:00:00"/>
    <x v="8"/>
    <x v="1"/>
    <x v="0"/>
    <n v="1984.5"/>
    <n v="1502.91"/>
    <n v="10"/>
    <n v="19845"/>
    <n v="15029.1"/>
    <n v="4815.8999999999996"/>
    <n v="0.24267573696145123"/>
    <x v="23"/>
  </r>
  <r>
    <d v="2024-04-08T00:00:00"/>
    <x v="2"/>
    <x v="0"/>
    <x v="0"/>
    <n v="338.37"/>
    <n v="256.51"/>
    <n v="9"/>
    <n v="3045.33"/>
    <n v="2308.59"/>
    <n v="736.73999999999978"/>
    <n v="0.24192452049531571"/>
    <x v="22"/>
  </r>
  <r>
    <d v="2023-03-20T00:00:00"/>
    <x v="6"/>
    <x v="3"/>
    <x v="2"/>
    <n v="816.6"/>
    <n v="655.71"/>
    <n v="2"/>
    <n v="1633.2"/>
    <n v="1311.42"/>
    <n v="321.77999999999997"/>
    <n v="0.19702424687729608"/>
    <x v="19"/>
  </r>
  <r>
    <d v="2023-04-10T00:00:00"/>
    <x v="4"/>
    <x v="2"/>
    <x v="2"/>
    <n v="518.04"/>
    <n v="295.93"/>
    <n v="7"/>
    <n v="3626.2799999999997"/>
    <n v="2071.5100000000002"/>
    <n v="1554.7699999999995"/>
    <n v="0.42875067562350389"/>
    <x v="6"/>
  </r>
  <r>
    <d v="2022-11-16T00:00:00"/>
    <x v="2"/>
    <x v="0"/>
    <x v="0"/>
    <n v="669.66"/>
    <n v="372.09"/>
    <n v="1"/>
    <n v="669.66"/>
    <n v="372.09"/>
    <n v="297.57"/>
    <n v="0.44435982438849564"/>
    <x v="1"/>
  </r>
  <r>
    <d v="2023-04-28T00:00:00"/>
    <x v="4"/>
    <x v="2"/>
    <x v="2"/>
    <n v="438.29"/>
    <n v="267.8"/>
    <n v="7"/>
    <n v="3068.03"/>
    <n v="1874.6000000000001"/>
    <n v="1193.43"/>
    <n v="0.38898902553104109"/>
    <x v="6"/>
  </r>
  <r>
    <d v="2023-05-15T00:00:00"/>
    <x v="1"/>
    <x v="1"/>
    <x v="3"/>
    <n v="1644.83"/>
    <n v="982.43"/>
    <n v="8"/>
    <n v="13158.64"/>
    <n v="7859.44"/>
    <n v="5299.2"/>
    <n v="0.40271639014366228"/>
    <x v="31"/>
  </r>
  <r>
    <d v="2024-09-23T00:00:00"/>
    <x v="1"/>
    <x v="1"/>
    <x v="1"/>
    <n v="1178.71"/>
    <n v="913.41"/>
    <n v="9"/>
    <n v="10608.39"/>
    <n v="8220.69"/>
    <n v="2387.6999999999989"/>
    <n v="0.22507656675518142"/>
    <x v="16"/>
  </r>
  <r>
    <d v="2023-06-01T00:00:00"/>
    <x v="9"/>
    <x v="3"/>
    <x v="0"/>
    <n v="26.14"/>
    <n v="17.63"/>
    <n v="9"/>
    <n v="235.26"/>
    <n v="158.66999999999999"/>
    <n v="76.59"/>
    <n v="0.32555470543228771"/>
    <x v="0"/>
  </r>
  <r>
    <d v="2023-10-21T00:00:00"/>
    <x v="3"/>
    <x v="2"/>
    <x v="1"/>
    <n v="207.2"/>
    <n v="162.25"/>
    <n v="2"/>
    <n v="414.4"/>
    <n v="324.5"/>
    <n v="89.899999999999977"/>
    <n v="0.21694015444015441"/>
    <x v="5"/>
  </r>
  <r>
    <d v="2022-02-03T00:00:00"/>
    <x v="1"/>
    <x v="1"/>
    <x v="2"/>
    <n v="553.69000000000005"/>
    <n v="291.12"/>
    <n v="6"/>
    <n v="3322.1400000000003"/>
    <n v="1746.72"/>
    <n v="1575.4200000000003"/>
    <n v="0.47421842547273751"/>
    <x v="20"/>
  </r>
  <r>
    <d v="2022-06-03T00:00:00"/>
    <x v="3"/>
    <x v="2"/>
    <x v="3"/>
    <n v="101.62"/>
    <n v="80.680000000000007"/>
    <n v="10"/>
    <n v="1016.2"/>
    <n v="806.80000000000007"/>
    <n v="209.39999999999998"/>
    <n v="0.20606179885849238"/>
    <x v="18"/>
  </r>
  <r>
    <d v="2024-08-20T00:00:00"/>
    <x v="8"/>
    <x v="1"/>
    <x v="0"/>
    <n v="705.69"/>
    <n v="586.69000000000005"/>
    <n v="4"/>
    <n v="2822.76"/>
    <n v="2346.7600000000002"/>
    <n v="476"/>
    <n v="0.168629284813445"/>
    <x v="21"/>
  </r>
  <r>
    <d v="2022-04-20T00:00:00"/>
    <x v="1"/>
    <x v="1"/>
    <x v="2"/>
    <n v="295.49"/>
    <n v="157.51"/>
    <n v="2"/>
    <n v="590.98"/>
    <n v="315.02"/>
    <n v="275.96000000000004"/>
    <n v="0.46695319638566452"/>
    <x v="32"/>
  </r>
  <r>
    <d v="2023-02-08T00:00:00"/>
    <x v="0"/>
    <x v="0"/>
    <x v="2"/>
    <n v="1269.52"/>
    <n v="936.16"/>
    <n v="1"/>
    <n v="1269.52"/>
    <n v="936.16"/>
    <n v="333.36"/>
    <n v="0.26258743462095913"/>
    <x v="27"/>
  </r>
  <r>
    <d v="2022-06-13T00:00:00"/>
    <x v="5"/>
    <x v="3"/>
    <x v="1"/>
    <n v="375.07"/>
    <n v="191.48"/>
    <n v="2"/>
    <n v="750.14"/>
    <n v="382.96"/>
    <n v="367.18"/>
    <n v="0.48948196336683819"/>
    <x v="18"/>
  </r>
  <r>
    <d v="2024-08-28T00:00:00"/>
    <x v="4"/>
    <x v="2"/>
    <x v="3"/>
    <n v="546.9"/>
    <n v="468.55"/>
    <n v="5"/>
    <n v="2734.5"/>
    <n v="2342.75"/>
    <n v="391.75"/>
    <n v="0.14326202230755167"/>
    <x v="21"/>
  </r>
  <r>
    <d v="2022-05-03T00:00:00"/>
    <x v="9"/>
    <x v="3"/>
    <x v="0"/>
    <n v="606.52"/>
    <n v="516.75"/>
    <n v="10"/>
    <n v="6065.2"/>
    <n v="5167.5"/>
    <n v="897.69999999999982"/>
    <n v="0.14800830970124643"/>
    <x v="35"/>
  </r>
  <r>
    <d v="2023-12-25T00:00:00"/>
    <x v="9"/>
    <x v="3"/>
    <x v="1"/>
    <n v="466.48"/>
    <n v="304.44"/>
    <n v="5"/>
    <n v="2332.4"/>
    <n v="1522.2"/>
    <n v="810.2"/>
    <n v="0.34736751843594582"/>
    <x v="30"/>
  </r>
  <r>
    <d v="2024-06-10T00:00:00"/>
    <x v="0"/>
    <x v="0"/>
    <x v="0"/>
    <n v="969.55"/>
    <n v="701.33"/>
    <n v="9"/>
    <n v="8725.9499999999989"/>
    <n v="6311.97"/>
    <n v="2413.9799999999987"/>
    <n v="0.27664380382651732"/>
    <x v="4"/>
  </r>
  <r>
    <d v="2022-06-06T00:00:00"/>
    <x v="0"/>
    <x v="0"/>
    <x v="2"/>
    <n v="698.11"/>
    <n v="440.57"/>
    <n v="8"/>
    <n v="5584.88"/>
    <n v="3524.56"/>
    <n v="2060.3200000000002"/>
    <n v="0.36891034364211944"/>
    <x v="18"/>
  </r>
  <r>
    <d v="2023-05-22T00:00:00"/>
    <x v="8"/>
    <x v="1"/>
    <x v="2"/>
    <n v="930.51"/>
    <n v="645.79999999999995"/>
    <n v="1"/>
    <n v="930.51"/>
    <n v="645.79999999999995"/>
    <n v="284.71000000000004"/>
    <n v="0.30597199385283341"/>
    <x v="31"/>
  </r>
  <r>
    <d v="2022-01-23T00:00:00"/>
    <x v="0"/>
    <x v="0"/>
    <x v="2"/>
    <n v="483.41"/>
    <n v="422.1"/>
    <n v="8"/>
    <n v="3867.28"/>
    <n v="3376.8"/>
    <n v="490.48"/>
    <n v="0.12682815829213298"/>
    <x v="9"/>
  </r>
  <r>
    <d v="2023-04-06T00:00:00"/>
    <x v="5"/>
    <x v="3"/>
    <x v="0"/>
    <n v="536.24"/>
    <n v="398.75"/>
    <n v="2"/>
    <n v="1072.48"/>
    <n v="797.5"/>
    <n v="274.98"/>
    <n v="0.25639638967626438"/>
    <x v="6"/>
  </r>
  <r>
    <d v="2022-07-16T00:00:00"/>
    <x v="0"/>
    <x v="0"/>
    <x v="1"/>
    <n v="430.42"/>
    <n v="280.32"/>
    <n v="5"/>
    <n v="2152.1"/>
    <n v="1401.6"/>
    <n v="750.5"/>
    <n v="0.3487291482737791"/>
    <x v="8"/>
  </r>
  <r>
    <d v="2022-05-02T00:00:00"/>
    <x v="9"/>
    <x v="3"/>
    <x v="2"/>
    <n v="258.92"/>
    <n v="135.03"/>
    <n v="3"/>
    <n v="776.76"/>
    <n v="405.09000000000003"/>
    <n v="371.66999999999996"/>
    <n v="0.47848756372624746"/>
    <x v="35"/>
  </r>
  <r>
    <d v="2023-10-26T00:00:00"/>
    <x v="8"/>
    <x v="1"/>
    <x v="0"/>
    <n v="1807.92"/>
    <n v="1349.5"/>
    <n v="7"/>
    <n v="12655.44"/>
    <n v="9446.5"/>
    <n v="3208.9400000000005"/>
    <n v="0.25356210451789907"/>
    <x v="5"/>
  </r>
  <r>
    <d v="2024-10-01T00:00:00"/>
    <x v="4"/>
    <x v="2"/>
    <x v="2"/>
    <n v="806.93"/>
    <n v="649.66999999999996"/>
    <n v="5"/>
    <n v="4034.6499999999996"/>
    <n v="3248.35"/>
    <n v="786.29999999999973"/>
    <n v="0.19488679315430082"/>
    <x v="17"/>
  </r>
  <r>
    <d v="2022-04-05T00:00:00"/>
    <x v="0"/>
    <x v="0"/>
    <x v="3"/>
    <n v="220.8"/>
    <n v="111.76"/>
    <n v="9"/>
    <n v="1987.2"/>
    <n v="1005.84"/>
    <n v="981.36"/>
    <n v="0.49384057971014494"/>
    <x v="32"/>
  </r>
  <r>
    <d v="2024-06-12T00:00:00"/>
    <x v="10"/>
    <x v="2"/>
    <x v="2"/>
    <n v="687.86"/>
    <n v="497.41"/>
    <n v="4"/>
    <n v="2751.44"/>
    <n v="1989.64"/>
    <n v="761.8"/>
    <n v="0.27687320094205214"/>
    <x v="4"/>
  </r>
  <r>
    <d v="2022-02-17T00:00:00"/>
    <x v="1"/>
    <x v="1"/>
    <x v="2"/>
    <n v="393.79"/>
    <n v="258.57"/>
    <n v="5"/>
    <n v="1968.95"/>
    <n v="1292.8499999999999"/>
    <n v="676.10000000000014"/>
    <n v="0.34338098986769605"/>
    <x v="20"/>
  </r>
  <r>
    <d v="2023-11-05T00:00:00"/>
    <x v="2"/>
    <x v="0"/>
    <x v="2"/>
    <n v="1584.13"/>
    <n v="1386.01"/>
    <n v="7"/>
    <n v="11088.91"/>
    <n v="9702.07"/>
    <n v="1386.8400000000001"/>
    <n v="0.1250654933622872"/>
    <x v="10"/>
  </r>
  <r>
    <d v="2022-04-03T00:00:00"/>
    <x v="8"/>
    <x v="1"/>
    <x v="1"/>
    <n v="375.7"/>
    <n v="287.77"/>
    <n v="3"/>
    <n v="1127.0999999999999"/>
    <n v="863.31"/>
    <n v="263.78999999999996"/>
    <n v="0.23404311951024753"/>
    <x v="32"/>
  </r>
  <r>
    <d v="2022-08-22T00:00:00"/>
    <x v="10"/>
    <x v="2"/>
    <x v="3"/>
    <n v="340.24"/>
    <n v="209.44"/>
    <n v="3"/>
    <n v="1020.72"/>
    <n v="628.31999999999994"/>
    <n v="392.40000000000009"/>
    <n v="0.38443451681166241"/>
    <x v="15"/>
  </r>
  <r>
    <d v="2023-03-15T00:00:00"/>
    <x v="8"/>
    <x v="1"/>
    <x v="1"/>
    <n v="1780.59"/>
    <n v="936.63"/>
    <n v="1"/>
    <n v="1780.59"/>
    <n v="936.63"/>
    <n v="843.95999999999992"/>
    <n v="0.47397772648391823"/>
    <x v="19"/>
  </r>
  <r>
    <d v="2023-02-16T00:00:00"/>
    <x v="8"/>
    <x v="1"/>
    <x v="0"/>
    <n v="1206.44"/>
    <n v="849.26"/>
    <n v="1"/>
    <n v="1206.44"/>
    <n v="849.26"/>
    <n v="357.18000000000006"/>
    <n v="0.29606113855641397"/>
    <x v="27"/>
  </r>
  <r>
    <d v="2023-10-29T00:00:00"/>
    <x v="4"/>
    <x v="2"/>
    <x v="1"/>
    <n v="933.22"/>
    <n v="519.69000000000005"/>
    <n v="2"/>
    <n v="1866.44"/>
    <n v="1039.3800000000001"/>
    <n v="827.06"/>
    <n v="0.44312166477357962"/>
    <x v="5"/>
  </r>
  <r>
    <d v="2024-03-28T00:00:00"/>
    <x v="0"/>
    <x v="0"/>
    <x v="1"/>
    <n v="615.29999999999995"/>
    <n v="535.69000000000005"/>
    <n v="8"/>
    <n v="4922.3999999999996"/>
    <n v="4285.5200000000004"/>
    <n v="636.8799999999992"/>
    <n v="0.12938404030554185"/>
    <x v="29"/>
  </r>
  <r>
    <d v="2022-02-19T00:00:00"/>
    <x v="5"/>
    <x v="3"/>
    <x v="1"/>
    <n v="1068.22"/>
    <n v="596.02"/>
    <n v="9"/>
    <n v="9613.98"/>
    <n v="5364.18"/>
    <n v="4249.7999999999993"/>
    <n v="0.44204377375447002"/>
    <x v="20"/>
  </r>
  <r>
    <d v="2022-02-05T00:00:00"/>
    <x v="1"/>
    <x v="1"/>
    <x v="0"/>
    <n v="1101.6099999999999"/>
    <n v="709.71"/>
    <n v="3"/>
    <n v="3304.83"/>
    <n v="2129.13"/>
    <n v="1175.6999999999998"/>
    <n v="0.35575203565690211"/>
    <x v="20"/>
  </r>
  <r>
    <d v="2023-06-03T00:00:00"/>
    <x v="4"/>
    <x v="2"/>
    <x v="2"/>
    <n v="1996.5"/>
    <n v="1316.44"/>
    <n v="1"/>
    <n v="1996.5"/>
    <n v="1316.44"/>
    <n v="680.06"/>
    <n v="0.34062609566741797"/>
    <x v="0"/>
  </r>
  <r>
    <d v="2024-03-06T00:00:00"/>
    <x v="9"/>
    <x v="3"/>
    <x v="2"/>
    <n v="1036.9100000000001"/>
    <n v="833.58"/>
    <n v="9"/>
    <n v="9332.19"/>
    <n v="7502.22"/>
    <n v="1829.9700000000003"/>
    <n v="0.19609223558457342"/>
    <x v="29"/>
  </r>
  <r>
    <d v="2022-09-30T00:00:00"/>
    <x v="3"/>
    <x v="2"/>
    <x v="3"/>
    <n v="174.32"/>
    <n v="129.71"/>
    <n v="1"/>
    <n v="174.32"/>
    <n v="129.71"/>
    <n v="44.609999999999985"/>
    <n v="0.25590867370353365"/>
    <x v="12"/>
  </r>
  <r>
    <d v="2023-01-14T00:00:00"/>
    <x v="5"/>
    <x v="3"/>
    <x v="0"/>
    <n v="392.82"/>
    <n v="315.66000000000003"/>
    <n v="2"/>
    <n v="785.64"/>
    <n v="631.32000000000005"/>
    <n v="154.31999999999994"/>
    <n v="0.19642584389796847"/>
    <x v="13"/>
  </r>
  <r>
    <d v="2023-10-05T00:00:00"/>
    <x v="6"/>
    <x v="3"/>
    <x v="2"/>
    <n v="37.32"/>
    <n v="18.93"/>
    <n v="6"/>
    <n v="223.92000000000002"/>
    <n v="113.58"/>
    <n v="110.34000000000002"/>
    <n v="0.49276527331189712"/>
    <x v="5"/>
  </r>
  <r>
    <d v="2024-03-18T00:00:00"/>
    <x v="0"/>
    <x v="0"/>
    <x v="0"/>
    <n v="1298.6199999999999"/>
    <n v="985.55"/>
    <n v="9"/>
    <n v="11687.579999999998"/>
    <n v="8869.9499999999989"/>
    <n v="2817.6299999999992"/>
    <n v="0.24107899154487067"/>
    <x v="29"/>
  </r>
  <r>
    <d v="2023-02-04T00:00:00"/>
    <x v="1"/>
    <x v="1"/>
    <x v="2"/>
    <n v="1059.53"/>
    <n v="650.86"/>
    <n v="5"/>
    <n v="5297.65"/>
    <n v="3254.3"/>
    <n v="2043.3499999999995"/>
    <n v="0.38570875765669677"/>
    <x v="27"/>
  </r>
  <r>
    <d v="2023-03-25T00:00:00"/>
    <x v="7"/>
    <x v="0"/>
    <x v="2"/>
    <n v="1231.0999999999999"/>
    <n v="1037.94"/>
    <n v="5"/>
    <n v="6155.5"/>
    <n v="5189.7000000000007"/>
    <n v="965.79999999999927"/>
    <n v="0.15690033303549658"/>
    <x v="19"/>
  </r>
  <r>
    <d v="2024-10-27T00:00:00"/>
    <x v="4"/>
    <x v="2"/>
    <x v="0"/>
    <n v="1223.23"/>
    <n v="775.71"/>
    <n v="7"/>
    <n v="8562.61"/>
    <n v="5429.97"/>
    <n v="3132.6400000000003"/>
    <n v="0.36585106643885451"/>
    <x v="17"/>
  </r>
  <r>
    <d v="2023-12-30T00:00:00"/>
    <x v="1"/>
    <x v="1"/>
    <x v="3"/>
    <n v="1353.25"/>
    <n v="734.68"/>
    <n v="10"/>
    <n v="13532.5"/>
    <n v="7346.7999999999993"/>
    <n v="6185.7000000000007"/>
    <n v="0.45709957509698879"/>
    <x v="30"/>
  </r>
  <r>
    <d v="2024-01-25T00:00:00"/>
    <x v="0"/>
    <x v="0"/>
    <x v="0"/>
    <n v="513.22"/>
    <n v="407.52"/>
    <n v="1"/>
    <n v="513.22"/>
    <n v="407.52"/>
    <n v="105.70000000000005"/>
    <n v="0.20595456139667206"/>
    <x v="26"/>
  </r>
  <r>
    <d v="2023-07-24T00:00:00"/>
    <x v="5"/>
    <x v="3"/>
    <x v="3"/>
    <n v="613.99"/>
    <n v="391.21"/>
    <n v="2"/>
    <n v="1227.98"/>
    <n v="782.42"/>
    <n v="445.56000000000006"/>
    <n v="0.36283978566426167"/>
    <x v="11"/>
  </r>
  <r>
    <d v="2024-08-05T00:00:00"/>
    <x v="4"/>
    <x v="2"/>
    <x v="1"/>
    <n v="1519.58"/>
    <n v="1324.12"/>
    <n v="1"/>
    <n v="1519.58"/>
    <n v="1324.12"/>
    <n v="195.46000000000004"/>
    <n v="0.12862764711301811"/>
    <x v="21"/>
  </r>
  <r>
    <d v="2022-12-29T00:00:00"/>
    <x v="3"/>
    <x v="2"/>
    <x v="1"/>
    <n v="773.53"/>
    <n v="664.12"/>
    <n v="7"/>
    <n v="5414.71"/>
    <n v="4648.84"/>
    <n v="765.86999999999989"/>
    <n v="0.14144247799051102"/>
    <x v="33"/>
  </r>
  <r>
    <d v="2022-08-21T00:00:00"/>
    <x v="4"/>
    <x v="2"/>
    <x v="0"/>
    <n v="674.43"/>
    <n v="587.04999999999995"/>
    <n v="8"/>
    <n v="5395.44"/>
    <n v="4696.3999999999996"/>
    <n v="699.04"/>
    <n v="0.12956125913734562"/>
    <x v="15"/>
  </r>
  <r>
    <d v="2022-10-08T00:00:00"/>
    <x v="9"/>
    <x v="3"/>
    <x v="3"/>
    <n v="505.99"/>
    <n v="443.67"/>
    <n v="9"/>
    <n v="4553.91"/>
    <n v="3993.03"/>
    <n v="560.87999999999965"/>
    <n v="0.12316448941678682"/>
    <x v="25"/>
  </r>
  <r>
    <d v="2024-12-10T00:00:00"/>
    <x v="1"/>
    <x v="1"/>
    <x v="3"/>
    <n v="1217.94"/>
    <n v="1003.58"/>
    <n v="3"/>
    <n v="3653.82"/>
    <n v="3010.7400000000002"/>
    <n v="643.07999999999993"/>
    <n v="0.17600210190978208"/>
    <x v="23"/>
  </r>
  <r>
    <d v="2023-06-25T00:00:00"/>
    <x v="10"/>
    <x v="2"/>
    <x v="3"/>
    <n v="1537.39"/>
    <n v="985.22"/>
    <n v="10"/>
    <n v="15373.900000000001"/>
    <n v="9852.2000000000007"/>
    <n v="5521.7000000000007"/>
    <n v="0.35916065539648367"/>
    <x v="0"/>
  </r>
  <r>
    <d v="2024-03-31T00:00:00"/>
    <x v="2"/>
    <x v="0"/>
    <x v="2"/>
    <n v="687.08"/>
    <n v="581.41999999999996"/>
    <n v="7"/>
    <n v="4809.5600000000004"/>
    <n v="4069.9399999999996"/>
    <n v="739.6200000000008"/>
    <n v="0.15378121907201506"/>
    <x v="29"/>
  </r>
  <r>
    <d v="2023-09-15T00:00:00"/>
    <x v="8"/>
    <x v="1"/>
    <x v="0"/>
    <n v="454.09"/>
    <n v="245.2"/>
    <n v="3"/>
    <n v="1362.27"/>
    <n v="735.59999999999991"/>
    <n v="626.67000000000007"/>
    <n v="0.46001893897685486"/>
    <x v="24"/>
  </r>
  <r>
    <d v="2022-07-30T00:00:00"/>
    <x v="4"/>
    <x v="2"/>
    <x v="1"/>
    <n v="1753.52"/>
    <n v="904.66"/>
    <n v="2"/>
    <n v="3507.04"/>
    <n v="1809.32"/>
    <n v="1697.72"/>
    <n v="0.48408914640266437"/>
    <x v="8"/>
  </r>
  <r>
    <d v="2024-05-20T00:00:00"/>
    <x v="8"/>
    <x v="1"/>
    <x v="0"/>
    <n v="1775.96"/>
    <n v="1410.66"/>
    <n v="2"/>
    <n v="3551.92"/>
    <n v="2821.32"/>
    <n v="730.59999999999991"/>
    <n v="0.20569156962994659"/>
    <x v="3"/>
  </r>
  <r>
    <d v="2023-06-13T00:00:00"/>
    <x v="9"/>
    <x v="3"/>
    <x v="1"/>
    <n v="316.76"/>
    <n v="244.22"/>
    <n v="10"/>
    <n v="3167.6"/>
    <n v="2442.1999999999998"/>
    <n v="725.40000000000009"/>
    <n v="0.22900618764995584"/>
    <x v="0"/>
  </r>
  <r>
    <d v="2024-06-13T00:00:00"/>
    <x v="10"/>
    <x v="2"/>
    <x v="1"/>
    <n v="1251.4100000000001"/>
    <n v="979.32"/>
    <n v="6"/>
    <n v="7508.4600000000009"/>
    <n v="5875.92"/>
    <n v="1632.5400000000009"/>
    <n v="0.21742674263430858"/>
    <x v="4"/>
  </r>
  <r>
    <d v="2023-05-04T00:00:00"/>
    <x v="6"/>
    <x v="3"/>
    <x v="1"/>
    <n v="1127.17"/>
    <n v="709.73"/>
    <n v="1"/>
    <n v="1127.17"/>
    <n v="709.73"/>
    <n v="417.44000000000005"/>
    <n v="0.37034342645741108"/>
    <x v="31"/>
  </r>
  <r>
    <d v="2024-10-05T00:00:00"/>
    <x v="8"/>
    <x v="1"/>
    <x v="3"/>
    <n v="1479.83"/>
    <n v="1164.98"/>
    <n v="3"/>
    <n v="4439.49"/>
    <n v="3494.94"/>
    <n v="944.54999999999973"/>
    <n v="0.21276092524141282"/>
    <x v="17"/>
  </r>
  <r>
    <d v="2023-07-13T00:00:00"/>
    <x v="7"/>
    <x v="0"/>
    <x v="2"/>
    <n v="1510.45"/>
    <n v="979.05"/>
    <n v="4"/>
    <n v="6041.8"/>
    <n v="3916.2"/>
    <n v="2125.6000000000004"/>
    <n v="0.351815684067662"/>
    <x v="11"/>
  </r>
  <r>
    <d v="2023-02-27T00:00:00"/>
    <x v="5"/>
    <x v="3"/>
    <x v="2"/>
    <n v="1668.47"/>
    <n v="1248.26"/>
    <n v="2"/>
    <n v="3336.94"/>
    <n v="2496.52"/>
    <n v="840.42000000000007"/>
    <n v="0.25185349451893052"/>
    <x v="27"/>
  </r>
  <r>
    <d v="2023-03-18T00:00:00"/>
    <x v="9"/>
    <x v="3"/>
    <x v="1"/>
    <n v="917.07"/>
    <n v="749.73"/>
    <n v="9"/>
    <n v="8253.630000000001"/>
    <n v="6747.57"/>
    <n v="1506.0600000000013"/>
    <n v="0.18247243939939167"/>
    <x v="19"/>
  </r>
  <r>
    <d v="2023-01-03T00:00:00"/>
    <x v="6"/>
    <x v="3"/>
    <x v="2"/>
    <n v="122.47"/>
    <n v="110.03"/>
    <n v="5"/>
    <n v="612.35"/>
    <n v="550.15"/>
    <n v="62.200000000000045"/>
    <n v="0.10157589613782975"/>
    <x v="13"/>
  </r>
  <r>
    <d v="2024-06-12T00:00:00"/>
    <x v="2"/>
    <x v="0"/>
    <x v="1"/>
    <n v="1563.81"/>
    <n v="1136.6199999999999"/>
    <n v="4"/>
    <n v="6255.24"/>
    <n v="4546.4799999999996"/>
    <n v="1708.7600000000002"/>
    <n v="0.27317257211553836"/>
    <x v="4"/>
  </r>
  <r>
    <d v="2024-07-28T00:00:00"/>
    <x v="6"/>
    <x v="3"/>
    <x v="3"/>
    <n v="291.2"/>
    <n v="232.39"/>
    <n v="2"/>
    <n v="582.4"/>
    <n v="464.78"/>
    <n v="117.62"/>
    <n v="0.20195741758241759"/>
    <x v="28"/>
  </r>
  <r>
    <d v="2024-04-11T00:00:00"/>
    <x v="4"/>
    <x v="2"/>
    <x v="2"/>
    <n v="861.26"/>
    <n v="602.86"/>
    <n v="4"/>
    <n v="3445.04"/>
    <n v="2411.44"/>
    <n v="1033.5999999999999"/>
    <n v="0.30002554397046188"/>
    <x v="22"/>
  </r>
  <r>
    <d v="2022-03-16T00:00:00"/>
    <x v="0"/>
    <x v="0"/>
    <x v="1"/>
    <n v="642.29"/>
    <n v="329.56"/>
    <n v="5"/>
    <n v="3211.45"/>
    <n v="1647.8"/>
    <n v="1563.6499999999999"/>
    <n v="0.48689844151395784"/>
    <x v="7"/>
  </r>
  <r>
    <d v="2024-12-08T00:00:00"/>
    <x v="7"/>
    <x v="0"/>
    <x v="2"/>
    <n v="839.19"/>
    <n v="548.07000000000005"/>
    <n v="1"/>
    <n v="839.19"/>
    <n v="548.07000000000005"/>
    <n v="291.12"/>
    <n v="0.3469059450184106"/>
    <x v="23"/>
  </r>
  <r>
    <d v="2024-03-05T00:00:00"/>
    <x v="7"/>
    <x v="0"/>
    <x v="0"/>
    <n v="1536.57"/>
    <n v="1286.1199999999999"/>
    <n v="2"/>
    <n v="3073.14"/>
    <n v="2572.2399999999998"/>
    <n v="500.90000000000009"/>
    <n v="0.16299289977026757"/>
    <x v="29"/>
  </r>
  <r>
    <d v="2023-12-17T00:00:00"/>
    <x v="10"/>
    <x v="2"/>
    <x v="1"/>
    <n v="203.61"/>
    <n v="153.1"/>
    <n v="7"/>
    <n v="1425.27"/>
    <n v="1071.7"/>
    <n v="353.56999999999994"/>
    <n v="0.24807229507391579"/>
    <x v="30"/>
  </r>
  <r>
    <d v="2024-08-28T00:00:00"/>
    <x v="3"/>
    <x v="2"/>
    <x v="0"/>
    <n v="1036.1099999999999"/>
    <n v="880.1"/>
    <n v="7"/>
    <n v="7252.7699999999995"/>
    <n v="6160.7"/>
    <n v="1092.0699999999997"/>
    <n v="0.15057281562768429"/>
    <x v="21"/>
  </r>
  <r>
    <d v="2023-04-17T00:00:00"/>
    <x v="7"/>
    <x v="0"/>
    <x v="1"/>
    <n v="1087.93"/>
    <n v="681.79"/>
    <n v="4"/>
    <n v="4351.72"/>
    <n v="2727.16"/>
    <n v="1624.5600000000004"/>
    <n v="0.37331445957000919"/>
    <x v="6"/>
  </r>
  <r>
    <d v="2023-03-11T00:00:00"/>
    <x v="9"/>
    <x v="3"/>
    <x v="2"/>
    <n v="1021.92"/>
    <n v="851.05"/>
    <n v="4"/>
    <n v="4087.68"/>
    <n v="3404.2"/>
    <n v="683.48"/>
    <n v="0.16720486926569594"/>
    <x v="19"/>
  </r>
  <r>
    <d v="2024-03-08T00:00:00"/>
    <x v="2"/>
    <x v="0"/>
    <x v="3"/>
    <n v="452.35"/>
    <n v="283.48"/>
    <n v="7"/>
    <n v="3166.4500000000003"/>
    <n v="1984.3600000000001"/>
    <n v="1182.0900000000001"/>
    <n v="0.3733171216978004"/>
    <x v="29"/>
  </r>
  <r>
    <d v="2023-01-09T00:00:00"/>
    <x v="0"/>
    <x v="0"/>
    <x v="0"/>
    <n v="930.13"/>
    <n v="578.79999999999995"/>
    <n v="3"/>
    <n v="2790.39"/>
    <n v="1736.3999999999999"/>
    <n v="1053.99"/>
    <n v="0.37772139378366465"/>
    <x v="13"/>
  </r>
  <r>
    <d v="2024-09-08T00:00:00"/>
    <x v="4"/>
    <x v="2"/>
    <x v="0"/>
    <n v="1037.3599999999999"/>
    <n v="782.92"/>
    <n v="1"/>
    <n v="1037.3599999999999"/>
    <n v="782.92"/>
    <n v="254.43999999999994"/>
    <n v="0.2452764710418755"/>
    <x v="16"/>
  </r>
  <r>
    <d v="2022-06-14T00:00:00"/>
    <x v="1"/>
    <x v="1"/>
    <x v="2"/>
    <n v="1004.02"/>
    <n v="562.16999999999996"/>
    <n v="10"/>
    <n v="10040.200000000001"/>
    <n v="5621.7"/>
    <n v="4418.5000000000009"/>
    <n v="0.44008087488297054"/>
    <x v="18"/>
  </r>
  <r>
    <d v="2022-04-10T00:00:00"/>
    <x v="2"/>
    <x v="0"/>
    <x v="0"/>
    <n v="850.12"/>
    <n v="430.11"/>
    <n v="6"/>
    <n v="5100.72"/>
    <n v="2580.66"/>
    <n v="2520.0600000000004"/>
    <n v="0.49405966216534142"/>
    <x v="32"/>
  </r>
  <r>
    <d v="2022-07-05T00:00:00"/>
    <x v="2"/>
    <x v="0"/>
    <x v="0"/>
    <n v="941.83"/>
    <n v="788.77"/>
    <n v="10"/>
    <n v="9418.3000000000011"/>
    <n v="7887.7"/>
    <n v="1530.6000000000013"/>
    <n v="0.16251340475457365"/>
    <x v="8"/>
  </r>
  <r>
    <d v="2024-07-28T00:00:00"/>
    <x v="7"/>
    <x v="0"/>
    <x v="2"/>
    <n v="579.30999999999995"/>
    <n v="425.66"/>
    <n v="2"/>
    <n v="1158.6199999999999"/>
    <n v="851.32"/>
    <n v="307.29999999999984"/>
    <n v="0.26522932454126452"/>
    <x v="28"/>
  </r>
  <r>
    <d v="2023-12-24T00:00:00"/>
    <x v="4"/>
    <x v="2"/>
    <x v="0"/>
    <n v="748.18"/>
    <n v="503.44"/>
    <n v="7"/>
    <n v="5237.2599999999993"/>
    <n v="3524.08"/>
    <n v="1713.1799999999994"/>
    <n v="0.32711379614531255"/>
    <x v="30"/>
  </r>
  <r>
    <d v="2022-11-30T00:00:00"/>
    <x v="7"/>
    <x v="0"/>
    <x v="2"/>
    <n v="1231.9000000000001"/>
    <n v="848.89"/>
    <n v="6"/>
    <n v="7391.4000000000005"/>
    <n v="5093.34"/>
    <n v="2298.0600000000004"/>
    <n v="0.31090997645912821"/>
    <x v="1"/>
  </r>
  <r>
    <d v="2022-01-29T00:00:00"/>
    <x v="9"/>
    <x v="3"/>
    <x v="0"/>
    <n v="220.72"/>
    <n v="183.12"/>
    <n v="8"/>
    <n v="1765.76"/>
    <n v="1464.96"/>
    <n v="300.79999999999995"/>
    <n v="0.17035157665820946"/>
    <x v="9"/>
  </r>
  <r>
    <d v="2023-11-15T00:00:00"/>
    <x v="7"/>
    <x v="0"/>
    <x v="3"/>
    <n v="1980.28"/>
    <n v="1116.54"/>
    <n v="1"/>
    <n v="1980.28"/>
    <n v="1116.54"/>
    <n v="863.74"/>
    <n v="0.43617064253539906"/>
    <x v="10"/>
  </r>
  <r>
    <d v="2023-10-11T00:00:00"/>
    <x v="7"/>
    <x v="0"/>
    <x v="1"/>
    <n v="301.11"/>
    <n v="195.36"/>
    <n v="3"/>
    <n v="903.33"/>
    <n v="586.08000000000004"/>
    <n v="317.25"/>
    <n v="0.35120055793563815"/>
    <x v="5"/>
  </r>
  <r>
    <d v="2024-03-11T00:00:00"/>
    <x v="7"/>
    <x v="0"/>
    <x v="2"/>
    <n v="961.03"/>
    <n v="737.61"/>
    <n v="4"/>
    <n v="3844.12"/>
    <n v="2950.44"/>
    <n v="893.67999999999984"/>
    <n v="0.23247973528401816"/>
    <x v="29"/>
  </r>
  <r>
    <d v="2022-08-14T00:00:00"/>
    <x v="10"/>
    <x v="2"/>
    <x v="2"/>
    <n v="974.61"/>
    <n v="729.76"/>
    <n v="7"/>
    <n v="6822.27"/>
    <n v="5108.32"/>
    <n v="1713.9500000000007"/>
    <n v="0.25122869660684793"/>
    <x v="15"/>
  </r>
  <r>
    <d v="2024-10-26T00:00:00"/>
    <x v="8"/>
    <x v="1"/>
    <x v="0"/>
    <n v="1576.88"/>
    <n v="921.51"/>
    <n v="5"/>
    <n v="7884.4000000000005"/>
    <n v="4607.55"/>
    <n v="3276.8500000000004"/>
    <n v="0.41561184110395211"/>
    <x v="17"/>
  </r>
  <r>
    <d v="2023-03-14T00:00:00"/>
    <x v="5"/>
    <x v="3"/>
    <x v="2"/>
    <n v="1765.81"/>
    <n v="1399.9"/>
    <n v="5"/>
    <n v="8829.0499999999993"/>
    <n v="6999.5"/>
    <n v="1829.5499999999993"/>
    <n v="0.20721934976016665"/>
    <x v="19"/>
  </r>
  <r>
    <d v="2022-09-22T00:00:00"/>
    <x v="4"/>
    <x v="2"/>
    <x v="2"/>
    <n v="832.64"/>
    <n v="694.02"/>
    <n v="1"/>
    <n v="832.64"/>
    <n v="694.02"/>
    <n v="138.62"/>
    <n v="0.16648251345119139"/>
    <x v="12"/>
  </r>
  <r>
    <d v="2023-10-20T00:00:00"/>
    <x v="6"/>
    <x v="3"/>
    <x v="1"/>
    <n v="602.16"/>
    <n v="331.55"/>
    <n v="9"/>
    <n v="5419.44"/>
    <n v="2983.9500000000003"/>
    <n v="2435.4899999999993"/>
    <n v="0.44939883087551474"/>
    <x v="5"/>
  </r>
  <r>
    <d v="2024-07-25T00:00:00"/>
    <x v="9"/>
    <x v="3"/>
    <x v="2"/>
    <n v="220.81"/>
    <n v="161.33000000000001"/>
    <n v="7"/>
    <n v="1545.67"/>
    <n v="1129.3100000000002"/>
    <n v="416.3599999999999"/>
    <n v="0.26937185815859782"/>
    <x v="28"/>
  </r>
  <r>
    <d v="2022-10-09T00:00:00"/>
    <x v="8"/>
    <x v="1"/>
    <x v="2"/>
    <n v="148.4"/>
    <n v="113.29"/>
    <n v="6"/>
    <n v="890.40000000000009"/>
    <n v="679.74"/>
    <n v="210.66000000000008"/>
    <n v="0.23659029649595695"/>
    <x v="25"/>
  </r>
  <r>
    <d v="2023-07-13T00:00:00"/>
    <x v="4"/>
    <x v="2"/>
    <x v="1"/>
    <n v="1512.31"/>
    <n v="1112.19"/>
    <n v="8"/>
    <n v="12098.48"/>
    <n v="8897.52"/>
    <n v="3200.9599999999991"/>
    <n v="0.26457538467642211"/>
    <x v="11"/>
  </r>
  <r>
    <d v="2024-07-16T00:00:00"/>
    <x v="0"/>
    <x v="0"/>
    <x v="2"/>
    <n v="803.03"/>
    <n v="488.87"/>
    <n v="10"/>
    <n v="8030.2999999999993"/>
    <n v="4888.7"/>
    <n v="3141.5999999999995"/>
    <n v="0.3912182608370795"/>
    <x v="28"/>
  </r>
  <r>
    <d v="2023-05-17T00:00:00"/>
    <x v="5"/>
    <x v="3"/>
    <x v="3"/>
    <n v="1951.27"/>
    <n v="1024.83"/>
    <n v="1"/>
    <n v="1951.27"/>
    <n v="1024.83"/>
    <n v="926.44"/>
    <n v="0.47478821485494066"/>
    <x v="31"/>
  </r>
  <r>
    <d v="2023-08-13T00:00:00"/>
    <x v="10"/>
    <x v="2"/>
    <x v="1"/>
    <n v="787.99"/>
    <n v="593.78"/>
    <n v="7"/>
    <n v="5515.93"/>
    <n v="4156.46"/>
    <n v="1359.4700000000003"/>
    <n v="0.24646251855988024"/>
    <x v="14"/>
  </r>
  <r>
    <d v="2024-08-13T00:00:00"/>
    <x v="0"/>
    <x v="0"/>
    <x v="3"/>
    <n v="116.04"/>
    <n v="80.569999999999993"/>
    <n v="9"/>
    <n v="1044.3600000000001"/>
    <n v="725.12999999999988"/>
    <n v="319.23000000000025"/>
    <n v="0.30567045846259933"/>
    <x v="21"/>
  </r>
  <r>
    <d v="2022-02-06T00:00:00"/>
    <x v="7"/>
    <x v="0"/>
    <x v="3"/>
    <n v="921.58"/>
    <n v="794.11"/>
    <n v="7"/>
    <n v="6451.06"/>
    <n v="5558.77"/>
    <n v="892.29"/>
    <n v="0.13831680375008137"/>
    <x v="20"/>
  </r>
  <r>
    <d v="2023-08-23T00:00:00"/>
    <x v="2"/>
    <x v="0"/>
    <x v="1"/>
    <n v="1731.17"/>
    <n v="1147.5999999999999"/>
    <n v="6"/>
    <n v="10387.02"/>
    <n v="6885.5999999999995"/>
    <n v="3501.420000000001"/>
    <n v="0.33709572139073585"/>
    <x v="14"/>
  </r>
  <r>
    <d v="2023-04-23T00:00:00"/>
    <x v="6"/>
    <x v="3"/>
    <x v="0"/>
    <n v="1113.75"/>
    <n v="886.62"/>
    <n v="6"/>
    <n v="6682.5"/>
    <n v="5319.72"/>
    <n v="1362.7799999999997"/>
    <n v="0.20393265993265988"/>
    <x v="6"/>
  </r>
  <r>
    <d v="2024-11-06T00:00:00"/>
    <x v="5"/>
    <x v="3"/>
    <x v="3"/>
    <n v="1794.02"/>
    <n v="964.09"/>
    <n v="7"/>
    <n v="12558.14"/>
    <n v="6748.63"/>
    <n v="5809.5099999999993"/>
    <n v="0.46260911249595876"/>
    <x v="2"/>
  </r>
  <r>
    <d v="2023-02-27T00:00:00"/>
    <x v="7"/>
    <x v="0"/>
    <x v="2"/>
    <n v="160.74"/>
    <n v="121.62"/>
    <n v="6"/>
    <n v="964.44"/>
    <n v="729.72"/>
    <n v="234.72000000000003"/>
    <n v="0.24337439343038447"/>
    <x v="27"/>
  </r>
  <r>
    <d v="2023-02-26T00:00:00"/>
    <x v="2"/>
    <x v="0"/>
    <x v="2"/>
    <n v="1824.17"/>
    <n v="1217.3499999999999"/>
    <n v="9"/>
    <n v="16417.53"/>
    <n v="10956.15"/>
    <n v="5461.3799999999992"/>
    <n v="0.33265539944193795"/>
    <x v="27"/>
  </r>
  <r>
    <d v="2023-01-06T00:00:00"/>
    <x v="9"/>
    <x v="3"/>
    <x v="3"/>
    <n v="528.59"/>
    <n v="316.19"/>
    <n v="10"/>
    <n v="5285.9000000000005"/>
    <n v="3161.9"/>
    <n v="2124.0000000000005"/>
    <n v="0.40182371970714548"/>
    <x v="13"/>
  </r>
  <r>
    <d v="2023-12-07T00:00:00"/>
    <x v="5"/>
    <x v="3"/>
    <x v="1"/>
    <n v="1724.41"/>
    <n v="1551.03"/>
    <n v="5"/>
    <n v="8622.0500000000011"/>
    <n v="7755.15"/>
    <n v="866.90000000000146"/>
    <n v="0.10054453407252351"/>
    <x v="30"/>
  </r>
  <r>
    <d v="2022-12-02T00:00:00"/>
    <x v="0"/>
    <x v="0"/>
    <x v="1"/>
    <n v="823.94"/>
    <n v="511.47"/>
    <n v="9"/>
    <n v="7415.4600000000009"/>
    <n v="4603.2300000000005"/>
    <n v="2812.2300000000005"/>
    <n v="0.37923877952278079"/>
    <x v="33"/>
  </r>
  <r>
    <d v="2023-06-30T00:00:00"/>
    <x v="9"/>
    <x v="3"/>
    <x v="1"/>
    <n v="902.77"/>
    <n v="577.32000000000005"/>
    <n v="7"/>
    <n v="6319.3899999999994"/>
    <n v="4041.2400000000002"/>
    <n v="2278.1499999999992"/>
    <n v="0.360501567398119"/>
    <x v="0"/>
  </r>
  <r>
    <d v="2022-09-17T00:00:00"/>
    <x v="7"/>
    <x v="0"/>
    <x v="0"/>
    <n v="1239.19"/>
    <n v="797.42"/>
    <n v="8"/>
    <n v="9913.52"/>
    <n v="6379.36"/>
    <n v="3534.1600000000008"/>
    <n v="0.35649900338124102"/>
    <x v="12"/>
  </r>
  <r>
    <d v="2023-09-02T00:00:00"/>
    <x v="5"/>
    <x v="3"/>
    <x v="1"/>
    <n v="28.96"/>
    <n v="20.96"/>
    <n v="3"/>
    <n v="86.88"/>
    <n v="62.88"/>
    <n v="23.999999999999993"/>
    <n v="0.27624309392265184"/>
    <x v="24"/>
  </r>
  <r>
    <d v="2023-10-16T00:00:00"/>
    <x v="4"/>
    <x v="2"/>
    <x v="2"/>
    <n v="1008.76"/>
    <n v="865.92"/>
    <n v="4"/>
    <n v="4035.04"/>
    <n v="3463.68"/>
    <n v="571.36000000000013"/>
    <n v="0.1415995876125144"/>
    <x v="5"/>
  </r>
  <r>
    <d v="2024-10-27T00:00:00"/>
    <x v="2"/>
    <x v="0"/>
    <x v="3"/>
    <n v="1672.96"/>
    <n v="1075.42"/>
    <n v="2"/>
    <n v="3345.92"/>
    <n v="2150.84"/>
    <n v="1195.08"/>
    <n v="0.35717530604437642"/>
    <x v="17"/>
  </r>
  <r>
    <d v="2024-02-03T00:00:00"/>
    <x v="3"/>
    <x v="2"/>
    <x v="2"/>
    <n v="1260.56"/>
    <n v="972.61"/>
    <n v="3"/>
    <n v="3781.68"/>
    <n v="2917.83"/>
    <n v="863.84999999999991"/>
    <n v="0.22843022148886208"/>
    <x v="34"/>
  </r>
  <r>
    <d v="2023-10-10T00:00:00"/>
    <x v="3"/>
    <x v="2"/>
    <x v="2"/>
    <n v="1402.09"/>
    <n v="1156.76"/>
    <n v="9"/>
    <n v="12618.81"/>
    <n v="10410.84"/>
    <n v="2207.9699999999993"/>
    <n v="0.17497450235006307"/>
    <x v="5"/>
  </r>
  <r>
    <d v="2022-07-20T00:00:00"/>
    <x v="4"/>
    <x v="2"/>
    <x v="0"/>
    <n v="756.94"/>
    <n v="565.34"/>
    <n v="9"/>
    <n v="6812.4600000000009"/>
    <n v="5088.0600000000004"/>
    <n v="1724.4000000000005"/>
    <n v="0.253124422014955"/>
    <x v="8"/>
  </r>
  <r>
    <d v="2022-05-20T00:00:00"/>
    <x v="0"/>
    <x v="0"/>
    <x v="3"/>
    <n v="1012.33"/>
    <n v="693.41"/>
    <n v="9"/>
    <n v="9110.9700000000012"/>
    <n v="6240.69"/>
    <n v="2870.2800000000016"/>
    <n v="0.31503561091738874"/>
    <x v="35"/>
  </r>
  <r>
    <d v="2024-12-04T00:00:00"/>
    <x v="8"/>
    <x v="1"/>
    <x v="0"/>
    <n v="446.84"/>
    <n v="254.39"/>
    <n v="3"/>
    <n v="1340.52"/>
    <n v="763.17"/>
    <n v="577.35"/>
    <n v="0.43069107510518306"/>
    <x v="23"/>
  </r>
  <r>
    <d v="2023-04-02T00:00:00"/>
    <x v="7"/>
    <x v="0"/>
    <x v="0"/>
    <n v="714.14"/>
    <n v="625.16999999999996"/>
    <n v="6"/>
    <n v="4284.84"/>
    <n v="3751.0199999999995"/>
    <n v="533.82000000000062"/>
    <n v="0.12458341501666353"/>
    <x v="6"/>
  </r>
  <r>
    <d v="2023-09-25T00:00:00"/>
    <x v="8"/>
    <x v="1"/>
    <x v="1"/>
    <n v="1958.75"/>
    <n v="1742.95"/>
    <n v="5"/>
    <n v="9793.75"/>
    <n v="8714.75"/>
    <n v="1079"/>
    <n v="0.11017230376515635"/>
    <x v="24"/>
  </r>
  <r>
    <d v="2022-06-16T00:00:00"/>
    <x v="3"/>
    <x v="2"/>
    <x v="3"/>
    <n v="1835.65"/>
    <n v="1260.28"/>
    <n v="2"/>
    <n v="3671.3"/>
    <n v="2520.56"/>
    <n v="1150.7400000000002"/>
    <n v="0.31344210497643893"/>
    <x v="18"/>
  </r>
  <r>
    <d v="2024-07-04T00:00:00"/>
    <x v="8"/>
    <x v="1"/>
    <x v="3"/>
    <n v="599.64"/>
    <n v="319.38"/>
    <n v="8"/>
    <n v="4797.12"/>
    <n v="2555.04"/>
    <n v="2242.08"/>
    <n v="0.46738042825695419"/>
    <x v="28"/>
  </r>
  <r>
    <d v="2024-02-22T00:00:00"/>
    <x v="9"/>
    <x v="3"/>
    <x v="0"/>
    <n v="1878.8"/>
    <n v="1178.42"/>
    <n v="5"/>
    <n v="9394"/>
    <n v="5892.1"/>
    <n v="3501.8999999999996"/>
    <n v="0.37278049819033421"/>
    <x v="34"/>
  </r>
  <r>
    <d v="2024-07-19T00:00:00"/>
    <x v="10"/>
    <x v="2"/>
    <x v="3"/>
    <n v="369.54"/>
    <n v="281.5"/>
    <n v="3"/>
    <n v="1108.6200000000001"/>
    <n v="844.5"/>
    <n v="264.12000000000012"/>
    <n v="0.23824213887535864"/>
    <x v="28"/>
  </r>
  <r>
    <d v="2022-11-27T00:00:00"/>
    <x v="0"/>
    <x v="0"/>
    <x v="0"/>
    <n v="1048.04"/>
    <n v="850.96"/>
    <n v="9"/>
    <n v="9432.36"/>
    <n v="7658.64"/>
    <n v="1773.7200000000003"/>
    <n v="0.18804625777642076"/>
    <x v="1"/>
  </r>
  <r>
    <d v="2023-11-22T00:00:00"/>
    <x v="6"/>
    <x v="3"/>
    <x v="3"/>
    <n v="133.16"/>
    <n v="100.77"/>
    <n v="6"/>
    <n v="798.96"/>
    <n v="604.62"/>
    <n v="194.34000000000003"/>
    <n v="0.24324121357765097"/>
    <x v="10"/>
  </r>
  <r>
    <d v="2024-09-01T00:00:00"/>
    <x v="3"/>
    <x v="2"/>
    <x v="2"/>
    <n v="1400.6"/>
    <n v="1194.53"/>
    <n v="9"/>
    <n v="12605.4"/>
    <n v="10750.77"/>
    <n v="1854.6299999999992"/>
    <n v="0.14712980151363694"/>
    <x v="16"/>
  </r>
  <r>
    <d v="2022-08-02T00:00:00"/>
    <x v="7"/>
    <x v="0"/>
    <x v="0"/>
    <n v="61.75"/>
    <n v="38.22"/>
    <n v="8"/>
    <n v="494"/>
    <n v="305.76"/>
    <n v="188.24"/>
    <n v="0.38105263157894737"/>
    <x v="15"/>
  </r>
  <r>
    <d v="2024-07-17T00:00:00"/>
    <x v="10"/>
    <x v="2"/>
    <x v="3"/>
    <n v="97.26"/>
    <n v="75.47"/>
    <n v="3"/>
    <n v="291.78000000000003"/>
    <n v="226.41"/>
    <n v="65.370000000000033"/>
    <n v="0.22403865926382902"/>
    <x v="28"/>
  </r>
  <r>
    <d v="2023-10-15T00:00:00"/>
    <x v="2"/>
    <x v="0"/>
    <x v="1"/>
    <n v="828.97"/>
    <n v="469.45"/>
    <n v="7"/>
    <n v="5802.79"/>
    <n v="3286.15"/>
    <n v="2516.64"/>
    <n v="0.43369482610950938"/>
    <x v="5"/>
  </r>
  <r>
    <d v="2023-06-23T00:00:00"/>
    <x v="9"/>
    <x v="3"/>
    <x v="2"/>
    <n v="1068.6600000000001"/>
    <n v="667.65"/>
    <n v="9"/>
    <n v="9617.94"/>
    <n v="6008.8499999999995"/>
    <n v="3609.0900000000011"/>
    <n v="0.37524563472011685"/>
    <x v="0"/>
  </r>
  <r>
    <d v="2022-04-14T00:00:00"/>
    <x v="10"/>
    <x v="2"/>
    <x v="0"/>
    <n v="108.86"/>
    <n v="69.489999999999995"/>
    <n v="3"/>
    <n v="326.58"/>
    <n v="208.46999999999997"/>
    <n v="118.11000000000001"/>
    <n v="0.36165717435237926"/>
    <x v="32"/>
  </r>
  <r>
    <d v="2023-08-16T00:00:00"/>
    <x v="6"/>
    <x v="3"/>
    <x v="1"/>
    <n v="1419.65"/>
    <n v="738.61"/>
    <n v="1"/>
    <n v="1419.65"/>
    <n v="738.61"/>
    <n v="681.04000000000008"/>
    <n v="0.47972387560314167"/>
    <x v="14"/>
  </r>
  <r>
    <d v="2022-02-12T00:00:00"/>
    <x v="10"/>
    <x v="2"/>
    <x v="3"/>
    <n v="997.72"/>
    <n v="554.47"/>
    <n v="6"/>
    <n v="5986.32"/>
    <n v="3326.82"/>
    <n v="2659.4999999999995"/>
    <n v="0.44426291945636043"/>
    <x v="20"/>
  </r>
  <r>
    <d v="2024-01-27T00:00:00"/>
    <x v="7"/>
    <x v="0"/>
    <x v="1"/>
    <n v="896.43"/>
    <n v="611.15"/>
    <n v="3"/>
    <n v="2689.29"/>
    <n v="1833.4499999999998"/>
    <n v="855.84000000000015"/>
    <n v="0.31824013029461312"/>
    <x v="26"/>
  </r>
  <r>
    <d v="2022-10-10T00:00:00"/>
    <x v="5"/>
    <x v="3"/>
    <x v="3"/>
    <n v="1605.67"/>
    <n v="1335.82"/>
    <n v="1"/>
    <n v="1605.67"/>
    <n v="1335.82"/>
    <n v="269.85000000000014"/>
    <n v="0.16806068494771662"/>
    <x v="25"/>
  </r>
  <r>
    <d v="2022-09-05T00:00:00"/>
    <x v="4"/>
    <x v="2"/>
    <x v="1"/>
    <n v="1668.74"/>
    <n v="1187.27"/>
    <n v="2"/>
    <n v="3337.48"/>
    <n v="2374.54"/>
    <n v="962.94"/>
    <n v="0.28852307729184895"/>
    <x v="12"/>
  </r>
  <r>
    <d v="2023-09-15T00:00:00"/>
    <x v="7"/>
    <x v="0"/>
    <x v="3"/>
    <n v="450.32"/>
    <n v="283.13"/>
    <n v="5"/>
    <n v="2251.6"/>
    <n v="1415.65"/>
    <n v="835.94999999999982"/>
    <n v="0.37126931959495463"/>
    <x v="24"/>
  </r>
  <r>
    <d v="2023-05-06T00:00:00"/>
    <x v="6"/>
    <x v="3"/>
    <x v="1"/>
    <n v="638.05999999999995"/>
    <n v="463.86"/>
    <n v="3"/>
    <n v="1914.1799999999998"/>
    <n v="1391.58"/>
    <n v="522.59999999999991"/>
    <n v="0.27301507695201077"/>
    <x v="31"/>
  </r>
  <r>
    <d v="2022-03-13T00:00:00"/>
    <x v="3"/>
    <x v="2"/>
    <x v="2"/>
    <n v="1300.27"/>
    <n v="777.68"/>
    <n v="9"/>
    <n v="11702.43"/>
    <n v="6999.12"/>
    <n v="4703.3100000000004"/>
    <n v="0.40190883431902608"/>
    <x v="7"/>
  </r>
  <r>
    <d v="2024-06-24T00:00:00"/>
    <x v="0"/>
    <x v="0"/>
    <x v="1"/>
    <n v="1584.64"/>
    <n v="832.01"/>
    <n v="4"/>
    <n v="6338.56"/>
    <n v="3328.04"/>
    <n v="3010.5200000000004"/>
    <n v="0.47495330169628436"/>
    <x v="4"/>
  </r>
  <r>
    <d v="2022-07-03T00:00:00"/>
    <x v="9"/>
    <x v="3"/>
    <x v="3"/>
    <n v="365.76"/>
    <n v="233.78"/>
    <n v="2"/>
    <n v="731.52"/>
    <n v="467.56"/>
    <n v="263.95999999999998"/>
    <n v="0.36083770778652668"/>
    <x v="8"/>
  </r>
  <r>
    <d v="2024-09-08T00:00:00"/>
    <x v="9"/>
    <x v="3"/>
    <x v="0"/>
    <n v="1480.55"/>
    <n v="1007.63"/>
    <n v="5"/>
    <n v="7402.75"/>
    <n v="5038.1499999999996"/>
    <n v="2364.6000000000004"/>
    <n v="0.31942183647968664"/>
    <x v="16"/>
  </r>
  <r>
    <d v="2022-03-05T00:00:00"/>
    <x v="5"/>
    <x v="3"/>
    <x v="1"/>
    <n v="697.69"/>
    <n v="592.64"/>
    <n v="4"/>
    <n v="2790.76"/>
    <n v="2370.56"/>
    <n v="420.20000000000027"/>
    <n v="0.15056830397454465"/>
    <x v="7"/>
  </r>
  <r>
    <d v="2023-04-08T00:00:00"/>
    <x v="5"/>
    <x v="3"/>
    <x v="3"/>
    <n v="31.26"/>
    <n v="24.53"/>
    <n v="3"/>
    <n v="93.78"/>
    <n v="73.59"/>
    <n v="20.189999999999998"/>
    <n v="0.21529110684580932"/>
    <x v="6"/>
  </r>
  <r>
    <d v="2023-09-19T00:00:00"/>
    <x v="6"/>
    <x v="3"/>
    <x v="2"/>
    <n v="265.57"/>
    <n v="214.51"/>
    <n v="1"/>
    <n v="265.57"/>
    <n v="214.51"/>
    <n v="51.06"/>
    <n v="0.19226569266106866"/>
    <x v="24"/>
  </r>
  <r>
    <d v="2023-08-30T00:00:00"/>
    <x v="5"/>
    <x v="3"/>
    <x v="1"/>
    <n v="710.93"/>
    <n v="426.63"/>
    <n v="5"/>
    <n v="3554.6499999999996"/>
    <n v="2133.15"/>
    <n v="1421.4999999999995"/>
    <n v="0.39989872420632122"/>
    <x v="14"/>
  </r>
  <r>
    <d v="2024-07-12T00:00:00"/>
    <x v="5"/>
    <x v="3"/>
    <x v="2"/>
    <n v="908.26"/>
    <n v="732.92"/>
    <n v="8"/>
    <n v="7266.08"/>
    <n v="5863.36"/>
    <n v="1402.7200000000003"/>
    <n v="0.1930504481095722"/>
    <x v="28"/>
  </r>
  <r>
    <d v="2024-07-16T00:00:00"/>
    <x v="5"/>
    <x v="3"/>
    <x v="0"/>
    <n v="1422.49"/>
    <n v="1173.3800000000001"/>
    <n v="2"/>
    <n v="2844.98"/>
    <n v="2346.7600000000002"/>
    <n v="498.2199999999998"/>
    <n v="0.17512249646746192"/>
    <x v="28"/>
  </r>
  <r>
    <d v="2022-01-27T00:00:00"/>
    <x v="4"/>
    <x v="2"/>
    <x v="0"/>
    <n v="1273.74"/>
    <n v="858.13"/>
    <n v="3"/>
    <n v="3821.2200000000003"/>
    <n v="2574.39"/>
    <n v="1246.8300000000004"/>
    <n v="0.32629107981220667"/>
    <x v="9"/>
  </r>
  <r>
    <d v="2024-02-23T00:00:00"/>
    <x v="9"/>
    <x v="3"/>
    <x v="2"/>
    <n v="1864.24"/>
    <n v="1067.79"/>
    <n v="1"/>
    <n v="1864.24"/>
    <n v="1067.79"/>
    <n v="796.45"/>
    <n v="0.42722503540316698"/>
    <x v="34"/>
  </r>
  <r>
    <d v="2022-05-21T00:00:00"/>
    <x v="5"/>
    <x v="3"/>
    <x v="2"/>
    <n v="1122.98"/>
    <n v="666.94"/>
    <n v="7"/>
    <n v="7860.8600000000006"/>
    <n v="4668.58"/>
    <n v="3192.2800000000007"/>
    <n v="0.4060980605175516"/>
    <x v="35"/>
  </r>
  <r>
    <d v="2022-12-11T00:00:00"/>
    <x v="3"/>
    <x v="2"/>
    <x v="1"/>
    <n v="964"/>
    <n v="836.52"/>
    <n v="2"/>
    <n v="1928"/>
    <n v="1673.04"/>
    <n v="254.96000000000004"/>
    <n v="0.13224066390041495"/>
    <x v="33"/>
  </r>
  <r>
    <d v="2023-07-08T00:00:00"/>
    <x v="2"/>
    <x v="0"/>
    <x v="1"/>
    <n v="1735.48"/>
    <n v="1506.49"/>
    <n v="2"/>
    <n v="3470.96"/>
    <n v="3012.98"/>
    <n v="457.98"/>
    <n v="0.1319462050844723"/>
    <x v="11"/>
  </r>
  <r>
    <d v="2022-12-29T00:00:00"/>
    <x v="9"/>
    <x v="3"/>
    <x v="0"/>
    <n v="1544.62"/>
    <n v="1348.22"/>
    <n v="3"/>
    <n v="4633.8599999999997"/>
    <n v="4044.66"/>
    <n v="589.19999999999982"/>
    <n v="0.12715101448900051"/>
    <x v="33"/>
  </r>
  <r>
    <d v="2024-09-04T00:00:00"/>
    <x v="10"/>
    <x v="2"/>
    <x v="2"/>
    <n v="691.6"/>
    <n v="490.42"/>
    <n v="4"/>
    <n v="2766.4"/>
    <n v="1961.68"/>
    <n v="804.72"/>
    <n v="0.2908906882591093"/>
    <x v="16"/>
  </r>
  <r>
    <d v="2022-05-17T00:00:00"/>
    <x v="4"/>
    <x v="2"/>
    <x v="3"/>
    <n v="236.93"/>
    <n v="171.63"/>
    <n v="8"/>
    <n v="1895.44"/>
    <n v="1373.04"/>
    <n v="522.40000000000009"/>
    <n v="0.27560882961212174"/>
    <x v="35"/>
  </r>
  <r>
    <d v="2024-02-03T00:00:00"/>
    <x v="2"/>
    <x v="0"/>
    <x v="3"/>
    <n v="1357.88"/>
    <n v="717.48"/>
    <n v="4"/>
    <n v="5431.52"/>
    <n v="2869.92"/>
    <n v="2561.6000000000004"/>
    <n v="0.47161752143046515"/>
    <x v="34"/>
  </r>
  <r>
    <d v="2022-11-01T00:00:00"/>
    <x v="10"/>
    <x v="2"/>
    <x v="0"/>
    <n v="1505.17"/>
    <n v="1063.19"/>
    <n v="5"/>
    <n v="7525.85"/>
    <n v="5315.9500000000007"/>
    <n v="2209.8999999999996"/>
    <n v="0.29364124982560103"/>
    <x v="1"/>
  </r>
  <r>
    <d v="2023-10-09T00:00:00"/>
    <x v="6"/>
    <x v="3"/>
    <x v="3"/>
    <n v="674.39"/>
    <n v="540.54"/>
    <n v="8"/>
    <n v="5395.12"/>
    <n v="4324.32"/>
    <n v="1070.8000000000002"/>
    <n v="0.19847565948486784"/>
    <x v="5"/>
  </r>
  <r>
    <d v="2022-08-27T00:00:00"/>
    <x v="9"/>
    <x v="3"/>
    <x v="3"/>
    <n v="762.49"/>
    <n v="383.63"/>
    <n v="10"/>
    <n v="7624.9"/>
    <n v="3836.3"/>
    <n v="3788.5999999999995"/>
    <n v="0.4968720901257721"/>
    <x v="15"/>
  </r>
  <r>
    <d v="2024-11-08T00:00:00"/>
    <x v="7"/>
    <x v="0"/>
    <x v="1"/>
    <n v="1443.7"/>
    <n v="846.25"/>
    <n v="1"/>
    <n v="1443.7"/>
    <n v="846.25"/>
    <n v="597.45000000000005"/>
    <n v="0.41383251368012747"/>
    <x v="2"/>
  </r>
  <r>
    <d v="2024-05-02T00:00:00"/>
    <x v="0"/>
    <x v="0"/>
    <x v="3"/>
    <n v="1145.47"/>
    <n v="688.97"/>
    <n v="1"/>
    <n v="1145.47"/>
    <n v="688.97"/>
    <n v="456.5"/>
    <n v="0.39852636908867101"/>
    <x v="3"/>
  </r>
  <r>
    <d v="2023-07-21T00:00:00"/>
    <x v="6"/>
    <x v="3"/>
    <x v="2"/>
    <n v="1314.99"/>
    <n v="936.27"/>
    <n v="4"/>
    <n v="5259.96"/>
    <n v="3745.08"/>
    <n v="1514.88"/>
    <n v="0.28800219013072342"/>
    <x v="11"/>
  </r>
  <r>
    <d v="2024-10-28T00:00:00"/>
    <x v="2"/>
    <x v="0"/>
    <x v="0"/>
    <n v="1287.26"/>
    <n v="663.12"/>
    <n v="10"/>
    <n v="12872.6"/>
    <n v="6631.2"/>
    <n v="6241.4000000000005"/>
    <n v="0.48485931358078405"/>
    <x v="17"/>
  </r>
  <r>
    <d v="2024-01-14T00:00:00"/>
    <x v="3"/>
    <x v="2"/>
    <x v="3"/>
    <n v="1179.43"/>
    <n v="1058.27"/>
    <n v="7"/>
    <n v="8256.01"/>
    <n v="7407.8899999999994"/>
    <n v="848.1200000000008"/>
    <n v="0.10272758875049821"/>
    <x v="26"/>
  </r>
  <r>
    <d v="2024-05-28T00:00:00"/>
    <x v="2"/>
    <x v="0"/>
    <x v="1"/>
    <n v="199.98"/>
    <n v="133.99"/>
    <n v="3"/>
    <n v="599.93999999999994"/>
    <n v="401.97"/>
    <n v="197.96999999999991"/>
    <n v="0.32998299829982985"/>
    <x v="3"/>
  </r>
  <r>
    <d v="2022-05-29T00:00:00"/>
    <x v="5"/>
    <x v="3"/>
    <x v="1"/>
    <n v="1430.67"/>
    <n v="831.69"/>
    <n v="8"/>
    <n v="11445.36"/>
    <n v="6653.52"/>
    <n v="4791.84"/>
    <n v="0.41867097234163014"/>
    <x v="35"/>
  </r>
  <r>
    <d v="2023-07-24T00:00:00"/>
    <x v="2"/>
    <x v="0"/>
    <x v="3"/>
    <n v="1902.03"/>
    <n v="1642.41"/>
    <n v="5"/>
    <n v="9510.15"/>
    <n v="8212.0500000000011"/>
    <n v="1298.0999999999985"/>
    <n v="0.13649626977492454"/>
    <x v="11"/>
  </r>
  <r>
    <d v="2024-04-21T00:00:00"/>
    <x v="8"/>
    <x v="1"/>
    <x v="0"/>
    <n v="1969.39"/>
    <n v="1236.3399999999999"/>
    <n v="3"/>
    <n v="5908.17"/>
    <n v="3709.0199999999995"/>
    <n v="2199.1500000000005"/>
    <n v="0.37222185549840314"/>
    <x v="22"/>
  </r>
  <r>
    <d v="2024-01-15T00:00:00"/>
    <x v="0"/>
    <x v="0"/>
    <x v="0"/>
    <n v="710.87"/>
    <n v="585.19000000000005"/>
    <n v="8"/>
    <n v="5686.96"/>
    <n v="4681.5200000000004"/>
    <n v="1005.4399999999996"/>
    <n v="0.17679744538382539"/>
    <x v="26"/>
  </r>
  <r>
    <d v="2024-08-23T00:00:00"/>
    <x v="2"/>
    <x v="0"/>
    <x v="2"/>
    <n v="891.5"/>
    <n v="520.69000000000005"/>
    <n v="3"/>
    <n v="2674.5"/>
    <n v="1562.0700000000002"/>
    <n v="1112.4299999999998"/>
    <n v="0.41593942793045424"/>
    <x v="21"/>
  </r>
  <r>
    <d v="2024-01-02T00:00:00"/>
    <x v="0"/>
    <x v="0"/>
    <x v="1"/>
    <n v="709.66"/>
    <n v="570.46"/>
    <n v="7"/>
    <n v="4967.62"/>
    <n v="3993.2200000000003"/>
    <n v="974.39999999999964"/>
    <n v="0.19615026914296979"/>
    <x v="26"/>
  </r>
  <r>
    <d v="2022-08-26T00:00:00"/>
    <x v="5"/>
    <x v="3"/>
    <x v="1"/>
    <n v="1859.01"/>
    <n v="1604.25"/>
    <n v="7"/>
    <n v="13013.07"/>
    <n v="11229.75"/>
    <n v="1783.3199999999997"/>
    <n v="0.13704068294414767"/>
    <x v="15"/>
  </r>
  <r>
    <d v="2022-12-10T00:00:00"/>
    <x v="1"/>
    <x v="1"/>
    <x v="3"/>
    <n v="1976.34"/>
    <n v="1628.16"/>
    <n v="6"/>
    <n v="11858.039999999999"/>
    <n v="9768.9600000000009"/>
    <n v="2089.0799999999981"/>
    <n v="0.1761741400771121"/>
    <x v="33"/>
  </r>
  <r>
    <d v="2022-04-29T00:00:00"/>
    <x v="1"/>
    <x v="1"/>
    <x v="0"/>
    <n v="963.96"/>
    <n v="671.12"/>
    <n v="10"/>
    <n v="9639.6"/>
    <n v="6711.2"/>
    <n v="2928.4000000000005"/>
    <n v="0.3037885389435247"/>
    <x v="32"/>
  </r>
  <r>
    <d v="2024-04-20T00:00:00"/>
    <x v="0"/>
    <x v="0"/>
    <x v="2"/>
    <n v="1873.31"/>
    <n v="1580.69"/>
    <n v="9"/>
    <n v="16859.79"/>
    <n v="14226.210000000001"/>
    <n v="2633.58"/>
    <n v="0.15620479258638451"/>
    <x v="22"/>
  </r>
  <r>
    <d v="2022-09-28T00:00:00"/>
    <x v="8"/>
    <x v="1"/>
    <x v="0"/>
    <n v="773.59"/>
    <n v="387.85"/>
    <n v="1"/>
    <n v="773.59"/>
    <n v="387.85"/>
    <n v="385.74"/>
    <n v="0.49863622849312944"/>
    <x v="12"/>
  </r>
  <r>
    <d v="2023-03-07T00:00:00"/>
    <x v="4"/>
    <x v="2"/>
    <x v="1"/>
    <n v="406.02"/>
    <n v="204.01"/>
    <n v="8"/>
    <n v="3248.16"/>
    <n v="1632.08"/>
    <n v="1616.08"/>
    <n v="0.49753706713954976"/>
    <x v="19"/>
  </r>
  <r>
    <d v="2024-04-23T00:00:00"/>
    <x v="3"/>
    <x v="2"/>
    <x v="1"/>
    <n v="186.33"/>
    <n v="148.28"/>
    <n v="1"/>
    <n v="186.33"/>
    <n v="148.28"/>
    <n v="38.050000000000011"/>
    <n v="0.20420758868673863"/>
    <x v="22"/>
  </r>
  <r>
    <d v="2024-09-14T00:00:00"/>
    <x v="3"/>
    <x v="2"/>
    <x v="3"/>
    <n v="921.79"/>
    <n v="502.33"/>
    <n v="8"/>
    <n v="7374.32"/>
    <n v="4018.64"/>
    <n v="3355.68"/>
    <n v="0.45504941472569671"/>
    <x v="16"/>
  </r>
  <r>
    <d v="2024-03-15T00:00:00"/>
    <x v="10"/>
    <x v="2"/>
    <x v="2"/>
    <n v="1436.64"/>
    <n v="1103.58"/>
    <n v="2"/>
    <n v="2873.28"/>
    <n v="2207.16"/>
    <n v="666.12000000000035"/>
    <n v="0.23183260942198475"/>
    <x v="29"/>
  </r>
  <r>
    <d v="2024-04-23T00:00:00"/>
    <x v="7"/>
    <x v="0"/>
    <x v="0"/>
    <n v="1969.36"/>
    <n v="1446.48"/>
    <n v="4"/>
    <n v="7877.44"/>
    <n v="5785.92"/>
    <n v="2091.5199999999995"/>
    <n v="0.26550757606532066"/>
    <x v="22"/>
  </r>
  <r>
    <d v="2023-09-13T00:00:00"/>
    <x v="10"/>
    <x v="2"/>
    <x v="2"/>
    <n v="1317.48"/>
    <n v="742.15"/>
    <n v="2"/>
    <n v="2634.96"/>
    <n v="1484.3"/>
    <n v="1150.6600000000001"/>
    <n v="0.4366897410207366"/>
    <x v="24"/>
  </r>
  <r>
    <d v="2022-07-07T00:00:00"/>
    <x v="2"/>
    <x v="0"/>
    <x v="1"/>
    <n v="1768.69"/>
    <n v="1477.41"/>
    <n v="9"/>
    <n v="15918.210000000001"/>
    <n v="13296.69"/>
    <n v="2621.5200000000004"/>
    <n v="0.16468685863548729"/>
    <x v="8"/>
  </r>
  <r>
    <d v="2024-07-03T00:00:00"/>
    <x v="0"/>
    <x v="0"/>
    <x v="2"/>
    <n v="522.26"/>
    <n v="453.56"/>
    <n v="5"/>
    <n v="2611.3000000000002"/>
    <n v="2267.8000000000002"/>
    <n v="343.5"/>
    <n v="0.13154367556389537"/>
    <x v="28"/>
  </r>
  <r>
    <d v="2023-02-21T00:00:00"/>
    <x v="3"/>
    <x v="2"/>
    <x v="0"/>
    <n v="1354.22"/>
    <n v="1041.21"/>
    <n v="3"/>
    <n v="4062.66"/>
    <n v="3123.63"/>
    <n v="939.02999999999975"/>
    <n v="0.23113674292212485"/>
    <x v="27"/>
  </r>
  <r>
    <d v="2023-02-08T00:00:00"/>
    <x v="2"/>
    <x v="0"/>
    <x v="2"/>
    <n v="1279.81"/>
    <n v="1044.4000000000001"/>
    <n v="2"/>
    <n v="2559.62"/>
    <n v="2088.8000000000002"/>
    <n v="470.81999999999971"/>
    <n v="0.18394136629655955"/>
    <x v="27"/>
  </r>
  <r>
    <d v="2024-02-23T00:00:00"/>
    <x v="3"/>
    <x v="2"/>
    <x v="1"/>
    <n v="824.43"/>
    <n v="438.6"/>
    <n v="7"/>
    <n v="5771.0099999999993"/>
    <n v="3070.2000000000003"/>
    <n v="2700.809999999999"/>
    <n v="0.46799607001200816"/>
    <x v="34"/>
  </r>
  <r>
    <d v="2022-08-09T00:00:00"/>
    <x v="8"/>
    <x v="1"/>
    <x v="2"/>
    <n v="753.56"/>
    <n v="430.93"/>
    <n v="2"/>
    <n v="1507.12"/>
    <n v="861.86"/>
    <n v="645.25999999999988"/>
    <n v="0.42814109029141667"/>
    <x v="15"/>
  </r>
  <r>
    <d v="2024-02-22T00:00:00"/>
    <x v="10"/>
    <x v="2"/>
    <x v="2"/>
    <n v="506.35"/>
    <n v="441.11"/>
    <n v="7"/>
    <n v="3544.4500000000003"/>
    <n v="3087.77"/>
    <n v="456.68000000000029"/>
    <n v="0.12884368519798567"/>
    <x v="34"/>
  </r>
  <r>
    <d v="2023-01-18T00:00:00"/>
    <x v="8"/>
    <x v="1"/>
    <x v="0"/>
    <n v="883.54"/>
    <n v="631.42999999999995"/>
    <n v="7"/>
    <n v="6184.78"/>
    <n v="4420.0099999999993"/>
    <n v="1764.7700000000004"/>
    <n v="0.28534078819295117"/>
    <x v="13"/>
  </r>
  <r>
    <d v="2024-02-25T00:00:00"/>
    <x v="10"/>
    <x v="2"/>
    <x v="0"/>
    <n v="1239.67"/>
    <n v="1016.66"/>
    <n v="6"/>
    <n v="7438.02"/>
    <n v="6099.96"/>
    <n v="1338.0600000000004"/>
    <n v="0.179894649382497"/>
    <x v="34"/>
  </r>
  <r>
    <d v="2024-03-07T00:00:00"/>
    <x v="7"/>
    <x v="0"/>
    <x v="1"/>
    <n v="158.91"/>
    <n v="79.819999999999993"/>
    <n v="7"/>
    <n v="1112.3699999999999"/>
    <n v="558.74"/>
    <n v="553.62999999999988"/>
    <n v="0.49770310238499776"/>
    <x v="29"/>
  </r>
  <r>
    <d v="2023-10-18T00:00:00"/>
    <x v="0"/>
    <x v="0"/>
    <x v="2"/>
    <n v="556.21"/>
    <n v="461.91"/>
    <n v="7"/>
    <n v="3893.4700000000003"/>
    <n v="3233.3700000000003"/>
    <n v="660.09999999999991"/>
    <n v="0.16954028154833603"/>
    <x v="5"/>
  </r>
  <r>
    <d v="2023-04-26T00:00:00"/>
    <x v="7"/>
    <x v="0"/>
    <x v="0"/>
    <n v="1672.11"/>
    <n v="1091.25"/>
    <n v="7"/>
    <n v="11704.769999999999"/>
    <n v="7638.75"/>
    <n v="4066.0199999999986"/>
    <n v="0.34738145217718924"/>
    <x v="6"/>
  </r>
  <r>
    <d v="2022-10-24T00:00:00"/>
    <x v="0"/>
    <x v="0"/>
    <x v="0"/>
    <n v="1011.74"/>
    <n v="865.65"/>
    <n v="7"/>
    <n v="7082.18"/>
    <n v="6059.55"/>
    <n v="1022.6300000000001"/>
    <n v="0.14439480498942417"/>
    <x v="25"/>
  </r>
  <r>
    <d v="2022-05-18T00:00:00"/>
    <x v="5"/>
    <x v="3"/>
    <x v="2"/>
    <n v="176.46"/>
    <n v="99.16"/>
    <n v="7"/>
    <n v="1235.22"/>
    <n v="694.12"/>
    <n v="541.1"/>
    <n v="0.43805961691034795"/>
    <x v="35"/>
  </r>
  <r>
    <d v="2022-10-18T00:00:00"/>
    <x v="8"/>
    <x v="1"/>
    <x v="3"/>
    <n v="1972.44"/>
    <n v="1172.54"/>
    <n v="9"/>
    <n v="17751.96"/>
    <n v="10552.86"/>
    <n v="7199.0999999999985"/>
    <n v="0.40553831802234791"/>
    <x v="25"/>
  </r>
  <r>
    <d v="2024-04-30T00:00:00"/>
    <x v="9"/>
    <x v="3"/>
    <x v="3"/>
    <n v="1158.68"/>
    <n v="583.12"/>
    <n v="4"/>
    <n v="4634.72"/>
    <n v="2332.48"/>
    <n v="2302.2400000000002"/>
    <n v="0.49673766700037975"/>
    <x v="22"/>
  </r>
  <r>
    <d v="2023-07-17T00:00:00"/>
    <x v="9"/>
    <x v="3"/>
    <x v="3"/>
    <n v="1238.71"/>
    <n v="929.22"/>
    <n v="1"/>
    <n v="1238.71"/>
    <n v="929.22"/>
    <n v="309.49"/>
    <n v="0.24984863285191852"/>
    <x v="11"/>
  </r>
  <r>
    <d v="2022-03-21T00:00:00"/>
    <x v="3"/>
    <x v="2"/>
    <x v="1"/>
    <n v="936.09"/>
    <n v="535.34"/>
    <n v="6"/>
    <n v="5616.54"/>
    <n v="3212.04"/>
    <n v="2404.5"/>
    <n v="0.42811054492623574"/>
    <x v="7"/>
  </r>
  <r>
    <d v="2022-02-20T00:00:00"/>
    <x v="4"/>
    <x v="2"/>
    <x v="0"/>
    <n v="1245.3499999999999"/>
    <n v="971.55"/>
    <n v="2"/>
    <n v="2490.6999999999998"/>
    <n v="1943.1"/>
    <n v="547.59999999999991"/>
    <n v="0.21985787128116591"/>
    <x v="20"/>
  </r>
  <r>
    <d v="2023-05-15T00:00:00"/>
    <x v="9"/>
    <x v="3"/>
    <x v="2"/>
    <n v="1692.58"/>
    <n v="1381.5"/>
    <n v="6"/>
    <n v="10155.48"/>
    <n v="8289"/>
    <n v="1866.4799999999996"/>
    <n v="0.18379042644956217"/>
    <x v="31"/>
  </r>
  <r>
    <d v="2023-11-17T00:00:00"/>
    <x v="10"/>
    <x v="2"/>
    <x v="3"/>
    <n v="589.27"/>
    <n v="529.13"/>
    <n v="8"/>
    <n v="4714.16"/>
    <n v="4233.04"/>
    <n v="481.11999999999989"/>
    <n v="0.10205847913520116"/>
    <x v="10"/>
  </r>
  <r>
    <d v="2023-04-17T00:00:00"/>
    <x v="8"/>
    <x v="1"/>
    <x v="2"/>
    <n v="257.89"/>
    <n v="220.44"/>
    <n v="7"/>
    <n v="1805.23"/>
    <n v="1543.08"/>
    <n v="262.15000000000009"/>
    <n v="0.14521695296444226"/>
    <x v="6"/>
  </r>
  <r>
    <d v="2023-11-05T00:00:00"/>
    <x v="1"/>
    <x v="1"/>
    <x v="0"/>
    <n v="1684.66"/>
    <n v="1141.25"/>
    <n v="1"/>
    <n v="1684.66"/>
    <n v="1141.25"/>
    <n v="543.41000000000008"/>
    <n v="0.3225636033383591"/>
    <x v="10"/>
  </r>
  <r>
    <d v="2022-07-08T00:00:00"/>
    <x v="1"/>
    <x v="1"/>
    <x v="0"/>
    <n v="553.9"/>
    <n v="307.39"/>
    <n v="1"/>
    <n v="553.9"/>
    <n v="307.39"/>
    <n v="246.51"/>
    <n v="0.44504423181079616"/>
    <x v="8"/>
  </r>
  <r>
    <d v="2023-01-12T00:00:00"/>
    <x v="2"/>
    <x v="0"/>
    <x v="0"/>
    <n v="347.47"/>
    <n v="215.76"/>
    <n v="9"/>
    <n v="3127.2300000000005"/>
    <n v="1941.84"/>
    <n v="1185.3900000000006"/>
    <n v="0.37905430684663438"/>
    <x v="13"/>
  </r>
  <r>
    <d v="2022-12-26T00:00:00"/>
    <x v="4"/>
    <x v="2"/>
    <x v="1"/>
    <n v="233.58"/>
    <n v="121.98"/>
    <n v="5"/>
    <n v="1167.9000000000001"/>
    <n v="609.9"/>
    <n v="558.00000000000011"/>
    <n v="0.47778063190341646"/>
    <x v="33"/>
  </r>
  <r>
    <d v="2022-08-24T00:00:00"/>
    <x v="10"/>
    <x v="2"/>
    <x v="2"/>
    <n v="1022.57"/>
    <n v="735.93"/>
    <n v="5"/>
    <n v="5112.8500000000004"/>
    <n v="3679.6499999999996"/>
    <n v="1433.2000000000007"/>
    <n v="0.28031332818291183"/>
    <x v="15"/>
  </r>
  <r>
    <d v="2022-08-15T00:00:00"/>
    <x v="8"/>
    <x v="1"/>
    <x v="0"/>
    <n v="231.85"/>
    <n v="180.72"/>
    <n v="3"/>
    <n v="695.55"/>
    <n v="542.16"/>
    <n v="153.38999999999999"/>
    <n v="0.22053051541945223"/>
    <x v="15"/>
  </r>
  <r>
    <d v="2022-09-04T00:00:00"/>
    <x v="8"/>
    <x v="1"/>
    <x v="1"/>
    <n v="1475.99"/>
    <n v="785.02"/>
    <n v="2"/>
    <n v="2951.98"/>
    <n v="1570.04"/>
    <n v="1381.94"/>
    <n v="0.46814002804897054"/>
    <x v="12"/>
  </r>
  <r>
    <d v="2024-08-02T00:00:00"/>
    <x v="9"/>
    <x v="3"/>
    <x v="3"/>
    <n v="136.99"/>
    <n v="72.75"/>
    <n v="4"/>
    <n v="547.96"/>
    <n v="291"/>
    <n v="256.96000000000004"/>
    <n v="0.46893933863785681"/>
    <x v="21"/>
  </r>
  <r>
    <d v="2024-02-07T00:00:00"/>
    <x v="3"/>
    <x v="2"/>
    <x v="0"/>
    <n v="1847.84"/>
    <n v="1595.93"/>
    <n v="8"/>
    <n v="14782.72"/>
    <n v="12767.44"/>
    <n v="2015.2799999999988"/>
    <n v="0.13632673824573549"/>
    <x v="34"/>
  </r>
  <r>
    <d v="2024-03-31T00:00:00"/>
    <x v="1"/>
    <x v="1"/>
    <x v="1"/>
    <n v="967.36"/>
    <n v="711.81"/>
    <n v="7"/>
    <n v="6771.52"/>
    <n v="4982.67"/>
    <n v="1788.8500000000004"/>
    <n v="0.26417259345021504"/>
    <x v="29"/>
  </r>
  <r>
    <d v="2023-05-23T00:00:00"/>
    <x v="6"/>
    <x v="3"/>
    <x v="2"/>
    <n v="957.29"/>
    <n v="504.44"/>
    <n v="4"/>
    <n v="3829.16"/>
    <n v="2017.76"/>
    <n v="1811.3999999999999"/>
    <n v="0.47305414242288124"/>
    <x v="31"/>
  </r>
  <r>
    <d v="2023-03-13T00:00:00"/>
    <x v="8"/>
    <x v="1"/>
    <x v="2"/>
    <n v="637.13"/>
    <n v="568.19000000000005"/>
    <n v="5"/>
    <n v="3185.65"/>
    <n v="2840.9500000000003"/>
    <n v="344.69999999999982"/>
    <n v="0.10820397721030239"/>
    <x v="19"/>
  </r>
  <r>
    <d v="2023-04-14T00:00:00"/>
    <x v="2"/>
    <x v="0"/>
    <x v="3"/>
    <n v="49.21"/>
    <n v="35.729999999999997"/>
    <n v="5"/>
    <n v="246.05"/>
    <n v="178.64999999999998"/>
    <n v="67.400000000000034"/>
    <n v="0.27392806340174775"/>
    <x v="6"/>
  </r>
  <r>
    <d v="2024-07-05T00:00:00"/>
    <x v="5"/>
    <x v="3"/>
    <x v="3"/>
    <n v="641.91"/>
    <n v="443.61"/>
    <n v="10"/>
    <n v="6419.0999999999995"/>
    <n v="4436.1000000000004"/>
    <n v="1982.9999999999991"/>
    <n v="0.30892181146889741"/>
    <x v="28"/>
  </r>
  <r>
    <d v="2023-09-07T00:00:00"/>
    <x v="5"/>
    <x v="3"/>
    <x v="3"/>
    <n v="1139.9100000000001"/>
    <n v="883.74"/>
    <n v="4"/>
    <n v="4559.6400000000003"/>
    <n v="3534.96"/>
    <n v="1024.6800000000003"/>
    <n v="0.22472826802115961"/>
    <x v="24"/>
  </r>
  <r>
    <d v="2022-11-13T00:00:00"/>
    <x v="0"/>
    <x v="0"/>
    <x v="1"/>
    <n v="991.97"/>
    <n v="824.21"/>
    <n v="1"/>
    <n v="991.97"/>
    <n v="824.21"/>
    <n v="167.76"/>
    <n v="0.16911801768198634"/>
    <x v="1"/>
  </r>
  <r>
    <d v="2024-06-07T00:00:00"/>
    <x v="4"/>
    <x v="2"/>
    <x v="0"/>
    <n v="936.73"/>
    <n v="525.61"/>
    <n v="4"/>
    <n v="3746.92"/>
    <n v="2102.44"/>
    <n v="1644.48"/>
    <n v="0.43888847373309275"/>
    <x v="4"/>
  </r>
  <r>
    <d v="2023-06-14T00:00:00"/>
    <x v="3"/>
    <x v="2"/>
    <x v="2"/>
    <n v="121.93"/>
    <n v="72.180000000000007"/>
    <n v="3"/>
    <n v="365.79"/>
    <n v="216.54000000000002"/>
    <n v="149.25"/>
    <n v="0.40802099565324362"/>
    <x v="0"/>
  </r>
  <r>
    <d v="2023-09-17T00:00:00"/>
    <x v="3"/>
    <x v="2"/>
    <x v="0"/>
    <n v="1434.71"/>
    <n v="899.72"/>
    <n v="6"/>
    <n v="8608.26"/>
    <n v="5398.32"/>
    <n v="3209.9400000000005"/>
    <n v="0.37289068871061054"/>
    <x v="24"/>
  </r>
  <r>
    <d v="2023-11-12T00:00:00"/>
    <x v="0"/>
    <x v="0"/>
    <x v="2"/>
    <n v="1292.52"/>
    <n v="931.41"/>
    <n v="7"/>
    <n v="9047.64"/>
    <n v="6519.87"/>
    <n v="2527.7699999999995"/>
    <n v="0.2793844582675703"/>
    <x v="10"/>
  </r>
  <r>
    <d v="2022-07-21T00:00:00"/>
    <x v="10"/>
    <x v="2"/>
    <x v="3"/>
    <n v="192.58"/>
    <n v="124.1"/>
    <n v="9"/>
    <n v="1733.22"/>
    <n v="1116.8999999999999"/>
    <n v="616.32000000000016"/>
    <n v="0.35559248104683777"/>
    <x v="8"/>
  </r>
  <r>
    <d v="2022-04-08T00:00:00"/>
    <x v="1"/>
    <x v="1"/>
    <x v="3"/>
    <n v="982.17"/>
    <n v="629.47"/>
    <n v="9"/>
    <n v="8839.5299999999988"/>
    <n v="5665.2300000000005"/>
    <n v="3174.2999999999984"/>
    <n v="0.35910280297708125"/>
    <x v="32"/>
  </r>
  <r>
    <d v="2023-05-26T00:00:00"/>
    <x v="6"/>
    <x v="3"/>
    <x v="0"/>
    <n v="809.21"/>
    <n v="500.7"/>
    <n v="9"/>
    <n v="7282.89"/>
    <n v="4506.3"/>
    <n v="2776.59"/>
    <n v="0.38124837804772554"/>
    <x v="31"/>
  </r>
  <r>
    <d v="2024-07-01T00:00:00"/>
    <x v="10"/>
    <x v="2"/>
    <x v="2"/>
    <n v="1884.05"/>
    <n v="1007.63"/>
    <n v="7"/>
    <n v="13188.35"/>
    <n v="7053.41"/>
    <n v="6134.9400000000005"/>
    <n v="0.46517873729465781"/>
    <x v="28"/>
  </r>
  <r>
    <d v="2022-02-21T00:00:00"/>
    <x v="1"/>
    <x v="1"/>
    <x v="2"/>
    <n v="346.44"/>
    <n v="229.36"/>
    <n v="4"/>
    <n v="1385.76"/>
    <n v="917.44"/>
    <n v="468.31999999999994"/>
    <n v="0.33795173767463338"/>
    <x v="20"/>
  </r>
  <r>
    <d v="2024-08-01T00:00:00"/>
    <x v="8"/>
    <x v="1"/>
    <x v="1"/>
    <n v="507.47"/>
    <n v="316.76"/>
    <n v="1"/>
    <n v="507.47"/>
    <n v="316.76"/>
    <n v="190.71000000000004"/>
    <n v="0.37580546633298523"/>
    <x v="21"/>
  </r>
  <r>
    <d v="2023-01-28T00:00:00"/>
    <x v="3"/>
    <x v="2"/>
    <x v="3"/>
    <n v="1551.94"/>
    <n v="1185.8699999999999"/>
    <n v="2"/>
    <n v="3103.88"/>
    <n v="2371.7399999999998"/>
    <n v="732.14000000000033"/>
    <n v="0.23587896439295344"/>
    <x v="13"/>
  </r>
  <r>
    <d v="2022-12-10T00:00:00"/>
    <x v="5"/>
    <x v="3"/>
    <x v="2"/>
    <n v="1015.23"/>
    <n v="875.9"/>
    <n v="7"/>
    <n v="7106.6100000000006"/>
    <n v="6131.3"/>
    <n v="975.3100000000004"/>
    <n v="0.13723983727825226"/>
    <x v="33"/>
  </r>
  <r>
    <d v="2024-12-04T00:00:00"/>
    <x v="1"/>
    <x v="1"/>
    <x v="3"/>
    <n v="1360.66"/>
    <n v="849.79"/>
    <n v="7"/>
    <n v="9524.6200000000008"/>
    <n v="5948.53"/>
    <n v="3576.0900000000011"/>
    <n v="0.37545749856687205"/>
    <x v="23"/>
  </r>
  <r>
    <d v="2024-03-03T00:00:00"/>
    <x v="5"/>
    <x v="3"/>
    <x v="3"/>
    <n v="1877.23"/>
    <n v="1397.37"/>
    <n v="5"/>
    <n v="9386.15"/>
    <n v="6986.8499999999995"/>
    <n v="2399.3000000000002"/>
    <n v="0.25562131438342667"/>
    <x v="29"/>
  </r>
  <r>
    <d v="2023-05-17T00:00:00"/>
    <x v="5"/>
    <x v="3"/>
    <x v="2"/>
    <n v="279.58"/>
    <n v="215.84"/>
    <n v="3"/>
    <n v="838.74"/>
    <n v="647.52"/>
    <n v="191.22000000000003"/>
    <n v="0.22798483439444886"/>
    <x v="31"/>
  </r>
  <r>
    <d v="2023-04-22T00:00:00"/>
    <x v="0"/>
    <x v="0"/>
    <x v="3"/>
    <n v="738.59"/>
    <n v="644.29"/>
    <n v="3"/>
    <n v="2215.77"/>
    <n v="1932.87"/>
    <n v="282.90000000000009"/>
    <n v="0.12767570641357184"/>
    <x v="6"/>
  </r>
  <r>
    <d v="2022-10-20T00:00:00"/>
    <x v="8"/>
    <x v="1"/>
    <x v="3"/>
    <n v="695.88"/>
    <n v="386.95"/>
    <n v="9"/>
    <n v="6262.92"/>
    <n v="3482.5499999999997"/>
    <n v="2780.3700000000003"/>
    <n v="0.44394148416393636"/>
    <x v="25"/>
  </r>
  <r>
    <d v="2022-05-06T00:00:00"/>
    <x v="8"/>
    <x v="1"/>
    <x v="3"/>
    <n v="1560.24"/>
    <n v="1028"/>
    <n v="6"/>
    <n v="9361.44"/>
    <n v="6168"/>
    <n v="3193.4400000000005"/>
    <n v="0.34112700610162544"/>
    <x v="35"/>
  </r>
  <r>
    <d v="2024-01-29T00:00:00"/>
    <x v="6"/>
    <x v="3"/>
    <x v="0"/>
    <n v="1683.32"/>
    <n v="1418.35"/>
    <n v="7"/>
    <n v="11783.24"/>
    <n v="9928.4499999999989"/>
    <n v="1854.7900000000009"/>
    <n v="0.15740916759736717"/>
    <x v="26"/>
  </r>
  <r>
    <d v="2024-03-14T00:00:00"/>
    <x v="2"/>
    <x v="0"/>
    <x v="1"/>
    <n v="914.46"/>
    <n v="620.4"/>
    <n v="6"/>
    <n v="5486.76"/>
    <n v="3722.3999999999996"/>
    <n v="1764.3600000000006"/>
    <n v="0.32156682632373212"/>
    <x v="29"/>
  </r>
  <r>
    <d v="2024-11-15T00:00:00"/>
    <x v="5"/>
    <x v="3"/>
    <x v="3"/>
    <n v="1283.57"/>
    <n v="773.16"/>
    <n v="5"/>
    <n v="6417.8499999999995"/>
    <n v="3865.7999999999997"/>
    <n v="2552.0499999999997"/>
    <n v="0.39764874529632199"/>
    <x v="2"/>
  </r>
  <r>
    <d v="2022-06-29T00:00:00"/>
    <x v="6"/>
    <x v="3"/>
    <x v="1"/>
    <n v="1135.74"/>
    <n v="655.6"/>
    <n v="1"/>
    <n v="1135.74"/>
    <n v="655.6"/>
    <n v="480.14"/>
    <n v="0.42275520805818234"/>
    <x v="18"/>
  </r>
  <r>
    <d v="2024-10-08T00:00:00"/>
    <x v="10"/>
    <x v="2"/>
    <x v="2"/>
    <n v="1762.26"/>
    <n v="1110.78"/>
    <n v="1"/>
    <n v="1762.26"/>
    <n v="1110.78"/>
    <n v="651.48"/>
    <n v="0.36968438255422015"/>
    <x v="17"/>
  </r>
  <r>
    <d v="2023-08-25T00:00:00"/>
    <x v="4"/>
    <x v="2"/>
    <x v="3"/>
    <n v="1354.18"/>
    <n v="1025.33"/>
    <n v="10"/>
    <n v="13541.800000000001"/>
    <n v="10253.299999999999"/>
    <n v="3288.5000000000018"/>
    <n v="0.24284068587632379"/>
    <x v="14"/>
  </r>
  <r>
    <d v="2022-01-21T00:00:00"/>
    <x v="10"/>
    <x v="2"/>
    <x v="3"/>
    <n v="222.73"/>
    <n v="137.93"/>
    <n v="4"/>
    <n v="890.92"/>
    <n v="551.72"/>
    <n v="339.19999999999993"/>
    <n v="0.38073003187716065"/>
    <x v="9"/>
  </r>
  <r>
    <d v="2022-03-05T00:00:00"/>
    <x v="4"/>
    <x v="2"/>
    <x v="1"/>
    <n v="172"/>
    <n v="113.15"/>
    <n v="7"/>
    <n v="1204"/>
    <n v="792.05000000000007"/>
    <n v="411.94999999999993"/>
    <n v="0.34215116279069763"/>
    <x v="7"/>
  </r>
  <r>
    <d v="2022-04-18T00:00:00"/>
    <x v="2"/>
    <x v="0"/>
    <x v="3"/>
    <n v="1121.33"/>
    <n v="705.62"/>
    <n v="3"/>
    <n v="3363.99"/>
    <n v="2116.86"/>
    <n v="1247.1299999999997"/>
    <n v="0.3707294016926328"/>
    <x v="32"/>
  </r>
  <r>
    <d v="2024-07-09T00:00:00"/>
    <x v="5"/>
    <x v="3"/>
    <x v="0"/>
    <n v="840.5"/>
    <n v="426.31"/>
    <n v="10"/>
    <n v="8405"/>
    <n v="4263.1000000000004"/>
    <n v="4141.8999999999996"/>
    <n v="0.49279000594883993"/>
    <x v="28"/>
  </r>
  <r>
    <d v="2022-11-09T00:00:00"/>
    <x v="3"/>
    <x v="2"/>
    <x v="2"/>
    <n v="724.21"/>
    <n v="480.02"/>
    <n v="4"/>
    <n v="2896.84"/>
    <n v="1920.08"/>
    <n v="976.76000000000022"/>
    <n v="0.33718120434680554"/>
    <x v="1"/>
  </r>
  <r>
    <d v="2023-07-30T00:00:00"/>
    <x v="7"/>
    <x v="0"/>
    <x v="3"/>
    <n v="1025.2"/>
    <n v="525.84"/>
    <n v="2"/>
    <n v="2050.4"/>
    <n v="1051.68"/>
    <n v="998.72"/>
    <n v="0.48708544674209908"/>
    <x v="11"/>
  </r>
  <r>
    <d v="2022-05-07T00:00:00"/>
    <x v="1"/>
    <x v="1"/>
    <x v="1"/>
    <n v="1763.75"/>
    <n v="932.53"/>
    <n v="9"/>
    <n v="15873.75"/>
    <n v="8392.77"/>
    <n v="7480.98"/>
    <n v="0.47127994330262224"/>
    <x v="35"/>
  </r>
  <r>
    <d v="2022-01-06T00:00:00"/>
    <x v="0"/>
    <x v="0"/>
    <x v="1"/>
    <n v="1462.46"/>
    <n v="985.89"/>
    <n v="7"/>
    <n v="10237.220000000001"/>
    <n v="6901.23"/>
    <n v="3335.9900000000016"/>
    <n v="0.32586874170917507"/>
    <x v="9"/>
  </r>
  <r>
    <d v="2022-10-04T00:00:00"/>
    <x v="1"/>
    <x v="1"/>
    <x v="0"/>
    <n v="642.41999999999996"/>
    <n v="502.54"/>
    <n v="1"/>
    <n v="642.41999999999996"/>
    <n v="502.54"/>
    <n v="139.87999999999994"/>
    <n v="0.21773917374926052"/>
    <x v="25"/>
  </r>
  <r>
    <d v="2023-07-11T00:00:00"/>
    <x v="1"/>
    <x v="1"/>
    <x v="3"/>
    <n v="90.96"/>
    <n v="61.97"/>
    <n v="4"/>
    <n v="363.84"/>
    <n v="247.88"/>
    <n v="115.95999999999998"/>
    <n v="0.31871152154793314"/>
    <x v="11"/>
  </r>
  <r>
    <d v="2024-11-30T00:00:00"/>
    <x v="4"/>
    <x v="2"/>
    <x v="0"/>
    <n v="730.63"/>
    <n v="625.71"/>
    <n v="4"/>
    <n v="2922.52"/>
    <n v="2502.84"/>
    <n v="419.67999999999984"/>
    <n v="0.14360209682055208"/>
    <x v="2"/>
  </r>
  <r>
    <d v="2023-03-09T00:00:00"/>
    <x v="2"/>
    <x v="0"/>
    <x v="3"/>
    <n v="977.34"/>
    <n v="771.79"/>
    <n v="6"/>
    <n v="5864.04"/>
    <n v="4630.74"/>
    <n v="1233.3000000000002"/>
    <n v="0.21031575500849248"/>
    <x v="19"/>
  </r>
  <r>
    <d v="2022-02-20T00:00:00"/>
    <x v="7"/>
    <x v="0"/>
    <x v="3"/>
    <n v="1583.41"/>
    <n v="1312.23"/>
    <n v="7"/>
    <n v="11083.87"/>
    <n v="9185.61"/>
    <n v="1898.2600000000002"/>
    <n v="0.17126328619877354"/>
    <x v="20"/>
  </r>
  <r>
    <d v="2024-10-11T00:00:00"/>
    <x v="8"/>
    <x v="1"/>
    <x v="3"/>
    <n v="1930.67"/>
    <n v="1122.78"/>
    <n v="6"/>
    <n v="11584.02"/>
    <n v="6736.68"/>
    <n v="4847.34"/>
    <n v="0.41845058969166143"/>
    <x v="17"/>
  </r>
  <r>
    <d v="2024-10-06T00:00:00"/>
    <x v="10"/>
    <x v="2"/>
    <x v="3"/>
    <n v="1612.61"/>
    <n v="902.47"/>
    <n v="9"/>
    <n v="14513.49"/>
    <n v="8122.2300000000005"/>
    <n v="6391.2599999999993"/>
    <n v="0.44036685869491071"/>
    <x v="17"/>
  </r>
  <r>
    <d v="2023-02-14T00:00:00"/>
    <x v="2"/>
    <x v="0"/>
    <x v="1"/>
    <n v="1484.96"/>
    <n v="1282.79"/>
    <n v="1"/>
    <n v="1484.96"/>
    <n v="1282.79"/>
    <n v="202.17000000000007"/>
    <n v="0.13614508134899261"/>
    <x v="27"/>
  </r>
  <r>
    <d v="2024-10-04T00:00:00"/>
    <x v="8"/>
    <x v="1"/>
    <x v="2"/>
    <n v="665.93"/>
    <n v="510.11"/>
    <n v="6"/>
    <n v="3995.58"/>
    <n v="3060.66"/>
    <n v="934.92000000000007"/>
    <n v="0.23398855735587826"/>
    <x v="17"/>
  </r>
  <r>
    <d v="2024-12-27T00:00:00"/>
    <x v="4"/>
    <x v="2"/>
    <x v="2"/>
    <n v="480.28"/>
    <n v="326.95"/>
    <n v="5"/>
    <n v="2401.3999999999996"/>
    <n v="1634.75"/>
    <n v="766.64999999999964"/>
    <n v="0.31925127009244597"/>
    <x v="23"/>
  </r>
  <r>
    <d v="2022-06-25T00:00:00"/>
    <x v="1"/>
    <x v="1"/>
    <x v="2"/>
    <n v="1238.1099999999999"/>
    <n v="926.57"/>
    <n v="3"/>
    <n v="3714.33"/>
    <n v="2779.71"/>
    <n v="934.61999999999989"/>
    <n v="0.2516254613887296"/>
    <x v="18"/>
  </r>
  <r>
    <d v="2024-11-20T00:00:00"/>
    <x v="2"/>
    <x v="0"/>
    <x v="0"/>
    <n v="1203.98"/>
    <n v="1030.48"/>
    <n v="8"/>
    <n v="9631.84"/>
    <n v="8243.84"/>
    <n v="1388"/>
    <n v="0.14410538381036231"/>
    <x v="2"/>
  </r>
  <r>
    <d v="2023-07-24T00:00:00"/>
    <x v="10"/>
    <x v="2"/>
    <x v="3"/>
    <n v="149.78"/>
    <n v="96.31"/>
    <n v="4"/>
    <n v="599.12"/>
    <n v="385.24"/>
    <n v="213.88"/>
    <n v="0.35699025237014287"/>
    <x v="11"/>
  </r>
  <r>
    <d v="2024-11-28T00:00:00"/>
    <x v="0"/>
    <x v="0"/>
    <x v="1"/>
    <n v="1474.01"/>
    <n v="923.69"/>
    <n v="4"/>
    <n v="5896.04"/>
    <n v="3694.76"/>
    <n v="2201.2799999999997"/>
    <n v="0.37334889179856307"/>
    <x v="2"/>
  </r>
  <r>
    <d v="2023-06-15T00:00:00"/>
    <x v="10"/>
    <x v="2"/>
    <x v="2"/>
    <n v="937.36"/>
    <n v="843.46"/>
    <n v="6"/>
    <n v="5624.16"/>
    <n v="5060.76"/>
    <n v="563.39999999999964"/>
    <n v="0.10017495946061272"/>
    <x v="0"/>
  </r>
  <r>
    <d v="2022-06-14T00:00:00"/>
    <x v="8"/>
    <x v="1"/>
    <x v="0"/>
    <n v="1783.92"/>
    <n v="1221.57"/>
    <n v="2"/>
    <n v="3567.84"/>
    <n v="2443.14"/>
    <n v="1124.7000000000003"/>
    <n v="0.31523274586304323"/>
    <x v="18"/>
  </r>
  <r>
    <d v="2024-02-21T00:00:00"/>
    <x v="7"/>
    <x v="0"/>
    <x v="1"/>
    <n v="1226.25"/>
    <n v="868.61"/>
    <n v="6"/>
    <n v="7357.5"/>
    <n v="5211.66"/>
    <n v="2145.84"/>
    <n v="0.29165341488277269"/>
    <x v="34"/>
  </r>
  <r>
    <d v="2022-06-16T00:00:00"/>
    <x v="3"/>
    <x v="2"/>
    <x v="1"/>
    <n v="1719.3"/>
    <n v="1390.14"/>
    <n v="1"/>
    <n v="1719.3"/>
    <n v="1390.14"/>
    <n v="329.15999999999985"/>
    <n v="0.19145000872448081"/>
    <x v="18"/>
  </r>
  <r>
    <d v="2023-06-13T00:00:00"/>
    <x v="4"/>
    <x v="2"/>
    <x v="3"/>
    <n v="87.17"/>
    <n v="64.55"/>
    <n v="2"/>
    <n v="174.34"/>
    <n v="129.1"/>
    <n v="45.240000000000009"/>
    <n v="0.25949294482046581"/>
    <x v="0"/>
  </r>
  <r>
    <d v="2024-11-06T00:00:00"/>
    <x v="2"/>
    <x v="0"/>
    <x v="3"/>
    <n v="531.45000000000005"/>
    <n v="329.51"/>
    <n v="7"/>
    <n v="3720.1500000000005"/>
    <n v="2306.5699999999997"/>
    <n v="1413.5800000000008"/>
    <n v="0.37997930190986939"/>
    <x v="2"/>
  </r>
  <r>
    <d v="2024-07-29T00:00:00"/>
    <x v="10"/>
    <x v="2"/>
    <x v="0"/>
    <n v="1143.06"/>
    <n v="666.84"/>
    <n v="10"/>
    <n v="11430.599999999999"/>
    <n v="6668.4000000000005"/>
    <n v="4762.199999999998"/>
    <n v="0.41661855020733807"/>
    <x v="28"/>
  </r>
  <r>
    <d v="2022-02-24T00:00:00"/>
    <x v="0"/>
    <x v="0"/>
    <x v="0"/>
    <n v="1167.71"/>
    <n v="771.78"/>
    <n v="7"/>
    <n v="8173.97"/>
    <n v="5402.46"/>
    <n v="2771.51"/>
    <n v="0.33906535012974115"/>
    <x v="20"/>
  </r>
  <r>
    <d v="2022-03-11T00:00:00"/>
    <x v="5"/>
    <x v="3"/>
    <x v="2"/>
    <n v="201.37"/>
    <n v="112.12"/>
    <n v="10"/>
    <n v="2013.7"/>
    <n v="1121.2"/>
    <n v="892.5"/>
    <n v="0.44321398420817398"/>
    <x v="7"/>
  </r>
  <r>
    <d v="2023-03-03T00:00:00"/>
    <x v="8"/>
    <x v="1"/>
    <x v="2"/>
    <n v="903.73"/>
    <n v="581.13"/>
    <n v="9"/>
    <n v="8133.57"/>
    <n v="5230.17"/>
    <n v="2903.3999999999996"/>
    <n v="0.35696502273909242"/>
    <x v="19"/>
  </r>
  <r>
    <d v="2023-01-10T00:00:00"/>
    <x v="7"/>
    <x v="0"/>
    <x v="3"/>
    <n v="292.63"/>
    <n v="155.69"/>
    <n v="9"/>
    <n v="2633.67"/>
    <n v="1401.21"/>
    <n v="1232.46"/>
    <n v="0.46796295663465809"/>
    <x v="13"/>
  </r>
  <r>
    <d v="2023-03-05T00:00:00"/>
    <x v="1"/>
    <x v="1"/>
    <x v="1"/>
    <n v="39.04"/>
    <n v="28.13"/>
    <n v="2"/>
    <n v="78.08"/>
    <n v="56.26"/>
    <n v="21.82"/>
    <n v="0.27945696721311475"/>
    <x v="19"/>
  </r>
  <r>
    <d v="2023-03-16T00:00:00"/>
    <x v="0"/>
    <x v="0"/>
    <x v="0"/>
    <n v="1273.73"/>
    <n v="807.58"/>
    <n v="6"/>
    <n v="7642.38"/>
    <n v="4845.4800000000005"/>
    <n v="2796.8999999999996"/>
    <n v="0.36597238033178142"/>
    <x v="19"/>
  </r>
  <r>
    <d v="2024-08-10T00:00:00"/>
    <x v="0"/>
    <x v="0"/>
    <x v="2"/>
    <n v="1697.1"/>
    <n v="1493.87"/>
    <n v="10"/>
    <n v="16971"/>
    <n v="14938.699999999999"/>
    <n v="2032.3000000000011"/>
    <n v="0.11975134052206712"/>
    <x v="21"/>
  </r>
  <r>
    <d v="2024-02-12T00:00:00"/>
    <x v="8"/>
    <x v="1"/>
    <x v="3"/>
    <n v="148.9"/>
    <n v="89.24"/>
    <n v="2"/>
    <n v="297.8"/>
    <n v="178.48"/>
    <n v="119.32000000000002"/>
    <n v="0.40067159167226329"/>
    <x v="34"/>
  </r>
  <r>
    <d v="2024-12-30T00:00:00"/>
    <x v="9"/>
    <x v="3"/>
    <x v="2"/>
    <n v="1055.67"/>
    <n v="760.16"/>
    <n v="9"/>
    <n v="9501.0300000000007"/>
    <n v="6841.44"/>
    <n v="2659.5900000000011"/>
    <n v="0.27992649218032162"/>
    <x v="23"/>
  </r>
  <r>
    <d v="2024-12-26T00:00:00"/>
    <x v="10"/>
    <x v="2"/>
    <x v="3"/>
    <n v="631.42999999999995"/>
    <n v="363.02"/>
    <n v="5"/>
    <n v="3157.1499999999996"/>
    <n v="1815.1"/>
    <n v="1342.0499999999997"/>
    <n v="0.42508274868156404"/>
    <x v="23"/>
  </r>
  <r>
    <d v="2023-01-28T00:00:00"/>
    <x v="5"/>
    <x v="3"/>
    <x v="3"/>
    <n v="1419.18"/>
    <n v="971.89"/>
    <n v="3"/>
    <n v="4257.54"/>
    <n v="2915.67"/>
    <n v="1341.87"/>
    <n v="0.31517496018827773"/>
    <x v="13"/>
  </r>
  <r>
    <d v="2022-09-20T00:00:00"/>
    <x v="1"/>
    <x v="1"/>
    <x v="2"/>
    <n v="1134.18"/>
    <n v="884.52"/>
    <n v="4"/>
    <n v="4536.72"/>
    <n v="3538.08"/>
    <n v="998.64000000000033"/>
    <n v="0.22012378987462314"/>
    <x v="12"/>
  </r>
  <r>
    <d v="2024-03-18T00:00:00"/>
    <x v="2"/>
    <x v="0"/>
    <x v="3"/>
    <n v="1763.97"/>
    <n v="1527.98"/>
    <n v="1"/>
    <n v="1763.97"/>
    <n v="1527.98"/>
    <n v="235.99"/>
    <n v="0.13378345436713776"/>
    <x v="29"/>
  </r>
  <r>
    <d v="2023-09-21T00:00:00"/>
    <x v="5"/>
    <x v="3"/>
    <x v="3"/>
    <n v="1728.89"/>
    <n v="1469.02"/>
    <n v="4"/>
    <n v="6915.56"/>
    <n v="5876.08"/>
    <n v="1039.4800000000005"/>
    <n v="0.15031031471059472"/>
    <x v="24"/>
  </r>
  <r>
    <d v="2023-12-29T00:00:00"/>
    <x v="6"/>
    <x v="3"/>
    <x v="1"/>
    <n v="1373.72"/>
    <n v="796.33"/>
    <n v="9"/>
    <n v="12363.48"/>
    <n v="7166.97"/>
    <n v="5196.5099999999993"/>
    <n v="0.42031127158372883"/>
    <x v="30"/>
  </r>
  <r>
    <d v="2024-08-31T00:00:00"/>
    <x v="7"/>
    <x v="0"/>
    <x v="0"/>
    <n v="1129.57"/>
    <n v="837.56"/>
    <n v="9"/>
    <n v="10166.129999999999"/>
    <n v="7538.0399999999991"/>
    <n v="2628.09"/>
    <n v="0.25851430190249391"/>
    <x v="21"/>
  </r>
  <r>
    <d v="2022-07-28T00:00:00"/>
    <x v="7"/>
    <x v="0"/>
    <x v="0"/>
    <n v="1878.37"/>
    <n v="1203.67"/>
    <n v="4"/>
    <n v="7513.48"/>
    <n v="4814.68"/>
    <n v="2698.7999999999993"/>
    <n v="0.35919440791750284"/>
    <x v="8"/>
  </r>
  <r>
    <d v="2022-04-07T00:00:00"/>
    <x v="4"/>
    <x v="2"/>
    <x v="2"/>
    <n v="1121.45"/>
    <n v="814.56"/>
    <n v="4"/>
    <n v="4485.8"/>
    <n v="3258.24"/>
    <n v="1227.5600000000004"/>
    <n v="0.27365464354184321"/>
    <x v="32"/>
  </r>
  <r>
    <d v="2022-01-20T00:00:00"/>
    <x v="1"/>
    <x v="1"/>
    <x v="0"/>
    <n v="416.79"/>
    <n v="353.3"/>
    <n v="7"/>
    <n v="2917.53"/>
    <n v="2473.1"/>
    <n v="444.43000000000029"/>
    <n v="0.1523309100506251"/>
    <x v="9"/>
  </r>
  <r>
    <d v="2022-10-11T00:00:00"/>
    <x v="7"/>
    <x v="0"/>
    <x v="1"/>
    <n v="1156.6500000000001"/>
    <n v="884.65"/>
    <n v="5"/>
    <n v="5783.25"/>
    <n v="4423.25"/>
    <n v="1360"/>
    <n v="0.23516188994077725"/>
    <x v="25"/>
  </r>
  <r>
    <d v="2022-10-13T00:00:00"/>
    <x v="2"/>
    <x v="0"/>
    <x v="2"/>
    <n v="1686.7"/>
    <n v="855.52"/>
    <n v="6"/>
    <n v="10120.200000000001"/>
    <n v="5133.12"/>
    <n v="4987.0800000000008"/>
    <n v="0.49278472757455388"/>
    <x v="25"/>
  </r>
  <r>
    <d v="2022-05-13T00:00:00"/>
    <x v="9"/>
    <x v="3"/>
    <x v="3"/>
    <n v="586.66999999999996"/>
    <n v="331.62"/>
    <n v="5"/>
    <n v="2933.35"/>
    <n v="1658.1"/>
    <n v="1275.25"/>
    <n v="0.43474184805768151"/>
    <x v="35"/>
  </r>
  <r>
    <d v="2024-10-21T00:00:00"/>
    <x v="0"/>
    <x v="0"/>
    <x v="3"/>
    <n v="1940.69"/>
    <n v="1408.57"/>
    <n v="2"/>
    <n v="3881.38"/>
    <n v="2817.14"/>
    <n v="1064.2400000000002"/>
    <n v="0.27419113820342256"/>
    <x v="17"/>
  </r>
  <r>
    <d v="2024-12-13T00:00:00"/>
    <x v="6"/>
    <x v="3"/>
    <x v="0"/>
    <n v="242.18"/>
    <n v="193.76"/>
    <n v="5"/>
    <n v="1210.9000000000001"/>
    <n v="968.8"/>
    <n v="242.10000000000014"/>
    <n v="0.19993393343793883"/>
    <x v="23"/>
  </r>
  <r>
    <d v="2024-11-30T00:00:00"/>
    <x v="5"/>
    <x v="3"/>
    <x v="2"/>
    <n v="240.68"/>
    <n v="188.08"/>
    <n v="10"/>
    <n v="2406.8000000000002"/>
    <n v="1880.8000000000002"/>
    <n v="526"/>
    <n v="0.21854744889479805"/>
    <x v="2"/>
  </r>
  <r>
    <d v="2023-09-05T00:00:00"/>
    <x v="7"/>
    <x v="0"/>
    <x v="3"/>
    <n v="75.48"/>
    <n v="64.13"/>
    <n v="6"/>
    <n v="452.88"/>
    <n v="384.78"/>
    <n v="68.100000000000023"/>
    <n v="0.15037095919448865"/>
    <x v="24"/>
  </r>
  <r>
    <d v="2024-08-13T00:00:00"/>
    <x v="4"/>
    <x v="2"/>
    <x v="0"/>
    <n v="497"/>
    <n v="273.5"/>
    <n v="2"/>
    <n v="994"/>
    <n v="547"/>
    <n v="447"/>
    <n v="0.44969818913480886"/>
    <x v="21"/>
  </r>
  <r>
    <d v="2023-11-17T00:00:00"/>
    <x v="0"/>
    <x v="0"/>
    <x v="3"/>
    <n v="309.58999999999997"/>
    <n v="246.12"/>
    <n v="7"/>
    <n v="2167.1299999999997"/>
    <n v="1722.8400000000001"/>
    <n v="444.28999999999951"/>
    <n v="0.20501308181788799"/>
    <x v="10"/>
  </r>
  <r>
    <d v="2023-02-08T00:00:00"/>
    <x v="5"/>
    <x v="3"/>
    <x v="0"/>
    <n v="1304.93"/>
    <n v="680.78"/>
    <n v="7"/>
    <n v="9134.51"/>
    <n v="4765.46"/>
    <n v="4369.05"/>
    <n v="0.47830151808909294"/>
    <x v="27"/>
  </r>
  <r>
    <d v="2024-05-21T00:00:00"/>
    <x v="5"/>
    <x v="3"/>
    <x v="1"/>
    <n v="365.63"/>
    <n v="320.54000000000002"/>
    <n v="2"/>
    <n v="731.26"/>
    <n v="641.08000000000004"/>
    <n v="90.17999999999995"/>
    <n v="0.12332139047671137"/>
    <x v="3"/>
  </r>
  <r>
    <d v="2023-03-19T00:00:00"/>
    <x v="4"/>
    <x v="2"/>
    <x v="3"/>
    <n v="1995.81"/>
    <n v="1247.55"/>
    <n v="9"/>
    <n v="17962.29"/>
    <n v="11227.949999999999"/>
    <n v="6734.340000000002"/>
    <n v="0.37491544786327363"/>
    <x v="19"/>
  </r>
  <r>
    <d v="2023-08-15T00:00:00"/>
    <x v="0"/>
    <x v="0"/>
    <x v="2"/>
    <n v="1166.99"/>
    <n v="964.42"/>
    <n v="10"/>
    <n v="11669.9"/>
    <n v="9644.1999999999989"/>
    <n v="2025.7000000000007"/>
    <n v="0.17358332119384062"/>
    <x v="14"/>
  </r>
  <r>
    <d v="2022-04-09T00:00:00"/>
    <x v="0"/>
    <x v="0"/>
    <x v="3"/>
    <n v="1876.39"/>
    <n v="1379.46"/>
    <n v="1"/>
    <n v="1876.39"/>
    <n v="1379.46"/>
    <n v="496.93000000000006"/>
    <n v="0.26483300379984975"/>
    <x v="32"/>
  </r>
  <r>
    <d v="2023-08-03T00:00:00"/>
    <x v="7"/>
    <x v="0"/>
    <x v="0"/>
    <n v="378.2"/>
    <n v="307.07"/>
    <n v="9"/>
    <n v="3403.7999999999997"/>
    <n v="2763.63"/>
    <n v="640.16999999999962"/>
    <n v="0.18807509254362761"/>
    <x v="14"/>
  </r>
  <r>
    <d v="2024-10-07T00:00:00"/>
    <x v="10"/>
    <x v="2"/>
    <x v="1"/>
    <n v="1142.4100000000001"/>
    <n v="726.29"/>
    <n v="4"/>
    <n v="4569.6400000000003"/>
    <n v="2905.16"/>
    <n v="1664.4800000000005"/>
    <n v="0.36424751183900711"/>
    <x v="17"/>
  </r>
  <r>
    <d v="2024-06-15T00:00:00"/>
    <x v="1"/>
    <x v="1"/>
    <x v="2"/>
    <n v="1508.68"/>
    <n v="1012.92"/>
    <n v="2"/>
    <n v="3017.36"/>
    <n v="2025.84"/>
    <n v="991.52000000000021"/>
    <n v="0.32860513826656418"/>
    <x v="4"/>
  </r>
  <r>
    <d v="2024-04-15T00:00:00"/>
    <x v="8"/>
    <x v="1"/>
    <x v="3"/>
    <n v="1444.8"/>
    <n v="1237.43"/>
    <n v="2"/>
    <n v="2889.6"/>
    <n v="2474.86"/>
    <n v="414.73999999999978"/>
    <n v="0.14352851605758576"/>
    <x v="22"/>
  </r>
  <r>
    <d v="2024-01-30T00:00:00"/>
    <x v="1"/>
    <x v="1"/>
    <x v="0"/>
    <n v="1882.04"/>
    <n v="1519.12"/>
    <n v="7"/>
    <n v="13174.279999999999"/>
    <n v="10633.84"/>
    <n v="2540.4399999999987"/>
    <n v="0.1928333085375443"/>
    <x v="26"/>
  </r>
  <r>
    <d v="2024-06-24T00:00:00"/>
    <x v="3"/>
    <x v="2"/>
    <x v="3"/>
    <n v="1790.29"/>
    <n v="1208.04"/>
    <n v="2"/>
    <n v="3580.58"/>
    <n v="2416.08"/>
    <n v="1164.5"/>
    <n v="0.3252266392595613"/>
    <x v="4"/>
  </r>
  <r>
    <d v="2022-05-25T00:00:00"/>
    <x v="0"/>
    <x v="0"/>
    <x v="1"/>
    <n v="613.42999999999995"/>
    <n v="350.58"/>
    <n v="6"/>
    <n v="3680.58"/>
    <n v="2103.48"/>
    <n v="1577.1"/>
    <n v="0.42849224850431178"/>
    <x v="35"/>
  </r>
  <r>
    <d v="2022-08-01T00:00:00"/>
    <x v="5"/>
    <x v="3"/>
    <x v="1"/>
    <n v="589.66999999999996"/>
    <n v="514.03"/>
    <n v="4"/>
    <n v="2358.6799999999998"/>
    <n v="2056.12"/>
    <n v="302.55999999999995"/>
    <n v="0.12827513694100087"/>
    <x v="15"/>
  </r>
  <r>
    <d v="2024-04-05T00:00:00"/>
    <x v="7"/>
    <x v="0"/>
    <x v="3"/>
    <n v="1002.73"/>
    <n v="894.05"/>
    <n v="9"/>
    <n v="9024.57"/>
    <n v="8046.45"/>
    <n v="978.11999999999989"/>
    <n v="0.10838411137594367"/>
    <x v="22"/>
  </r>
  <r>
    <d v="2024-12-04T00:00:00"/>
    <x v="8"/>
    <x v="1"/>
    <x v="0"/>
    <n v="1931.71"/>
    <n v="1305.8499999999999"/>
    <n v="6"/>
    <n v="11590.26"/>
    <n v="7835.0999999999995"/>
    <n v="3755.1600000000008"/>
    <n v="0.32399273182827654"/>
    <x v="23"/>
  </r>
  <r>
    <d v="2022-02-22T00:00:00"/>
    <x v="10"/>
    <x v="2"/>
    <x v="0"/>
    <n v="1945.11"/>
    <n v="1441.78"/>
    <n v="4"/>
    <n v="7780.44"/>
    <n v="5767.12"/>
    <n v="2013.3199999999997"/>
    <n v="0.25876685637316138"/>
    <x v="20"/>
  </r>
  <r>
    <d v="2022-07-22T00:00:00"/>
    <x v="5"/>
    <x v="3"/>
    <x v="0"/>
    <n v="1458.87"/>
    <n v="971.72"/>
    <n v="9"/>
    <n v="13129.829999999998"/>
    <n v="8745.48"/>
    <n v="4384.3499999999985"/>
    <n v="0.33392283068402251"/>
    <x v="8"/>
  </r>
  <r>
    <d v="2024-10-29T00:00:00"/>
    <x v="7"/>
    <x v="0"/>
    <x v="0"/>
    <n v="94.3"/>
    <n v="73.53"/>
    <n v="7"/>
    <n v="660.1"/>
    <n v="514.71"/>
    <n v="145.38999999999999"/>
    <n v="0.220254506892895"/>
    <x v="17"/>
  </r>
  <r>
    <d v="2022-04-19T00:00:00"/>
    <x v="0"/>
    <x v="0"/>
    <x v="0"/>
    <n v="1617.92"/>
    <n v="1323.37"/>
    <n v="7"/>
    <n v="11325.44"/>
    <n v="9263.59"/>
    <n v="2061.8500000000004"/>
    <n v="0.18205473694620256"/>
    <x v="32"/>
  </r>
  <r>
    <d v="2023-12-30T00:00:00"/>
    <x v="2"/>
    <x v="0"/>
    <x v="1"/>
    <n v="1809.93"/>
    <n v="1463.6"/>
    <n v="1"/>
    <n v="1809.93"/>
    <n v="1463.6"/>
    <n v="346.33000000000015"/>
    <n v="0.19134994171045297"/>
    <x v="30"/>
  </r>
  <r>
    <d v="2023-10-10T00:00:00"/>
    <x v="7"/>
    <x v="0"/>
    <x v="1"/>
    <n v="96.89"/>
    <n v="52.63"/>
    <n v="2"/>
    <n v="193.78"/>
    <n v="105.26"/>
    <n v="88.52"/>
    <n v="0.45680668799669727"/>
    <x v="5"/>
  </r>
  <r>
    <d v="2024-11-10T00:00:00"/>
    <x v="7"/>
    <x v="0"/>
    <x v="2"/>
    <n v="203.19"/>
    <n v="151.13"/>
    <n v="2"/>
    <n v="406.38"/>
    <n v="302.26"/>
    <n v="104.12"/>
    <n v="0.2562133963285595"/>
    <x v="2"/>
  </r>
  <r>
    <d v="2024-08-23T00:00:00"/>
    <x v="2"/>
    <x v="0"/>
    <x v="1"/>
    <n v="1181.06"/>
    <n v="931.47"/>
    <n v="10"/>
    <n v="11810.599999999999"/>
    <n v="9314.7000000000007"/>
    <n v="2495.8999999999978"/>
    <n v="0.21132711293245035"/>
    <x v="21"/>
  </r>
  <r>
    <d v="2024-03-26T00:00:00"/>
    <x v="7"/>
    <x v="0"/>
    <x v="1"/>
    <n v="374.85"/>
    <n v="316.67"/>
    <n v="8"/>
    <n v="2998.8"/>
    <n v="2533.36"/>
    <n v="465.44000000000005"/>
    <n v="0.15520875016673336"/>
    <x v="29"/>
  </r>
  <r>
    <d v="2023-07-16T00:00:00"/>
    <x v="7"/>
    <x v="0"/>
    <x v="0"/>
    <n v="841.75"/>
    <n v="683.89"/>
    <n v="6"/>
    <n v="5050.5"/>
    <n v="4103.34"/>
    <n v="947.15999999999985"/>
    <n v="0.1875378675378675"/>
    <x v="11"/>
  </r>
  <r>
    <d v="2022-01-15T00:00:00"/>
    <x v="5"/>
    <x v="3"/>
    <x v="0"/>
    <n v="1360.15"/>
    <n v="879.58"/>
    <n v="8"/>
    <n v="10881.2"/>
    <n v="7036.64"/>
    <n v="3844.5600000000004"/>
    <n v="0.35332132485387641"/>
    <x v="9"/>
  </r>
  <r>
    <d v="2023-07-06T00:00:00"/>
    <x v="5"/>
    <x v="3"/>
    <x v="3"/>
    <n v="1071.72"/>
    <n v="652.42999999999995"/>
    <n v="4"/>
    <n v="4286.88"/>
    <n v="2609.7199999999998"/>
    <n v="1677.1600000000003"/>
    <n v="0.39123091852349501"/>
    <x v="11"/>
  </r>
  <r>
    <d v="2022-08-28T00:00:00"/>
    <x v="6"/>
    <x v="3"/>
    <x v="1"/>
    <n v="1659.47"/>
    <n v="1441.43"/>
    <n v="5"/>
    <n v="8297.35"/>
    <n v="7207.1500000000005"/>
    <n v="1090.1999999999998"/>
    <n v="0.13139134783997297"/>
    <x v="15"/>
  </r>
  <r>
    <d v="2024-07-02T00:00:00"/>
    <x v="1"/>
    <x v="1"/>
    <x v="2"/>
    <n v="1619.02"/>
    <n v="1442.73"/>
    <n v="5"/>
    <n v="8095.1"/>
    <n v="7213.65"/>
    <n v="881.45000000000073"/>
    <n v="0.10888685748168654"/>
    <x v="28"/>
  </r>
  <r>
    <d v="2022-01-11T00:00:00"/>
    <x v="1"/>
    <x v="1"/>
    <x v="0"/>
    <n v="561.6"/>
    <n v="424.2"/>
    <n v="6"/>
    <n v="3369.6000000000004"/>
    <n v="2545.1999999999998"/>
    <n v="824.40000000000055"/>
    <n v="0.24465811965811979"/>
    <x v="9"/>
  </r>
  <r>
    <d v="2022-10-30T00:00:00"/>
    <x v="4"/>
    <x v="2"/>
    <x v="3"/>
    <n v="857.89"/>
    <n v="557.32000000000005"/>
    <n v="6"/>
    <n v="5147.34"/>
    <n v="3343.92"/>
    <n v="1803.42"/>
    <n v="0.35035960321253307"/>
    <x v="25"/>
  </r>
  <r>
    <d v="2024-07-02T00:00:00"/>
    <x v="0"/>
    <x v="0"/>
    <x v="0"/>
    <n v="1424.8"/>
    <n v="1230.42"/>
    <n v="1"/>
    <n v="1424.8"/>
    <n v="1230.42"/>
    <n v="194.37999999999988"/>
    <n v="0.13642616507580002"/>
    <x v="28"/>
  </r>
  <r>
    <d v="2024-08-05T00:00:00"/>
    <x v="8"/>
    <x v="1"/>
    <x v="0"/>
    <n v="922.78"/>
    <n v="791.62"/>
    <n v="2"/>
    <n v="1845.56"/>
    <n v="1583.24"/>
    <n v="262.31999999999994"/>
    <n v="0.14213572032337066"/>
    <x v="21"/>
  </r>
  <r>
    <d v="2023-09-05T00:00:00"/>
    <x v="4"/>
    <x v="2"/>
    <x v="1"/>
    <n v="567.42999999999995"/>
    <n v="480.37"/>
    <n v="5"/>
    <n v="2837.1499999999996"/>
    <n v="2401.85"/>
    <n v="435.29999999999973"/>
    <n v="0.15342861674567781"/>
    <x v="24"/>
  </r>
  <r>
    <d v="2023-01-04T00:00:00"/>
    <x v="5"/>
    <x v="3"/>
    <x v="3"/>
    <n v="1233.98"/>
    <n v="1040.94"/>
    <n v="9"/>
    <n v="11105.82"/>
    <n v="9368.4600000000009"/>
    <n v="1737.3599999999988"/>
    <n v="0.1564368952495177"/>
    <x v="13"/>
  </r>
  <r>
    <d v="2022-02-21T00:00:00"/>
    <x v="8"/>
    <x v="1"/>
    <x v="2"/>
    <n v="1123.28"/>
    <n v="659.38"/>
    <n v="10"/>
    <n v="11232.8"/>
    <n v="6593.8"/>
    <n v="4638.9999999999991"/>
    <n v="0.41298696674026059"/>
    <x v="20"/>
  </r>
  <r>
    <d v="2024-10-14T00:00:00"/>
    <x v="0"/>
    <x v="0"/>
    <x v="3"/>
    <n v="883.04"/>
    <n v="447.73"/>
    <n v="9"/>
    <n v="7947.36"/>
    <n v="4029.57"/>
    <n v="3917.7899999999995"/>
    <n v="0.4929674759920275"/>
    <x v="17"/>
  </r>
  <r>
    <d v="2022-08-24T00:00:00"/>
    <x v="1"/>
    <x v="1"/>
    <x v="2"/>
    <n v="370.48"/>
    <n v="248.81"/>
    <n v="10"/>
    <n v="3704.8"/>
    <n v="2488.1"/>
    <n v="1216.7000000000003"/>
    <n v="0.32841179011012744"/>
    <x v="15"/>
  </r>
  <r>
    <d v="2022-10-01T00:00:00"/>
    <x v="9"/>
    <x v="3"/>
    <x v="0"/>
    <n v="792.35"/>
    <n v="440.26"/>
    <n v="5"/>
    <n v="3961.75"/>
    <n v="2201.3000000000002"/>
    <n v="1760.4499999999998"/>
    <n v="0.44436170884079002"/>
    <x v="25"/>
  </r>
  <r>
    <d v="2023-05-12T00:00:00"/>
    <x v="2"/>
    <x v="0"/>
    <x v="1"/>
    <n v="1801.97"/>
    <n v="1197.23"/>
    <n v="10"/>
    <n v="18019.7"/>
    <n v="11972.3"/>
    <n v="6047.4000000000015"/>
    <n v="0.33559937179864269"/>
    <x v="31"/>
  </r>
  <r>
    <d v="2022-12-30T00:00:00"/>
    <x v="10"/>
    <x v="2"/>
    <x v="2"/>
    <n v="1594.16"/>
    <n v="1134.1099999999999"/>
    <n v="3"/>
    <n v="4782.4800000000005"/>
    <n v="3402.33"/>
    <n v="1380.1500000000005"/>
    <n v="0.28858458373061685"/>
    <x v="33"/>
  </r>
  <r>
    <d v="2024-01-05T00:00:00"/>
    <x v="7"/>
    <x v="0"/>
    <x v="0"/>
    <n v="1487.62"/>
    <n v="1160.6400000000001"/>
    <n v="10"/>
    <n v="14876.199999999999"/>
    <n v="11606.400000000001"/>
    <n v="3269.7999999999975"/>
    <n v="0.21980075556929846"/>
    <x v="26"/>
  </r>
  <r>
    <d v="2023-11-26T00:00:00"/>
    <x v="8"/>
    <x v="1"/>
    <x v="2"/>
    <n v="1522.68"/>
    <n v="1136.25"/>
    <n v="9"/>
    <n v="13704.12"/>
    <n v="10226.25"/>
    <n v="3477.8700000000008"/>
    <n v="0.25378280400346759"/>
    <x v="10"/>
  </r>
  <r>
    <d v="2023-03-03T00:00:00"/>
    <x v="3"/>
    <x v="2"/>
    <x v="0"/>
    <n v="563.84"/>
    <n v="308.77"/>
    <n v="3"/>
    <n v="1691.52"/>
    <n v="926.31"/>
    <n v="765.21"/>
    <n v="0.4523801078320091"/>
    <x v="19"/>
  </r>
  <r>
    <d v="2023-08-24T00:00:00"/>
    <x v="10"/>
    <x v="2"/>
    <x v="2"/>
    <n v="836.79"/>
    <n v="490.42"/>
    <n v="8"/>
    <n v="6694.32"/>
    <n v="3923.36"/>
    <n v="2770.9599999999996"/>
    <n v="0.41392703067675279"/>
    <x v="14"/>
  </r>
  <r>
    <d v="2023-08-20T00:00:00"/>
    <x v="0"/>
    <x v="0"/>
    <x v="0"/>
    <n v="1404.36"/>
    <n v="1213.74"/>
    <n v="9"/>
    <n v="12639.24"/>
    <n v="10923.66"/>
    <n v="1715.58"/>
    <n v="0.13573442706998204"/>
    <x v="14"/>
  </r>
  <r>
    <d v="2024-10-12T00:00:00"/>
    <x v="3"/>
    <x v="2"/>
    <x v="3"/>
    <n v="574.45000000000005"/>
    <n v="444.03"/>
    <n v="2"/>
    <n v="1148.9000000000001"/>
    <n v="888.06"/>
    <n v="260.84000000000015"/>
    <n v="0.22703455479153983"/>
    <x v="17"/>
  </r>
  <r>
    <d v="2024-10-12T00:00:00"/>
    <x v="10"/>
    <x v="2"/>
    <x v="3"/>
    <n v="276.99"/>
    <n v="218.6"/>
    <n v="1"/>
    <n v="276.99"/>
    <n v="218.6"/>
    <n v="58.390000000000015"/>
    <n v="0.21080183400122754"/>
    <x v="17"/>
  </r>
  <r>
    <d v="2022-10-12T00:00:00"/>
    <x v="9"/>
    <x v="3"/>
    <x v="0"/>
    <n v="1246.05"/>
    <n v="741.81"/>
    <n v="9"/>
    <n v="11214.449999999999"/>
    <n v="6676.2899999999991"/>
    <n v="4538.16"/>
    <n v="0.4046707596003371"/>
    <x v="25"/>
  </r>
  <r>
    <d v="2022-08-20T00:00:00"/>
    <x v="2"/>
    <x v="0"/>
    <x v="3"/>
    <n v="1520.7"/>
    <n v="1122.54"/>
    <n v="5"/>
    <n v="7603.5"/>
    <n v="5612.7"/>
    <n v="1990.8000000000002"/>
    <n v="0.26182679029394362"/>
    <x v="15"/>
  </r>
  <r>
    <d v="2023-01-10T00:00:00"/>
    <x v="2"/>
    <x v="0"/>
    <x v="0"/>
    <n v="990.86"/>
    <n v="794.68"/>
    <n v="9"/>
    <n v="8917.74"/>
    <n v="7152.12"/>
    <n v="1765.62"/>
    <n v="0.19798962517409119"/>
    <x v="13"/>
  </r>
  <r>
    <d v="2024-09-19T00:00:00"/>
    <x v="3"/>
    <x v="2"/>
    <x v="0"/>
    <n v="470.45"/>
    <n v="356.86"/>
    <n v="4"/>
    <n v="1881.8"/>
    <n v="1427.44"/>
    <n v="454.3599999999999"/>
    <n v="0.24144967584227861"/>
    <x v="16"/>
  </r>
  <r>
    <d v="2024-08-22T00:00:00"/>
    <x v="1"/>
    <x v="1"/>
    <x v="0"/>
    <n v="128.65"/>
    <n v="86.86"/>
    <n v="7"/>
    <n v="900.55000000000007"/>
    <n v="608.02"/>
    <n v="292.53000000000009"/>
    <n v="0.32483482316362228"/>
    <x v="21"/>
  </r>
  <r>
    <d v="2022-11-21T00:00:00"/>
    <x v="8"/>
    <x v="1"/>
    <x v="0"/>
    <n v="367.42"/>
    <n v="329.71"/>
    <n v="1"/>
    <n v="367.42"/>
    <n v="329.71"/>
    <n v="37.710000000000036"/>
    <n v="0.10263458712100602"/>
    <x v="1"/>
  </r>
  <r>
    <d v="2023-10-26T00:00:00"/>
    <x v="4"/>
    <x v="2"/>
    <x v="2"/>
    <n v="1701.01"/>
    <n v="858.05"/>
    <n v="9"/>
    <n v="15309.09"/>
    <n v="7722.45"/>
    <n v="7586.64"/>
    <n v="0.49556439997413304"/>
    <x v="5"/>
  </r>
  <r>
    <d v="2022-11-04T00:00:00"/>
    <x v="9"/>
    <x v="3"/>
    <x v="0"/>
    <n v="1430.27"/>
    <n v="816.76"/>
    <n v="8"/>
    <n v="11442.16"/>
    <n v="6534.08"/>
    <n v="4908.08"/>
    <n v="0.42894698203835641"/>
    <x v="1"/>
  </r>
  <r>
    <d v="2022-10-15T00:00:00"/>
    <x v="9"/>
    <x v="3"/>
    <x v="2"/>
    <n v="1615.46"/>
    <n v="1160.24"/>
    <n v="3"/>
    <n v="4846.38"/>
    <n v="3480.7200000000003"/>
    <n v="1365.6599999999999"/>
    <n v="0.28178970695653249"/>
    <x v="25"/>
  </r>
  <r>
    <d v="2022-08-19T00:00:00"/>
    <x v="6"/>
    <x v="3"/>
    <x v="0"/>
    <n v="571.6"/>
    <n v="446.88"/>
    <n v="8"/>
    <n v="4572.8"/>
    <n v="3575.04"/>
    <n v="997.76000000000022"/>
    <n v="0.21819454163750879"/>
    <x v="15"/>
  </r>
  <r>
    <d v="2023-03-03T00:00:00"/>
    <x v="6"/>
    <x v="3"/>
    <x v="0"/>
    <n v="1895.92"/>
    <n v="1210.23"/>
    <n v="4"/>
    <n v="7583.68"/>
    <n v="4840.92"/>
    <n v="2742.76"/>
    <n v="0.36166610405502342"/>
    <x v="19"/>
  </r>
  <r>
    <d v="2022-03-25T00:00:00"/>
    <x v="1"/>
    <x v="1"/>
    <x v="1"/>
    <n v="58.33"/>
    <n v="37.619999999999997"/>
    <n v="4"/>
    <n v="233.32"/>
    <n v="150.47999999999999"/>
    <n v="82.84"/>
    <n v="0.35504885993485347"/>
    <x v="7"/>
  </r>
  <r>
    <d v="2023-11-18T00:00:00"/>
    <x v="1"/>
    <x v="1"/>
    <x v="2"/>
    <n v="338.27"/>
    <n v="176.49"/>
    <n v="1"/>
    <n v="338.27"/>
    <n v="176.49"/>
    <n v="161.77999999999997"/>
    <n v="0.4782570136281668"/>
    <x v="10"/>
  </r>
  <r>
    <d v="2023-09-19T00:00:00"/>
    <x v="2"/>
    <x v="0"/>
    <x v="2"/>
    <n v="1818.65"/>
    <n v="1592.69"/>
    <n v="6"/>
    <n v="10911.900000000001"/>
    <n v="9556.14"/>
    <n v="1355.760000000002"/>
    <n v="0.12424600665328694"/>
    <x v="24"/>
  </r>
  <r>
    <d v="2024-11-10T00:00:00"/>
    <x v="8"/>
    <x v="1"/>
    <x v="1"/>
    <n v="925.07"/>
    <n v="744.24"/>
    <n v="5"/>
    <n v="4625.3500000000004"/>
    <n v="3721.2"/>
    <n v="904.15000000000055"/>
    <n v="0.19547709903034374"/>
    <x v="2"/>
  </r>
  <r>
    <d v="2022-04-13T00:00:00"/>
    <x v="3"/>
    <x v="2"/>
    <x v="3"/>
    <n v="944.32"/>
    <n v="498.78"/>
    <n v="10"/>
    <n v="9443.2000000000007"/>
    <n v="4987.7999999999993"/>
    <n v="4455.4000000000015"/>
    <n v="0.47181040325313467"/>
    <x v="32"/>
  </r>
  <r>
    <d v="2022-07-22T00:00:00"/>
    <x v="8"/>
    <x v="1"/>
    <x v="3"/>
    <n v="1651.26"/>
    <n v="1208.26"/>
    <n v="2"/>
    <n v="3302.52"/>
    <n v="2416.52"/>
    <n v="886"/>
    <n v="0.26827998013638071"/>
    <x v="8"/>
  </r>
  <r>
    <d v="2022-05-26T00:00:00"/>
    <x v="6"/>
    <x v="3"/>
    <x v="2"/>
    <n v="1138.47"/>
    <n v="1007.19"/>
    <n v="5"/>
    <n v="5692.35"/>
    <n v="5035.9500000000007"/>
    <n v="656.39999999999964"/>
    <n v="0.1153126564599857"/>
    <x v="35"/>
  </r>
  <r>
    <d v="2022-04-07T00:00:00"/>
    <x v="6"/>
    <x v="3"/>
    <x v="2"/>
    <n v="1273.1199999999999"/>
    <n v="788.83"/>
    <n v="4"/>
    <n v="5092.4799999999996"/>
    <n v="3155.32"/>
    <n v="1937.1599999999994"/>
    <n v="0.38039619203217284"/>
    <x v="32"/>
  </r>
  <r>
    <d v="2022-11-05T00:00:00"/>
    <x v="10"/>
    <x v="2"/>
    <x v="1"/>
    <n v="308.89999999999998"/>
    <n v="192.7"/>
    <n v="3"/>
    <n v="926.69999999999993"/>
    <n v="578.09999999999991"/>
    <n v="348.6"/>
    <n v="0.37617351893816775"/>
    <x v="1"/>
  </r>
  <r>
    <d v="2023-12-08T00:00:00"/>
    <x v="0"/>
    <x v="0"/>
    <x v="1"/>
    <n v="691.9"/>
    <n v="562.13"/>
    <n v="4"/>
    <n v="2767.6"/>
    <n v="2248.52"/>
    <n v="519.07999999999993"/>
    <n v="0.18755600520306401"/>
    <x v="30"/>
  </r>
  <r>
    <d v="2022-07-15T00:00:00"/>
    <x v="4"/>
    <x v="2"/>
    <x v="3"/>
    <n v="1398.66"/>
    <n v="1125.47"/>
    <n v="2"/>
    <n v="2797.32"/>
    <n v="2250.94"/>
    <n v="546.38000000000011"/>
    <n v="0.19532266598029546"/>
    <x v="8"/>
  </r>
  <r>
    <d v="2023-10-17T00:00:00"/>
    <x v="3"/>
    <x v="2"/>
    <x v="0"/>
    <n v="1604.01"/>
    <n v="1351.05"/>
    <n v="9"/>
    <n v="14436.09"/>
    <n v="12159.449999999999"/>
    <n v="2276.6400000000012"/>
    <n v="0.15770475246413684"/>
    <x v="5"/>
  </r>
  <r>
    <d v="2023-12-18T00:00:00"/>
    <x v="5"/>
    <x v="3"/>
    <x v="2"/>
    <n v="459.55"/>
    <n v="354.87"/>
    <n v="1"/>
    <n v="459.55"/>
    <n v="354.87"/>
    <n v="104.68"/>
    <n v="0.22778805353062781"/>
    <x v="30"/>
  </r>
  <r>
    <d v="2023-04-24T00:00:00"/>
    <x v="6"/>
    <x v="3"/>
    <x v="2"/>
    <n v="86.49"/>
    <n v="59.88"/>
    <n v="5"/>
    <n v="432.45"/>
    <n v="299.40000000000003"/>
    <n v="133.04999999999995"/>
    <n v="0.30766562608394027"/>
    <x v="6"/>
  </r>
  <r>
    <d v="2023-12-11T00:00:00"/>
    <x v="7"/>
    <x v="0"/>
    <x v="3"/>
    <n v="1353.46"/>
    <n v="697.19"/>
    <n v="1"/>
    <n v="1353.46"/>
    <n v="697.19"/>
    <n v="656.27"/>
    <n v="0.48488318827301874"/>
    <x v="30"/>
  </r>
  <r>
    <d v="2024-07-19T00:00:00"/>
    <x v="1"/>
    <x v="1"/>
    <x v="2"/>
    <n v="77.73"/>
    <n v="44.78"/>
    <n v="8"/>
    <n v="621.84"/>
    <n v="358.24"/>
    <n v="263.60000000000002"/>
    <n v="0.42390325485655478"/>
    <x v="28"/>
  </r>
  <r>
    <d v="2023-08-09T00:00:00"/>
    <x v="7"/>
    <x v="0"/>
    <x v="1"/>
    <n v="1020.59"/>
    <n v="599.63"/>
    <n v="5"/>
    <n v="5102.95"/>
    <n v="2998.15"/>
    <n v="2104.7999999999997"/>
    <n v="0.412467298327438"/>
    <x v="14"/>
  </r>
  <r>
    <d v="2022-05-31T00:00:00"/>
    <x v="7"/>
    <x v="0"/>
    <x v="1"/>
    <n v="1505.02"/>
    <n v="1161.73"/>
    <n v="10"/>
    <n v="15050.2"/>
    <n v="11617.3"/>
    <n v="3432.9000000000015"/>
    <n v="0.22809663658954707"/>
    <x v="35"/>
  </r>
  <r>
    <d v="2024-01-22T00:00:00"/>
    <x v="0"/>
    <x v="0"/>
    <x v="1"/>
    <n v="504.36"/>
    <n v="261.61"/>
    <n v="3"/>
    <n v="1513.08"/>
    <n v="784.83"/>
    <n v="728.24999999999989"/>
    <n v="0.48130303751288755"/>
    <x v="26"/>
  </r>
  <r>
    <d v="2024-08-16T00:00:00"/>
    <x v="1"/>
    <x v="1"/>
    <x v="3"/>
    <n v="1117.81"/>
    <n v="928.4"/>
    <n v="10"/>
    <n v="11178.099999999999"/>
    <n v="9284"/>
    <n v="1894.0999999999985"/>
    <n v="0.16944740161565908"/>
    <x v="21"/>
  </r>
  <r>
    <d v="2022-04-18T00:00:00"/>
    <x v="9"/>
    <x v="3"/>
    <x v="0"/>
    <n v="1767.69"/>
    <n v="1225.19"/>
    <n v="5"/>
    <n v="8838.4500000000007"/>
    <n v="6125.9500000000007"/>
    <n v="2712.5"/>
    <n v="0.30689770265148297"/>
    <x v="32"/>
  </r>
  <r>
    <d v="2024-03-23T00:00:00"/>
    <x v="1"/>
    <x v="1"/>
    <x v="1"/>
    <n v="610.20000000000005"/>
    <n v="334.07"/>
    <n v="5"/>
    <n v="3051"/>
    <n v="1670.35"/>
    <n v="1380.65"/>
    <n v="0.4525237627007539"/>
    <x v="29"/>
  </r>
  <r>
    <d v="2022-11-03T00:00:00"/>
    <x v="2"/>
    <x v="0"/>
    <x v="1"/>
    <n v="426.61"/>
    <n v="360.61"/>
    <n v="3"/>
    <n v="1279.83"/>
    <n v="1081.83"/>
    <n v="198"/>
    <n v="0.15470804716251377"/>
    <x v="1"/>
  </r>
  <r>
    <d v="2022-07-15T00:00:00"/>
    <x v="0"/>
    <x v="0"/>
    <x v="3"/>
    <n v="946.32"/>
    <n v="721.91"/>
    <n v="7"/>
    <n v="6624.2400000000007"/>
    <n v="5053.37"/>
    <n v="1570.8700000000008"/>
    <n v="0.23713965677572077"/>
    <x v="8"/>
  </r>
  <r>
    <d v="2024-01-06T00:00:00"/>
    <x v="6"/>
    <x v="3"/>
    <x v="1"/>
    <n v="1683.11"/>
    <n v="1367.21"/>
    <n v="2"/>
    <n v="3366.22"/>
    <n v="2734.42"/>
    <n v="631.79999999999973"/>
    <n v="0.18768826755232865"/>
    <x v="26"/>
  </r>
  <r>
    <d v="2023-06-30T00:00:00"/>
    <x v="10"/>
    <x v="2"/>
    <x v="3"/>
    <n v="1923.53"/>
    <n v="1462.39"/>
    <n v="1"/>
    <n v="1923.53"/>
    <n v="1462.39"/>
    <n v="461.13999999999987"/>
    <n v="0.23973631812345006"/>
    <x v="0"/>
  </r>
  <r>
    <d v="2024-11-11T00:00:00"/>
    <x v="0"/>
    <x v="0"/>
    <x v="3"/>
    <n v="143.65"/>
    <n v="75.81"/>
    <n v="1"/>
    <n v="143.65"/>
    <n v="75.81"/>
    <n v="67.84"/>
    <n v="0.47225896275670032"/>
    <x v="2"/>
  </r>
  <r>
    <d v="2022-10-02T00:00:00"/>
    <x v="2"/>
    <x v="0"/>
    <x v="0"/>
    <n v="212.36"/>
    <n v="165.46"/>
    <n v="5"/>
    <n v="1061.8000000000002"/>
    <n v="827.30000000000007"/>
    <n v="234.50000000000011"/>
    <n v="0.22085138444151448"/>
    <x v="25"/>
  </r>
  <r>
    <d v="2022-10-12T00:00:00"/>
    <x v="3"/>
    <x v="2"/>
    <x v="3"/>
    <n v="294.33"/>
    <n v="241.04"/>
    <n v="9"/>
    <n v="2648.97"/>
    <n v="2169.36"/>
    <n v="479.60999999999967"/>
    <n v="0.18105527808921948"/>
    <x v="25"/>
  </r>
  <r>
    <d v="2022-02-13T00:00:00"/>
    <x v="4"/>
    <x v="2"/>
    <x v="0"/>
    <n v="623.16999999999996"/>
    <n v="377.94"/>
    <n v="3"/>
    <n v="1869.5099999999998"/>
    <n v="1133.82"/>
    <n v="735.68999999999983"/>
    <n v="0.39352022722531566"/>
    <x v="20"/>
  </r>
  <r>
    <d v="2022-02-05T00:00:00"/>
    <x v="3"/>
    <x v="2"/>
    <x v="2"/>
    <n v="515.04"/>
    <n v="296.51"/>
    <n v="5"/>
    <n v="2575.1999999999998"/>
    <n v="1482.55"/>
    <n v="1092.6499999999999"/>
    <n v="0.42429714196955576"/>
    <x v="20"/>
  </r>
  <r>
    <d v="2022-04-29T00:00:00"/>
    <x v="6"/>
    <x v="3"/>
    <x v="2"/>
    <n v="858.14"/>
    <n v="692.4"/>
    <n v="9"/>
    <n v="7723.26"/>
    <n v="6231.5999999999995"/>
    <n v="1491.6600000000008"/>
    <n v="0.19313864870533956"/>
    <x v="32"/>
  </r>
  <r>
    <d v="2024-11-05T00:00:00"/>
    <x v="3"/>
    <x v="2"/>
    <x v="2"/>
    <n v="966.16"/>
    <n v="579.70000000000005"/>
    <n v="9"/>
    <n v="8695.44"/>
    <n v="5217.3"/>
    <n v="3478.1400000000003"/>
    <n v="0.39999585989898157"/>
    <x v="2"/>
  </r>
  <r>
    <d v="2024-06-17T00:00:00"/>
    <x v="4"/>
    <x v="2"/>
    <x v="2"/>
    <n v="381.39"/>
    <n v="225.63"/>
    <n v="7"/>
    <n v="2669.73"/>
    <n v="1579.4099999999999"/>
    <n v="1090.3200000000002"/>
    <n v="0.40840084952410921"/>
    <x v="4"/>
  </r>
  <r>
    <d v="2024-07-08T00:00:00"/>
    <x v="0"/>
    <x v="0"/>
    <x v="0"/>
    <n v="1887.95"/>
    <n v="1404.43"/>
    <n v="2"/>
    <n v="3775.9"/>
    <n v="2808.86"/>
    <n v="967.04"/>
    <n v="0.25610847744908499"/>
    <x v="28"/>
  </r>
  <r>
    <d v="2023-11-23T00:00:00"/>
    <x v="7"/>
    <x v="0"/>
    <x v="1"/>
    <n v="1700.51"/>
    <n v="1044.67"/>
    <n v="3"/>
    <n v="5101.53"/>
    <n v="3134.01"/>
    <n v="1967.5199999999995"/>
    <n v="0.38567253353405734"/>
    <x v="10"/>
  </r>
  <r>
    <d v="2023-09-28T00:00:00"/>
    <x v="5"/>
    <x v="3"/>
    <x v="3"/>
    <n v="1317.49"/>
    <n v="741.46"/>
    <n v="5"/>
    <n v="6587.45"/>
    <n v="3707.3"/>
    <n v="2880.1499999999996"/>
    <n v="0.43721773979309136"/>
    <x v="24"/>
  </r>
  <r>
    <d v="2024-08-12T00:00:00"/>
    <x v="2"/>
    <x v="0"/>
    <x v="1"/>
    <n v="974.09"/>
    <n v="497.91"/>
    <n v="7"/>
    <n v="6818.63"/>
    <n v="3485.3700000000003"/>
    <n v="3333.2599999999998"/>
    <n v="0.48884599985627608"/>
    <x v="21"/>
  </r>
  <r>
    <d v="2023-05-06T00:00:00"/>
    <x v="10"/>
    <x v="2"/>
    <x v="0"/>
    <n v="62.73"/>
    <n v="41.08"/>
    <n v="7"/>
    <n v="439.10999999999996"/>
    <n v="287.56"/>
    <n v="151.54999999999995"/>
    <n v="0.34512992188745412"/>
    <x v="31"/>
  </r>
  <r>
    <d v="2023-04-10T00:00:00"/>
    <x v="7"/>
    <x v="0"/>
    <x v="1"/>
    <n v="93.61"/>
    <n v="47.22"/>
    <n v="2"/>
    <n v="187.22"/>
    <n v="94.44"/>
    <n v="92.78"/>
    <n v="0.4955667129580173"/>
    <x v="6"/>
  </r>
  <r>
    <d v="2022-09-15T00:00:00"/>
    <x v="2"/>
    <x v="0"/>
    <x v="0"/>
    <n v="590.17999999999995"/>
    <n v="476.7"/>
    <n v="8"/>
    <n v="4721.4399999999996"/>
    <n v="3813.6"/>
    <n v="907.83999999999969"/>
    <n v="0.19228032125792127"/>
    <x v="12"/>
  </r>
  <r>
    <d v="2022-01-30T00:00:00"/>
    <x v="5"/>
    <x v="3"/>
    <x v="0"/>
    <n v="1388.24"/>
    <n v="1232.99"/>
    <n v="1"/>
    <n v="1388.24"/>
    <n v="1232.99"/>
    <n v="155.25"/>
    <n v="0.11183224802627788"/>
    <x v="9"/>
  </r>
  <r>
    <d v="2024-07-30T00:00:00"/>
    <x v="7"/>
    <x v="0"/>
    <x v="1"/>
    <n v="1296.4100000000001"/>
    <n v="888"/>
    <n v="3"/>
    <n v="3889.2300000000005"/>
    <n v="2664"/>
    <n v="1225.2300000000005"/>
    <n v="0.31503151009325764"/>
    <x v="28"/>
  </r>
  <r>
    <d v="2022-12-11T00:00:00"/>
    <x v="7"/>
    <x v="0"/>
    <x v="3"/>
    <n v="130.82"/>
    <n v="69.41"/>
    <n v="1"/>
    <n v="130.82"/>
    <n v="69.41"/>
    <n v="61.41"/>
    <n v="0.46942363552973554"/>
    <x v="33"/>
  </r>
  <r>
    <d v="2024-05-31T00:00:00"/>
    <x v="6"/>
    <x v="3"/>
    <x v="3"/>
    <n v="903.54"/>
    <n v="672.72"/>
    <n v="4"/>
    <n v="3614.16"/>
    <n v="2690.88"/>
    <n v="923.27999999999975"/>
    <n v="0.25546185005644462"/>
    <x v="3"/>
  </r>
  <r>
    <d v="2022-06-21T00:00:00"/>
    <x v="4"/>
    <x v="2"/>
    <x v="1"/>
    <n v="1052.3900000000001"/>
    <n v="703.17"/>
    <n v="3"/>
    <n v="3157.17"/>
    <n v="2109.5099999999998"/>
    <n v="1047.6600000000003"/>
    <n v="0.33183515616834075"/>
    <x v="18"/>
  </r>
  <r>
    <d v="2023-08-28T00:00:00"/>
    <x v="9"/>
    <x v="3"/>
    <x v="2"/>
    <n v="1341.21"/>
    <n v="940.32"/>
    <n v="9"/>
    <n v="12070.89"/>
    <n v="8462.880000000001"/>
    <n v="3608.0099999999984"/>
    <n v="0.29890173798286612"/>
    <x v="14"/>
  </r>
  <r>
    <d v="2022-05-01T00:00:00"/>
    <x v="5"/>
    <x v="3"/>
    <x v="3"/>
    <n v="1741.67"/>
    <n v="1529.56"/>
    <n v="7"/>
    <n v="12191.69"/>
    <n v="10706.92"/>
    <n v="1484.7700000000004"/>
    <n v="0.12178541285088453"/>
    <x v="35"/>
  </r>
  <r>
    <d v="2023-04-12T00:00:00"/>
    <x v="0"/>
    <x v="0"/>
    <x v="3"/>
    <n v="852.32"/>
    <n v="644.75"/>
    <n v="4"/>
    <n v="3409.28"/>
    <n v="2579"/>
    <n v="830.2800000000002"/>
    <n v="0.24353529190914214"/>
    <x v="6"/>
  </r>
  <r>
    <d v="2023-06-12T00:00:00"/>
    <x v="5"/>
    <x v="3"/>
    <x v="2"/>
    <n v="1702.18"/>
    <n v="1134.43"/>
    <n v="9"/>
    <n v="15319.62"/>
    <n v="10209.870000000001"/>
    <n v="5109.75"/>
    <n v="0.33354286855679188"/>
    <x v="0"/>
  </r>
  <r>
    <d v="2024-12-25T00:00:00"/>
    <x v="3"/>
    <x v="2"/>
    <x v="3"/>
    <n v="225.82"/>
    <n v="144.15"/>
    <n v="1"/>
    <n v="225.82"/>
    <n v="144.15"/>
    <n v="81.669999999999987"/>
    <n v="0.36165972898768928"/>
    <x v="23"/>
  </r>
  <r>
    <d v="2022-12-25T00:00:00"/>
    <x v="8"/>
    <x v="1"/>
    <x v="1"/>
    <n v="1137.1300000000001"/>
    <n v="840.9"/>
    <n v="3"/>
    <n v="3411.3900000000003"/>
    <n v="2522.6999999999998"/>
    <n v="888.69000000000051"/>
    <n v="0.26050671427189515"/>
    <x v="33"/>
  </r>
  <r>
    <d v="2023-05-08T00:00:00"/>
    <x v="8"/>
    <x v="1"/>
    <x v="2"/>
    <n v="1845.58"/>
    <n v="1651.78"/>
    <n v="2"/>
    <n v="3691.16"/>
    <n v="3303.56"/>
    <n v="387.59999999999991"/>
    <n v="0.10500763987472771"/>
    <x v="31"/>
  </r>
  <r>
    <d v="2022-07-23T00:00:00"/>
    <x v="5"/>
    <x v="3"/>
    <x v="3"/>
    <n v="494.14"/>
    <n v="254.07"/>
    <n v="3"/>
    <n v="1482.42"/>
    <n v="762.21"/>
    <n v="720.21"/>
    <n v="0.48583397417735863"/>
    <x v="8"/>
  </r>
  <r>
    <d v="2023-05-23T00:00:00"/>
    <x v="3"/>
    <x v="2"/>
    <x v="1"/>
    <n v="1032.24"/>
    <n v="625.79"/>
    <n v="1"/>
    <n v="1032.24"/>
    <n v="625.79"/>
    <n v="406.45000000000005"/>
    <n v="0.39375532821824388"/>
    <x v="31"/>
  </r>
  <r>
    <d v="2024-01-08T00:00:00"/>
    <x v="0"/>
    <x v="0"/>
    <x v="1"/>
    <n v="1341.53"/>
    <n v="833.4"/>
    <n v="3"/>
    <n v="4024.59"/>
    <n v="2500.1999999999998"/>
    <n v="1524.3900000000003"/>
    <n v="0.37876901746513314"/>
    <x v="26"/>
  </r>
  <r>
    <d v="2022-07-02T00:00:00"/>
    <x v="5"/>
    <x v="3"/>
    <x v="3"/>
    <n v="1623.07"/>
    <n v="1424.1"/>
    <n v="3"/>
    <n v="4869.21"/>
    <n v="4272.2999999999993"/>
    <n v="596.91000000000076"/>
    <n v="0.12258867454884895"/>
    <x v="8"/>
  </r>
  <r>
    <d v="2024-12-11T00:00:00"/>
    <x v="5"/>
    <x v="3"/>
    <x v="1"/>
    <n v="1920.5"/>
    <n v="1321.86"/>
    <n v="5"/>
    <n v="9602.5"/>
    <n v="6609.2999999999993"/>
    <n v="2993.2000000000007"/>
    <n v="0.31171049205935963"/>
    <x v="23"/>
  </r>
  <r>
    <d v="2024-03-04T00:00:00"/>
    <x v="5"/>
    <x v="3"/>
    <x v="3"/>
    <n v="157.5"/>
    <n v="95.82"/>
    <n v="9"/>
    <n v="1417.5"/>
    <n v="862.37999999999988"/>
    <n v="555.12000000000012"/>
    <n v="0.3916190476190477"/>
    <x v="29"/>
  </r>
  <r>
    <d v="2022-03-21T00:00:00"/>
    <x v="3"/>
    <x v="2"/>
    <x v="2"/>
    <n v="934.84"/>
    <n v="605.45000000000005"/>
    <n v="3"/>
    <n v="2804.52"/>
    <n v="1816.3500000000001"/>
    <n v="988.16999999999985"/>
    <n v="0.35234906508065544"/>
    <x v="7"/>
  </r>
  <r>
    <d v="2024-12-26T00:00:00"/>
    <x v="5"/>
    <x v="3"/>
    <x v="0"/>
    <n v="246.01"/>
    <n v="134.87"/>
    <n v="10"/>
    <n v="2460.1"/>
    <n v="1348.7"/>
    <n v="1111.3999999999999"/>
    <n v="0.45177025324173808"/>
    <x v="23"/>
  </r>
  <r>
    <d v="2023-06-21T00:00:00"/>
    <x v="0"/>
    <x v="0"/>
    <x v="1"/>
    <n v="983.23"/>
    <n v="814.06"/>
    <n v="8"/>
    <n v="7865.84"/>
    <n v="6512.48"/>
    <n v="1353.3600000000006"/>
    <n v="0.17205536853025241"/>
    <x v="0"/>
  </r>
  <r>
    <d v="2024-04-18T00:00:00"/>
    <x v="0"/>
    <x v="0"/>
    <x v="3"/>
    <n v="1444.62"/>
    <n v="926.9"/>
    <n v="4"/>
    <n v="5778.48"/>
    <n v="3707.6"/>
    <n v="2070.8799999999997"/>
    <n v="0.35837798175298691"/>
    <x v="22"/>
  </r>
  <r>
    <d v="2022-03-06T00:00:00"/>
    <x v="2"/>
    <x v="0"/>
    <x v="2"/>
    <n v="985.39"/>
    <n v="783.84"/>
    <n v="3"/>
    <n v="2956.17"/>
    <n v="2351.52"/>
    <n v="604.65000000000009"/>
    <n v="0.20453830463065387"/>
    <x v="7"/>
  </r>
  <r>
    <d v="2024-12-05T00:00:00"/>
    <x v="5"/>
    <x v="3"/>
    <x v="3"/>
    <n v="1118.9000000000001"/>
    <n v="740.26"/>
    <n v="8"/>
    <n v="8951.2000000000007"/>
    <n v="5922.08"/>
    <n v="3029.1200000000008"/>
    <n v="0.33840378943605331"/>
    <x v="23"/>
  </r>
  <r>
    <d v="2024-02-14T00:00:00"/>
    <x v="8"/>
    <x v="1"/>
    <x v="2"/>
    <n v="1142.1099999999999"/>
    <n v="579.29"/>
    <n v="7"/>
    <n v="7994.7699999999995"/>
    <n v="4055.0299999999997"/>
    <n v="3939.74"/>
    <n v="0.49278966124103635"/>
    <x v="34"/>
  </r>
  <r>
    <d v="2023-05-20T00:00:00"/>
    <x v="7"/>
    <x v="0"/>
    <x v="3"/>
    <n v="181.55"/>
    <n v="102.66"/>
    <n v="6"/>
    <n v="1089.3000000000002"/>
    <n v="615.96"/>
    <n v="473.34000000000015"/>
    <n v="0.43453594051225564"/>
    <x v="31"/>
  </r>
  <r>
    <d v="2024-02-01T00:00:00"/>
    <x v="6"/>
    <x v="3"/>
    <x v="3"/>
    <n v="942.48"/>
    <n v="761.12"/>
    <n v="9"/>
    <n v="8482.32"/>
    <n v="6850.08"/>
    <n v="1632.2399999999998"/>
    <n v="0.19242848654613359"/>
    <x v="34"/>
  </r>
  <r>
    <d v="2022-05-26T00:00:00"/>
    <x v="3"/>
    <x v="2"/>
    <x v="1"/>
    <n v="1239.94"/>
    <n v="757.91"/>
    <n v="7"/>
    <n v="8679.58"/>
    <n v="5305.37"/>
    <n v="3374.21"/>
    <n v="0.38875268158136683"/>
    <x v="35"/>
  </r>
  <r>
    <d v="2024-02-01T00:00:00"/>
    <x v="6"/>
    <x v="3"/>
    <x v="2"/>
    <n v="1462.3"/>
    <n v="1199.98"/>
    <n v="10"/>
    <n v="14623"/>
    <n v="11999.8"/>
    <n v="2623.2000000000007"/>
    <n v="0.17938863434315808"/>
    <x v="34"/>
  </r>
  <r>
    <d v="2022-08-24T00:00:00"/>
    <x v="0"/>
    <x v="0"/>
    <x v="3"/>
    <n v="1653.66"/>
    <n v="1183.46"/>
    <n v="2"/>
    <n v="3307.32"/>
    <n v="2366.92"/>
    <n v="940.40000000000009"/>
    <n v="0.28433898141093089"/>
    <x v="15"/>
  </r>
  <r>
    <d v="2023-11-06T00:00:00"/>
    <x v="7"/>
    <x v="0"/>
    <x v="3"/>
    <n v="1359.67"/>
    <n v="775.36"/>
    <n v="6"/>
    <n v="8158.02"/>
    <n v="4652.16"/>
    <n v="3505.8600000000006"/>
    <n v="0.42974398199563135"/>
    <x v="10"/>
  </r>
  <r>
    <d v="2024-01-27T00:00:00"/>
    <x v="7"/>
    <x v="0"/>
    <x v="1"/>
    <n v="1839.33"/>
    <n v="1527.57"/>
    <n v="6"/>
    <n v="11035.98"/>
    <n v="9165.42"/>
    <n v="1870.5599999999995"/>
    <n v="0.16949650144346035"/>
    <x v="26"/>
  </r>
  <r>
    <d v="2023-03-12T00:00:00"/>
    <x v="1"/>
    <x v="1"/>
    <x v="3"/>
    <n v="517.26"/>
    <n v="382.85"/>
    <n v="7"/>
    <n v="3620.8199999999997"/>
    <n v="2679.9500000000003"/>
    <n v="940.86999999999944"/>
    <n v="0.25984997873409876"/>
    <x v="19"/>
  </r>
  <r>
    <d v="2023-08-22T00:00:00"/>
    <x v="9"/>
    <x v="3"/>
    <x v="1"/>
    <n v="621.11"/>
    <n v="431.33"/>
    <n v="8"/>
    <n v="4968.88"/>
    <n v="3450.64"/>
    <n v="1518.2400000000002"/>
    <n v="0.30554974159166659"/>
    <x v="14"/>
  </r>
  <r>
    <d v="2024-07-20T00:00:00"/>
    <x v="6"/>
    <x v="3"/>
    <x v="1"/>
    <n v="693.64"/>
    <n v="592.9"/>
    <n v="8"/>
    <n v="5549.12"/>
    <n v="4743.2"/>
    <n v="805.92000000000007"/>
    <n v="0.14523383887895741"/>
    <x v="28"/>
  </r>
  <r>
    <d v="2023-04-30T00:00:00"/>
    <x v="8"/>
    <x v="1"/>
    <x v="1"/>
    <n v="370.92"/>
    <n v="207.97"/>
    <n v="10"/>
    <n v="3709.2000000000003"/>
    <n v="2079.6999999999998"/>
    <n v="1629.5000000000005"/>
    <n v="0.43931305941982107"/>
    <x v="6"/>
  </r>
  <r>
    <d v="2022-07-17T00:00:00"/>
    <x v="6"/>
    <x v="3"/>
    <x v="3"/>
    <n v="1928.37"/>
    <n v="1603.74"/>
    <n v="6"/>
    <n v="11570.22"/>
    <n v="9622.44"/>
    <n v="1947.7799999999988"/>
    <n v="0.16834424928825892"/>
    <x v="8"/>
  </r>
  <r>
    <d v="2023-03-19T00:00:00"/>
    <x v="3"/>
    <x v="2"/>
    <x v="1"/>
    <n v="436.58"/>
    <n v="300.88"/>
    <n v="9"/>
    <n v="3929.22"/>
    <n v="2707.92"/>
    <n v="1221.2999999999997"/>
    <n v="0.31082504924641524"/>
    <x v="19"/>
  </r>
  <r>
    <d v="2023-04-15T00:00:00"/>
    <x v="1"/>
    <x v="1"/>
    <x v="1"/>
    <n v="1909.06"/>
    <n v="1299.07"/>
    <n v="1"/>
    <n v="1909.06"/>
    <n v="1299.07"/>
    <n v="609.99"/>
    <n v="0.31952374467015182"/>
    <x v="6"/>
  </r>
  <r>
    <d v="2022-06-24T00:00:00"/>
    <x v="8"/>
    <x v="1"/>
    <x v="1"/>
    <n v="448.09"/>
    <n v="344.8"/>
    <n v="3"/>
    <n v="1344.27"/>
    <n v="1034.4000000000001"/>
    <n v="309.86999999999989"/>
    <n v="0.23051172755473223"/>
    <x v="18"/>
  </r>
  <r>
    <d v="2023-12-26T00:00:00"/>
    <x v="2"/>
    <x v="0"/>
    <x v="0"/>
    <n v="286.49"/>
    <n v="244.07"/>
    <n v="9"/>
    <n v="2578.41"/>
    <n v="2196.63"/>
    <n v="381.77999999999975"/>
    <n v="0.14806799539250926"/>
    <x v="30"/>
  </r>
  <r>
    <d v="2023-06-30T00:00:00"/>
    <x v="7"/>
    <x v="0"/>
    <x v="1"/>
    <n v="1408.49"/>
    <n v="738.27"/>
    <n v="3"/>
    <n v="4225.47"/>
    <n v="2214.81"/>
    <n v="2010.6600000000003"/>
    <n v="0.47584292398242095"/>
    <x v="0"/>
  </r>
  <r>
    <d v="2022-08-05T00:00:00"/>
    <x v="10"/>
    <x v="2"/>
    <x v="0"/>
    <n v="653.55999999999995"/>
    <n v="436.31"/>
    <n v="6"/>
    <n v="3921.3599999999997"/>
    <n v="2617.86"/>
    <n v="1303.4999999999995"/>
    <n v="0.33241018422180052"/>
    <x v="15"/>
  </r>
  <r>
    <d v="2024-05-25T00:00:00"/>
    <x v="3"/>
    <x v="2"/>
    <x v="0"/>
    <n v="1470.01"/>
    <n v="1058.46"/>
    <n v="10"/>
    <n v="14700.1"/>
    <n v="10584.6"/>
    <n v="4115.5"/>
    <n v="0.27996408187699401"/>
    <x v="3"/>
  </r>
  <r>
    <d v="2023-02-24T00:00:00"/>
    <x v="7"/>
    <x v="0"/>
    <x v="2"/>
    <n v="1105.58"/>
    <n v="783.78"/>
    <n v="3"/>
    <n v="3316.74"/>
    <n v="2351.34"/>
    <n v="965.39999999999964"/>
    <n v="0.29106894118923993"/>
    <x v="27"/>
  </r>
  <r>
    <d v="2024-02-13T00:00:00"/>
    <x v="2"/>
    <x v="0"/>
    <x v="1"/>
    <n v="1956.39"/>
    <n v="991.8"/>
    <n v="10"/>
    <n v="19563.900000000001"/>
    <n v="9918"/>
    <n v="9645.9000000000015"/>
    <n v="0.49304586508824932"/>
    <x v="34"/>
  </r>
  <r>
    <d v="2022-11-20T00:00:00"/>
    <x v="9"/>
    <x v="3"/>
    <x v="3"/>
    <n v="823.33"/>
    <n v="455.81"/>
    <n v="9"/>
    <n v="7409.97"/>
    <n v="4102.29"/>
    <n v="3307.6800000000003"/>
    <n v="0.44638237401770858"/>
    <x v="1"/>
  </r>
  <r>
    <d v="2023-08-14T00:00:00"/>
    <x v="8"/>
    <x v="1"/>
    <x v="1"/>
    <n v="1009.98"/>
    <n v="789.06"/>
    <n v="3"/>
    <n v="3029.94"/>
    <n v="2367.1799999999998"/>
    <n v="662.76000000000022"/>
    <n v="0.21873700469316232"/>
    <x v="14"/>
  </r>
  <r>
    <d v="2024-04-28T00:00:00"/>
    <x v="8"/>
    <x v="1"/>
    <x v="0"/>
    <n v="1005.31"/>
    <n v="739.23"/>
    <n v="2"/>
    <n v="2010.62"/>
    <n v="1478.46"/>
    <n v="532.15999999999985"/>
    <n v="0.26467457799086841"/>
    <x v="22"/>
  </r>
  <r>
    <d v="2023-10-01T00:00:00"/>
    <x v="6"/>
    <x v="3"/>
    <x v="2"/>
    <n v="963.84"/>
    <n v="668.17"/>
    <n v="4"/>
    <n v="3855.36"/>
    <n v="2672.68"/>
    <n v="1182.6800000000003"/>
    <n v="0.30676253320053126"/>
    <x v="5"/>
  </r>
  <r>
    <d v="2024-10-20T00:00:00"/>
    <x v="7"/>
    <x v="0"/>
    <x v="3"/>
    <n v="496.04"/>
    <n v="436.9"/>
    <n v="5"/>
    <n v="2480.2000000000003"/>
    <n v="2184.5"/>
    <n v="295.70000000000027"/>
    <n v="0.11922425610837846"/>
    <x v="17"/>
  </r>
  <r>
    <d v="2022-02-08T00:00:00"/>
    <x v="9"/>
    <x v="3"/>
    <x v="2"/>
    <n v="1370.01"/>
    <n v="830.12"/>
    <n v="2"/>
    <n v="2740.02"/>
    <n v="1660.24"/>
    <n v="1079.78"/>
    <n v="0.39407741549331754"/>
    <x v="20"/>
  </r>
  <r>
    <d v="2022-07-08T00:00:00"/>
    <x v="6"/>
    <x v="3"/>
    <x v="0"/>
    <n v="1596.94"/>
    <n v="957.61"/>
    <n v="3"/>
    <n v="4790.82"/>
    <n v="2872.83"/>
    <n v="1917.9899999999998"/>
    <n v="0.40034691347201523"/>
    <x v="8"/>
  </r>
  <r>
    <d v="2024-05-07T00:00:00"/>
    <x v="2"/>
    <x v="0"/>
    <x v="2"/>
    <n v="1445.45"/>
    <n v="1019.82"/>
    <n v="1"/>
    <n v="1445.45"/>
    <n v="1019.82"/>
    <n v="425.63"/>
    <n v="0.29446193227022727"/>
    <x v="3"/>
  </r>
  <r>
    <d v="2023-11-17T00:00:00"/>
    <x v="3"/>
    <x v="2"/>
    <x v="3"/>
    <n v="369.52"/>
    <n v="311.87"/>
    <n v="2"/>
    <n v="739.04"/>
    <n v="623.74"/>
    <n v="115.29999999999995"/>
    <n v="0.15601320632171461"/>
    <x v="10"/>
  </r>
  <r>
    <d v="2022-07-17T00:00:00"/>
    <x v="7"/>
    <x v="0"/>
    <x v="2"/>
    <n v="748.83"/>
    <n v="539.9"/>
    <n v="8"/>
    <n v="5990.64"/>
    <n v="4319.2"/>
    <n v="1671.4400000000005"/>
    <n v="0.27900858672863005"/>
    <x v="8"/>
  </r>
  <r>
    <d v="2022-02-25T00:00:00"/>
    <x v="7"/>
    <x v="0"/>
    <x v="3"/>
    <n v="47.04"/>
    <n v="25.96"/>
    <n v="8"/>
    <n v="376.32"/>
    <n v="207.68"/>
    <n v="168.64"/>
    <n v="0.44812925170068024"/>
    <x v="20"/>
  </r>
  <r>
    <d v="2022-12-30T00:00:00"/>
    <x v="2"/>
    <x v="0"/>
    <x v="0"/>
    <n v="1775.1"/>
    <n v="1067.8900000000001"/>
    <n v="8"/>
    <n v="14200.8"/>
    <n v="8543.1200000000008"/>
    <n v="5657.6799999999985"/>
    <n v="0.39840572362120436"/>
    <x v="33"/>
  </r>
  <r>
    <d v="2023-01-27T00:00:00"/>
    <x v="3"/>
    <x v="2"/>
    <x v="3"/>
    <n v="1142.3900000000001"/>
    <n v="593.12"/>
    <n v="6"/>
    <n v="6854.34"/>
    <n v="3558.7200000000003"/>
    <n v="3295.62"/>
    <n v="0.48080778018014864"/>
    <x v="13"/>
  </r>
  <r>
    <d v="2022-08-12T00:00:00"/>
    <x v="4"/>
    <x v="2"/>
    <x v="0"/>
    <n v="1904.94"/>
    <n v="1578.2"/>
    <n v="7"/>
    <n v="13334.58"/>
    <n v="11047.4"/>
    <n v="2287.1800000000003"/>
    <n v="0.17152246264974227"/>
    <x v="15"/>
  </r>
  <r>
    <d v="2022-07-08T00:00:00"/>
    <x v="9"/>
    <x v="3"/>
    <x v="3"/>
    <n v="1069.1400000000001"/>
    <n v="595.87"/>
    <n v="3"/>
    <n v="3207.42"/>
    <n v="1787.6100000000001"/>
    <n v="1419.81"/>
    <n v="0.44266419739229657"/>
    <x v="8"/>
  </r>
  <r>
    <d v="2024-06-21T00:00:00"/>
    <x v="8"/>
    <x v="1"/>
    <x v="3"/>
    <n v="172.32"/>
    <n v="111.52"/>
    <n v="2"/>
    <n v="344.64"/>
    <n v="223.04"/>
    <n v="121.6"/>
    <n v="0.35283194057567319"/>
    <x v="4"/>
  </r>
  <r>
    <d v="2023-05-28T00:00:00"/>
    <x v="1"/>
    <x v="1"/>
    <x v="0"/>
    <n v="138.41999999999999"/>
    <n v="104.36"/>
    <n v="6"/>
    <n v="830.52"/>
    <n v="626.16"/>
    <n v="204.36"/>
    <n v="0.24606270770119926"/>
    <x v="31"/>
  </r>
  <r>
    <d v="2022-02-21T00:00:00"/>
    <x v="8"/>
    <x v="1"/>
    <x v="1"/>
    <n v="1389.19"/>
    <n v="940.24"/>
    <n v="2"/>
    <n v="2778.38"/>
    <n v="1880.48"/>
    <n v="897.90000000000009"/>
    <n v="0.32317393589069893"/>
    <x v="20"/>
  </r>
  <r>
    <d v="2024-09-10T00:00:00"/>
    <x v="9"/>
    <x v="3"/>
    <x v="3"/>
    <n v="307.10000000000002"/>
    <n v="203.72"/>
    <n v="4"/>
    <n v="1228.4000000000001"/>
    <n v="814.88"/>
    <n v="413.5200000000001"/>
    <n v="0.33663301856072947"/>
    <x v="16"/>
  </r>
  <r>
    <d v="2023-11-19T00:00:00"/>
    <x v="9"/>
    <x v="3"/>
    <x v="1"/>
    <n v="1050.8"/>
    <n v="644.09"/>
    <n v="2"/>
    <n v="2101.6"/>
    <n v="1288.18"/>
    <n v="813.41999999999985"/>
    <n v="0.38704796345641412"/>
    <x v="10"/>
  </r>
  <r>
    <d v="2022-06-27T00:00:00"/>
    <x v="9"/>
    <x v="3"/>
    <x v="1"/>
    <n v="1961.37"/>
    <n v="1030.1500000000001"/>
    <n v="4"/>
    <n v="7845.48"/>
    <n v="4120.6000000000004"/>
    <n v="3724.8799999999992"/>
    <n v="0.4747803830995681"/>
    <x v="18"/>
  </r>
  <r>
    <d v="2024-01-18T00:00:00"/>
    <x v="7"/>
    <x v="0"/>
    <x v="3"/>
    <n v="1882.52"/>
    <n v="1688.31"/>
    <n v="1"/>
    <n v="1882.52"/>
    <n v="1688.31"/>
    <n v="194.21000000000004"/>
    <n v="0.10316490661453798"/>
    <x v="26"/>
  </r>
  <r>
    <d v="2024-06-17T00:00:00"/>
    <x v="6"/>
    <x v="3"/>
    <x v="2"/>
    <n v="1645.02"/>
    <n v="1335.12"/>
    <n v="3"/>
    <n v="4935.0599999999995"/>
    <n v="4005.3599999999997"/>
    <n v="929.69999999999982"/>
    <n v="0.18838676733413573"/>
    <x v="4"/>
  </r>
  <r>
    <d v="2023-07-21T00:00:00"/>
    <x v="6"/>
    <x v="3"/>
    <x v="3"/>
    <n v="1593.61"/>
    <n v="946.43"/>
    <n v="9"/>
    <n v="14342.49"/>
    <n v="8517.869999999999"/>
    <n v="5824.6200000000008"/>
    <n v="0.40610939941390939"/>
    <x v="11"/>
  </r>
  <r>
    <d v="2024-01-23T00:00:00"/>
    <x v="1"/>
    <x v="1"/>
    <x v="2"/>
    <n v="1610.67"/>
    <n v="870.94"/>
    <n v="10"/>
    <n v="16106.7"/>
    <n v="8709.4000000000015"/>
    <n v="7397.2999999999993"/>
    <n v="0.45926850316948842"/>
    <x v="26"/>
  </r>
  <r>
    <d v="2022-11-14T00:00:00"/>
    <x v="8"/>
    <x v="1"/>
    <x v="0"/>
    <n v="1739.82"/>
    <n v="1212.24"/>
    <n v="9"/>
    <n v="15658.38"/>
    <n v="10910.16"/>
    <n v="4748.2199999999993"/>
    <n v="0.30323826602752008"/>
    <x v="1"/>
  </r>
  <r>
    <d v="2024-09-30T00:00:00"/>
    <x v="10"/>
    <x v="2"/>
    <x v="0"/>
    <n v="1590.11"/>
    <n v="1083.05"/>
    <n v="7"/>
    <n v="11130.769999999999"/>
    <n v="7581.3499999999995"/>
    <n v="3549.4199999999992"/>
    <n v="0.31888359924785076"/>
    <x v="16"/>
  </r>
  <r>
    <d v="2024-08-06T00:00:00"/>
    <x v="2"/>
    <x v="0"/>
    <x v="0"/>
    <n v="831.16"/>
    <n v="579.91"/>
    <n v="2"/>
    <n v="1662.32"/>
    <n v="1159.82"/>
    <n v="502.5"/>
    <n v="0.30228836806391068"/>
    <x v="21"/>
  </r>
  <r>
    <d v="2023-06-26T00:00:00"/>
    <x v="0"/>
    <x v="0"/>
    <x v="0"/>
    <n v="102.32"/>
    <n v="51.29"/>
    <n v="8"/>
    <n v="818.56"/>
    <n v="410.32"/>
    <n v="408.23999999999995"/>
    <n v="0.4987294761532447"/>
    <x v="0"/>
  </r>
  <r>
    <d v="2023-03-07T00:00:00"/>
    <x v="4"/>
    <x v="2"/>
    <x v="3"/>
    <n v="1945.06"/>
    <n v="1719.88"/>
    <n v="6"/>
    <n v="11670.36"/>
    <n v="10319.280000000001"/>
    <n v="1351.08"/>
    <n v="0.11577020760285028"/>
    <x v="19"/>
  </r>
  <r>
    <d v="2023-03-07T00:00:00"/>
    <x v="8"/>
    <x v="1"/>
    <x v="3"/>
    <n v="1361.33"/>
    <n v="1138.5899999999999"/>
    <n v="8"/>
    <n v="10890.64"/>
    <n v="9108.7199999999993"/>
    <n v="1781.92"/>
    <n v="0.16361940161459751"/>
    <x v="19"/>
  </r>
  <r>
    <d v="2022-01-01T00:00:00"/>
    <x v="8"/>
    <x v="1"/>
    <x v="0"/>
    <n v="473.56"/>
    <n v="384.1"/>
    <n v="7"/>
    <n v="3314.92"/>
    <n v="2688.7000000000003"/>
    <n v="626.2199999999998"/>
    <n v="0.18890953627840182"/>
    <x v="9"/>
  </r>
  <r>
    <d v="2022-05-02T00:00:00"/>
    <x v="8"/>
    <x v="1"/>
    <x v="2"/>
    <n v="1364.48"/>
    <n v="735.46"/>
    <n v="2"/>
    <n v="2728.96"/>
    <n v="1470.92"/>
    <n v="1258.04"/>
    <n v="0.46099613039399623"/>
    <x v="35"/>
  </r>
  <r>
    <d v="2024-10-18T00:00:00"/>
    <x v="10"/>
    <x v="2"/>
    <x v="3"/>
    <n v="1133.67"/>
    <n v="1017.82"/>
    <n v="6"/>
    <n v="6802.02"/>
    <n v="6106.92"/>
    <n v="695.10000000000036"/>
    <n v="0.10219023172528166"/>
    <x v="17"/>
  </r>
  <r>
    <d v="2022-03-08T00:00:00"/>
    <x v="9"/>
    <x v="3"/>
    <x v="2"/>
    <n v="203.59"/>
    <n v="130.78"/>
    <n v="10"/>
    <n v="2035.9"/>
    <n v="1307.8"/>
    <n v="728.10000000000014"/>
    <n v="0.35763053195147115"/>
    <x v="7"/>
  </r>
  <r>
    <d v="2022-05-22T00:00:00"/>
    <x v="8"/>
    <x v="1"/>
    <x v="0"/>
    <n v="190.62"/>
    <n v="154.16"/>
    <n v="1"/>
    <n v="190.62"/>
    <n v="154.16"/>
    <n v="36.460000000000008"/>
    <n v="0.1912705907040185"/>
    <x v="35"/>
  </r>
  <r>
    <d v="2023-11-06T00:00:00"/>
    <x v="7"/>
    <x v="0"/>
    <x v="3"/>
    <n v="236.75"/>
    <n v="123.58"/>
    <n v="9"/>
    <n v="2130.75"/>
    <n v="1112.22"/>
    <n v="1018.53"/>
    <n v="0.47801478352692711"/>
    <x v="10"/>
  </r>
  <r>
    <d v="2023-11-04T00:00:00"/>
    <x v="0"/>
    <x v="0"/>
    <x v="0"/>
    <n v="740.52"/>
    <n v="650.32000000000005"/>
    <n v="3"/>
    <n v="2221.56"/>
    <n v="1950.96"/>
    <n v="270.59999999999991"/>
    <n v="0.12180629827688648"/>
    <x v="10"/>
  </r>
  <r>
    <d v="2022-02-08T00:00:00"/>
    <x v="4"/>
    <x v="2"/>
    <x v="1"/>
    <n v="492.12"/>
    <n v="429.77"/>
    <n v="7"/>
    <n v="3444.84"/>
    <n v="3008.39"/>
    <n v="436.45000000000027"/>
    <n v="0.12669674063236616"/>
    <x v="20"/>
  </r>
  <r>
    <d v="2023-03-07T00:00:00"/>
    <x v="8"/>
    <x v="1"/>
    <x v="1"/>
    <n v="567.26"/>
    <n v="451.2"/>
    <n v="7"/>
    <n v="3970.8199999999997"/>
    <n v="3158.4"/>
    <n v="812.41999999999962"/>
    <n v="0.20459753904735034"/>
    <x v="19"/>
  </r>
  <r>
    <d v="2022-04-11T00:00:00"/>
    <x v="3"/>
    <x v="2"/>
    <x v="3"/>
    <n v="535.6"/>
    <n v="419.68"/>
    <n v="7"/>
    <n v="3749.2000000000003"/>
    <n v="2937.76"/>
    <n v="811.44"/>
    <n v="0.21643017176997759"/>
    <x v="32"/>
  </r>
  <r>
    <d v="2023-10-07T00:00:00"/>
    <x v="5"/>
    <x v="3"/>
    <x v="1"/>
    <n v="274.14999999999998"/>
    <n v="175.41"/>
    <n v="2"/>
    <n v="548.29999999999995"/>
    <n v="350.82"/>
    <n v="197.47999999999996"/>
    <n v="0.36016779135509752"/>
    <x v="5"/>
  </r>
  <r>
    <d v="2022-03-28T00:00:00"/>
    <x v="1"/>
    <x v="1"/>
    <x v="0"/>
    <n v="1160.43"/>
    <n v="780.8"/>
    <n v="1"/>
    <n v="1160.43"/>
    <n v="780.8"/>
    <n v="379.63000000000011"/>
    <n v="0.32714597175185067"/>
    <x v="7"/>
  </r>
  <r>
    <d v="2022-09-02T00:00:00"/>
    <x v="3"/>
    <x v="2"/>
    <x v="1"/>
    <n v="1847.53"/>
    <n v="1111.68"/>
    <n v="3"/>
    <n v="5542.59"/>
    <n v="3335.04"/>
    <n v="2207.5500000000002"/>
    <n v="0.39828852576142204"/>
    <x v="12"/>
  </r>
  <r>
    <d v="2024-02-15T00:00:00"/>
    <x v="6"/>
    <x v="3"/>
    <x v="0"/>
    <n v="393.2"/>
    <n v="321.18"/>
    <n v="9"/>
    <n v="3538.7999999999997"/>
    <n v="2890.62"/>
    <n v="648.17999999999984"/>
    <n v="0.18316378433367239"/>
    <x v="34"/>
  </r>
  <r>
    <d v="2022-03-14T00:00:00"/>
    <x v="7"/>
    <x v="0"/>
    <x v="2"/>
    <n v="949.48"/>
    <n v="795.65"/>
    <n v="6"/>
    <n v="5696.88"/>
    <n v="4773.8999999999996"/>
    <n v="922.98000000000047"/>
    <n v="0.16201499768294234"/>
    <x v="7"/>
  </r>
  <r>
    <d v="2023-07-07T00:00:00"/>
    <x v="8"/>
    <x v="1"/>
    <x v="2"/>
    <n v="158.22"/>
    <n v="126.08"/>
    <n v="5"/>
    <n v="791.1"/>
    <n v="630.4"/>
    <n v="160.70000000000005"/>
    <n v="0.20313487548982434"/>
    <x v="11"/>
  </r>
  <r>
    <d v="2023-05-03T00:00:00"/>
    <x v="5"/>
    <x v="3"/>
    <x v="2"/>
    <n v="1864.61"/>
    <n v="1498.54"/>
    <n v="9"/>
    <n v="16781.489999999998"/>
    <n v="13486.86"/>
    <n v="3294.6299999999974"/>
    <n v="0.19632523691281273"/>
    <x v="31"/>
  </r>
  <r>
    <d v="2023-10-11T00:00:00"/>
    <x v="2"/>
    <x v="0"/>
    <x v="3"/>
    <n v="421.84"/>
    <n v="232.02"/>
    <n v="7"/>
    <n v="2952.8799999999997"/>
    <n v="1624.14"/>
    <n v="1328.7399999999996"/>
    <n v="0.44998103546368279"/>
    <x v="5"/>
  </r>
  <r>
    <d v="2024-04-10T00:00:00"/>
    <x v="8"/>
    <x v="1"/>
    <x v="0"/>
    <n v="1115.6199999999999"/>
    <n v="737.12"/>
    <n v="6"/>
    <n v="6693.7199999999993"/>
    <n v="4422.72"/>
    <n v="2270.9999999999991"/>
    <n v="0.3392732292357612"/>
    <x v="22"/>
  </r>
  <r>
    <d v="2024-04-19T00:00:00"/>
    <x v="8"/>
    <x v="1"/>
    <x v="0"/>
    <n v="1768.26"/>
    <n v="1148.29"/>
    <n v="9"/>
    <n v="15914.34"/>
    <n v="10334.61"/>
    <n v="5579.73"/>
    <n v="0.35061020438170853"/>
    <x v="22"/>
  </r>
  <r>
    <d v="2022-09-22T00:00:00"/>
    <x v="9"/>
    <x v="3"/>
    <x v="1"/>
    <n v="492.78"/>
    <n v="303.79000000000002"/>
    <n v="4"/>
    <n v="1971.12"/>
    <n v="1215.1600000000001"/>
    <n v="755.95999999999981"/>
    <n v="0.38351799991882779"/>
    <x v="12"/>
  </r>
  <r>
    <d v="2023-05-01T00:00:00"/>
    <x v="0"/>
    <x v="0"/>
    <x v="1"/>
    <n v="1608.38"/>
    <n v="900.54"/>
    <n v="4"/>
    <n v="6433.52"/>
    <n v="3602.16"/>
    <n v="2831.3600000000006"/>
    <n v="0.44009500242480015"/>
    <x v="31"/>
  </r>
  <r>
    <d v="2023-01-05T00:00:00"/>
    <x v="2"/>
    <x v="0"/>
    <x v="0"/>
    <n v="515.91"/>
    <n v="418.48"/>
    <n v="2"/>
    <n v="1031.82"/>
    <n v="836.96"/>
    <n v="194.8599999999999"/>
    <n v="0.18885076854490115"/>
    <x v="13"/>
  </r>
  <r>
    <d v="2022-01-25T00:00:00"/>
    <x v="6"/>
    <x v="3"/>
    <x v="0"/>
    <n v="357.97"/>
    <n v="187.6"/>
    <n v="3"/>
    <n v="1073.9100000000001"/>
    <n v="562.79999999999995"/>
    <n v="511.11000000000013"/>
    <n v="0.47593373746403339"/>
    <x v="9"/>
  </r>
  <r>
    <d v="2024-07-15T00:00:00"/>
    <x v="8"/>
    <x v="1"/>
    <x v="3"/>
    <n v="1314.73"/>
    <n v="1053.74"/>
    <n v="9"/>
    <n v="11832.57"/>
    <n v="9483.66"/>
    <n v="2348.91"/>
    <n v="0.19851224205730453"/>
    <x v="28"/>
  </r>
  <r>
    <d v="2024-01-25T00:00:00"/>
    <x v="5"/>
    <x v="3"/>
    <x v="2"/>
    <n v="722.33"/>
    <n v="457.73"/>
    <n v="4"/>
    <n v="2889.32"/>
    <n v="1830.92"/>
    <n v="1058.4000000000001"/>
    <n v="0.36631456536486096"/>
    <x v="26"/>
  </r>
  <r>
    <d v="2023-08-09T00:00:00"/>
    <x v="6"/>
    <x v="3"/>
    <x v="3"/>
    <n v="483.02"/>
    <n v="343.08"/>
    <n v="9"/>
    <n v="4347.18"/>
    <n v="3087.72"/>
    <n v="1259.4600000000005"/>
    <n v="0.28971885222144023"/>
    <x v="14"/>
  </r>
  <r>
    <d v="2024-12-20T00:00:00"/>
    <x v="8"/>
    <x v="1"/>
    <x v="3"/>
    <n v="211.66"/>
    <n v="134.37"/>
    <n v="3"/>
    <n v="634.98"/>
    <n v="403.11"/>
    <n v="231.87"/>
    <n v="0.36516110743645469"/>
    <x v="23"/>
  </r>
  <r>
    <d v="2023-11-13T00:00:00"/>
    <x v="5"/>
    <x v="3"/>
    <x v="0"/>
    <n v="1673.63"/>
    <n v="1175.24"/>
    <n v="6"/>
    <n v="10041.780000000001"/>
    <n v="7051.4400000000005"/>
    <n v="2990.34"/>
    <n v="0.297789834073242"/>
    <x v="10"/>
  </r>
  <r>
    <d v="2023-03-21T00:00:00"/>
    <x v="1"/>
    <x v="1"/>
    <x v="2"/>
    <n v="735.89"/>
    <n v="472.65"/>
    <n v="6"/>
    <n v="4415.34"/>
    <n v="2835.8999999999996"/>
    <n v="1579.4400000000005"/>
    <n v="0.35771650654309756"/>
    <x v="19"/>
  </r>
  <r>
    <d v="2022-01-22T00:00:00"/>
    <x v="10"/>
    <x v="2"/>
    <x v="1"/>
    <n v="1934.4"/>
    <n v="1020.73"/>
    <n v="9"/>
    <n v="17409.600000000002"/>
    <n v="9186.57"/>
    <n v="8223.0300000000025"/>
    <n v="0.47232733664185284"/>
    <x v="9"/>
  </r>
  <r>
    <d v="2024-01-04T00:00:00"/>
    <x v="3"/>
    <x v="2"/>
    <x v="0"/>
    <n v="1402.33"/>
    <n v="872.91"/>
    <n v="7"/>
    <n v="9816.31"/>
    <n v="6110.37"/>
    <n v="3705.9399999999996"/>
    <n v="0.37752882702359641"/>
    <x v="26"/>
  </r>
  <r>
    <d v="2023-12-06T00:00:00"/>
    <x v="0"/>
    <x v="0"/>
    <x v="2"/>
    <n v="1705.5"/>
    <n v="860.61"/>
    <n v="3"/>
    <n v="5116.5"/>
    <n v="2581.83"/>
    <n v="2534.67"/>
    <n v="0.49539138082673706"/>
    <x v="30"/>
  </r>
  <r>
    <d v="2022-04-08T00:00:00"/>
    <x v="10"/>
    <x v="2"/>
    <x v="3"/>
    <n v="840.7"/>
    <n v="612.39"/>
    <n v="2"/>
    <n v="1681.4"/>
    <n v="1224.78"/>
    <n v="456.62000000000012"/>
    <n v="0.2715713096229333"/>
    <x v="32"/>
  </r>
  <r>
    <d v="2023-03-06T00:00:00"/>
    <x v="0"/>
    <x v="0"/>
    <x v="0"/>
    <n v="1259.02"/>
    <n v="837.86"/>
    <n v="5"/>
    <n v="6295.1"/>
    <n v="4189.3"/>
    <n v="2105.8000000000002"/>
    <n v="0.33451414592301948"/>
    <x v="19"/>
  </r>
  <r>
    <d v="2024-07-13T00:00:00"/>
    <x v="3"/>
    <x v="2"/>
    <x v="3"/>
    <n v="572.80999999999995"/>
    <n v="380.13"/>
    <n v="10"/>
    <n v="5728.0999999999995"/>
    <n v="3801.3"/>
    <n v="1926.7999999999993"/>
    <n v="0.33637680906408746"/>
    <x v="28"/>
  </r>
  <r>
    <d v="2024-07-02T00:00:00"/>
    <x v="8"/>
    <x v="1"/>
    <x v="3"/>
    <n v="1026.45"/>
    <n v="532.54"/>
    <n v="2"/>
    <n v="2052.9"/>
    <n v="1065.08"/>
    <n v="987.82000000000016"/>
    <n v="0.48118271713186228"/>
    <x v="28"/>
  </r>
  <r>
    <d v="2024-01-08T00:00:00"/>
    <x v="8"/>
    <x v="1"/>
    <x v="1"/>
    <n v="935.67"/>
    <n v="837.19"/>
    <n v="5"/>
    <n v="4678.3499999999995"/>
    <n v="4185.9500000000007"/>
    <n v="492.39999999999873"/>
    <n v="0.10525078286147868"/>
    <x v="26"/>
  </r>
  <r>
    <d v="2023-02-01T00:00:00"/>
    <x v="6"/>
    <x v="3"/>
    <x v="0"/>
    <n v="987.04"/>
    <n v="722.27"/>
    <n v="10"/>
    <n v="9870.4"/>
    <n v="7222.7"/>
    <n v="2647.7"/>
    <n v="0.26824647430701898"/>
    <x v="27"/>
  </r>
  <r>
    <d v="2022-11-21T00:00:00"/>
    <x v="8"/>
    <x v="1"/>
    <x v="2"/>
    <n v="1567.74"/>
    <n v="914.26"/>
    <n v="2"/>
    <n v="3135.48"/>
    <n v="1828.52"/>
    <n v="1306.96"/>
    <n v="0.41682932118846239"/>
    <x v="1"/>
  </r>
  <r>
    <d v="2023-10-11T00:00:00"/>
    <x v="6"/>
    <x v="3"/>
    <x v="1"/>
    <n v="1236.92"/>
    <n v="948.56"/>
    <n v="1"/>
    <n v="1236.92"/>
    <n v="948.56"/>
    <n v="288.36000000000013"/>
    <n v="0.23312744559066076"/>
    <x v="5"/>
  </r>
  <r>
    <d v="2024-01-16T00:00:00"/>
    <x v="0"/>
    <x v="0"/>
    <x v="2"/>
    <n v="843.65"/>
    <n v="688.35"/>
    <n v="9"/>
    <n v="7592.8499999999995"/>
    <n v="6195.1500000000005"/>
    <n v="1397.6999999999989"/>
    <n v="0.18408107627570661"/>
    <x v="26"/>
  </r>
  <r>
    <d v="2024-05-28T00:00:00"/>
    <x v="0"/>
    <x v="0"/>
    <x v="1"/>
    <n v="1506.95"/>
    <n v="944.54"/>
    <n v="9"/>
    <n v="13562.550000000001"/>
    <n v="8500.86"/>
    <n v="5061.6900000000005"/>
    <n v="0.37321079000630414"/>
    <x v="3"/>
  </r>
  <r>
    <d v="2022-05-18T00:00:00"/>
    <x v="6"/>
    <x v="3"/>
    <x v="2"/>
    <n v="1781.2"/>
    <n v="941.84"/>
    <n v="4"/>
    <n v="7124.8"/>
    <n v="3767.36"/>
    <n v="3357.44"/>
    <n v="0.47123287671232877"/>
    <x v="35"/>
  </r>
  <r>
    <d v="2022-04-05T00:00:00"/>
    <x v="3"/>
    <x v="2"/>
    <x v="3"/>
    <n v="1403.03"/>
    <n v="1225.1099999999999"/>
    <n v="8"/>
    <n v="11224.24"/>
    <n v="9800.8799999999992"/>
    <n v="1423.3600000000006"/>
    <n v="0.12681125849055264"/>
    <x v="32"/>
  </r>
  <r>
    <d v="2022-04-04T00:00:00"/>
    <x v="6"/>
    <x v="3"/>
    <x v="2"/>
    <n v="726.85"/>
    <n v="623.70000000000005"/>
    <n v="6"/>
    <n v="4361.1000000000004"/>
    <n v="3742.2000000000003"/>
    <n v="618.90000000000009"/>
    <n v="0.14191373735984042"/>
    <x v="32"/>
  </r>
  <r>
    <d v="2022-04-04T00:00:00"/>
    <x v="7"/>
    <x v="0"/>
    <x v="2"/>
    <n v="1708.04"/>
    <n v="1013.35"/>
    <n v="4"/>
    <n v="6832.16"/>
    <n v="4053.4"/>
    <n v="2778.7599999999998"/>
    <n v="0.40671764127303806"/>
    <x v="32"/>
  </r>
  <r>
    <d v="2022-07-08T00:00:00"/>
    <x v="4"/>
    <x v="2"/>
    <x v="1"/>
    <n v="1717.42"/>
    <n v="1489.77"/>
    <n v="7"/>
    <n v="12021.94"/>
    <n v="10428.39"/>
    <n v="1593.5500000000011"/>
    <n v="0.13255348138486808"/>
    <x v="8"/>
  </r>
  <r>
    <d v="2022-08-10T00:00:00"/>
    <x v="5"/>
    <x v="3"/>
    <x v="1"/>
    <n v="1749.57"/>
    <n v="1479.45"/>
    <n v="8"/>
    <n v="13996.56"/>
    <n v="11835.6"/>
    <n v="2160.9599999999991"/>
    <n v="0.15439222208885606"/>
    <x v="15"/>
  </r>
  <r>
    <d v="2023-08-02T00:00:00"/>
    <x v="5"/>
    <x v="3"/>
    <x v="3"/>
    <n v="766.49"/>
    <n v="614.6"/>
    <n v="4"/>
    <n v="3065.96"/>
    <n v="2458.4"/>
    <n v="607.55999999999995"/>
    <n v="0.19816305496483971"/>
    <x v="14"/>
  </r>
  <r>
    <d v="2024-06-20T00:00:00"/>
    <x v="8"/>
    <x v="1"/>
    <x v="2"/>
    <n v="1586.58"/>
    <n v="1011.76"/>
    <n v="10"/>
    <n v="15865.8"/>
    <n v="10117.6"/>
    <n v="5748.1999999999989"/>
    <n v="0.36230130217196732"/>
    <x v="4"/>
  </r>
  <r>
    <d v="2024-11-20T00:00:00"/>
    <x v="7"/>
    <x v="0"/>
    <x v="0"/>
    <n v="1550.39"/>
    <n v="1199.26"/>
    <n v="2"/>
    <n v="3100.78"/>
    <n v="2398.52"/>
    <n v="702.26000000000022"/>
    <n v="0.22647849895832667"/>
    <x v="2"/>
  </r>
  <r>
    <d v="2022-01-31T00:00:00"/>
    <x v="6"/>
    <x v="3"/>
    <x v="0"/>
    <n v="782.97"/>
    <n v="661.19"/>
    <n v="5"/>
    <n v="3914.8500000000004"/>
    <n v="3305.9500000000003"/>
    <n v="608.90000000000009"/>
    <n v="0.15553597200403593"/>
    <x v="9"/>
  </r>
  <r>
    <d v="2024-02-24T00:00:00"/>
    <x v="0"/>
    <x v="0"/>
    <x v="0"/>
    <n v="253.79"/>
    <n v="190.18"/>
    <n v="10"/>
    <n v="2537.9"/>
    <n v="1901.8000000000002"/>
    <n v="636.09999999999991"/>
    <n v="0.25064029315575864"/>
    <x v="34"/>
  </r>
  <r>
    <d v="2022-08-02T00:00:00"/>
    <x v="2"/>
    <x v="0"/>
    <x v="0"/>
    <n v="924.85"/>
    <n v="693.72"/>
    <n v="6"/>
    <n v="5549.1"/>
    <n v="4162.32"/>
    <n v="1386.7800000000007"/>
    <n v="0.2499107963453534"/>
    <x v="15"/>
  </r>
  <r>
    <d v="2022-04-15T00:00:00"/>
    <x v="0"/>
    <x v="0"/>
    <x v="0"/>
    <n v="487.05"/>
    <n v="409.07"/>
    <n v="3"/>
    <n v="1461.15"/>
    <n v="1227.21"/>
    <n v="233.94000000000005"/>
    <n v="0.16010676521917672"/>
    <x v="32"/>
  </r>
  <r>
    <d v="2022-09-13T00:00:00"/>
    <x v="6"/>
    <x v="3"/>
    <x v="2"/>
    <n v="1206.8900000000001"/>
    <n v="702.19"/>
    <n v="1"/>
    <n v="1206.8900000000001"/>
    <n v="702.19"/>
    <n v="504.70000000000005"/>
    <n v="0.41818227013232356"/>
    <x v="12"/>
  </r>
  <r>
    <d v="2022-08-02T00:00:00"/>
    <x v="0"/>
    <x v="0"/>
    <x v="3"/>
    <n v="129.53"/>
    <n v="115.95"/>
    <n v="5"/>
    <n v="647.65"/>
    <n v="579.75"/>
    <n v="67.899999999999977"/>
    <n v="0.10484057747240018"/>
    <x v="15"/>
  </r>
  <r>
    <d v="2023-04-15T00:00:00"/>
    <x v="6"/>
    <x v="3"/>
    <x v="0"/>
    <n v="368.88"/>
    <n v="327.76"/>
    <n v="2"/>
    <n v="737.76"/>
    <n v="655.52"/>
    <n v="82.240000000000009"/>
    <n v="0.11147256560399046"/>
    <x v="6"/>
  </r>
  <r>
    <d v="2022-05-19T00:00:00"/>
    <x v="10"/>
    <x v="2"/>
    <x v="1"/>
    <n v="1420.88"/>
    <n v="1275.79"/>
    <n v="7"/>
    <n v="9946.16"/>
    <n v="8930.5299999999988"/>
    <n v="1015.630000000001"/>
    <n v="0.10211277518157771"/>
    <x v="35"/>
  </r>
  <r>
    <d v="2023-03-19T00:00:00"/>
    <x v="9"/>
    <x v="3"/>
    <x v="0"/>
    <n v="398.78"/>
    <n v="267.58999999999997"/>
    <n v="5"/>
    <n v="1993.8999999999999"/>
    <n v="1337.9499999999998"/>
    <n v="655.95"/>
    <n v="0.32897838407141788"/>
    <x v="19"/>
  </r>
  <r>
    <d v="2023-10-25T00:00:00"/>
    <x v="9"/>
    <x v="3"/>
    <x v="2"/>
    <n v="620.25"/>
    <n v="517.79999999999995"/>
    <n v="9"/>
    <n v="5582.25"/>
    <n v="4660.2"/>
    <n v="922.05000000000018"/>
    <n v="0.16517533252720681"/>
    <x v="5"/>
  </r>
  <r>
    <d v="2023-04-07T00:00:00"/>
    <x v="0"/>
    <x v="0"/>
    <x v="0"/>
    <n v="632.47"/>
    <n v="365.79"/>
    <n v="9"/>
    <n v="5692.2300000000005"/>
    <n v="3292.11"/>
    <n v="2400.1200000000003"/>
    <n v="0.42164845763435421"/>
    <x v="6"/>
  </r>
  <r>
    <d v="2022-03-01T00:00:00"/>
    <x v="0"/>
    <x v="0"/>
    <x v="0"/>
    <n v="1780.41"/>
    <n v="1137.3499999999999"/>
    <n v="4"/>
    <n v="7121.64"/>
    <n v="4549.3999999999996"/>
    <n v="2572.2400000000007"/>
    <n v="0.36118646828539502"/>
    <x v="7"/>
  </r>
  <r>
    <d v="2023-08-13T00:00:00"/>
    <x v="4"/>
    <x v="2"/>
    <x v="0"/>
    <n v="1146.8499999999999"/>
    <n v="731.14"/>
    <n v="5"/>
    <n v="5734.25"/>
    <n v="3655.7"/>
    <n v="2078.5500000000002"/>
    <n v="0.36247983607272094"/>
    <x v="14"/>
  </r>
  <r>
    <d v="2022-10-31T00:00:00"/>
    <x v="5"/>
    <x v="3"/>
    <x v="2"/>
    <n v="1615.07"/>
    <n v="858.91"/>
    <n v="5"/>
    <n v="8075.3499999999995"/>
    <n v="4294.55"/>
    <n v="3780.7999999999993"/>
    <n v="0.46819023324066444"/>
    <x v="25"/>
  </r>
  <r>
    <d v="2024-03-29T00:00:00"/>
    <x v="0"/>
    <x v="0"/>
    <x v="1"/>
    <n v="1474.02"/>
    <n v="771.26"/>
    <n v="8"/>
    <n v="11792.16"/>
    <n v="6170.08"/>
    <n v="5622.08"/>
    <n v="0.47676422300918575"/>
    <x v="29"/>
  </r>
  <r>
    <d v="2023-03-03T00:00:00"/>
    <x v="5"/>
    <x v="3"/>
    <x v="0"/>
    <n v="1938.79"/>
    <n v="1591.02"/>
    <n v="2"/>
    <n v="3877.58"/>
    <n v="3182.04"/>
    <n v="695.54"/>
    <n v="0.17937476467281138"/>
    <x v="19"/>
  </r>
  <r>
    <d v="2022-08-19T00:00:00"/>
    <x v="7"/>
    <x v="0"/>
    <x v="3"/>
    <n v="1166.6099999999999"/>
    <n v="694.36"/>
    <n v="2"/>
    <n v="2333.2199999999998"/>
    <n v="1388.72"/>
    <n v="944.49999999999977"/>
    <n v="0.40480537626113261"/>
    <x v="15"/>
  </r>
  <r>
    <d v="2022-03-30T00:00:00"/>
    <x v="5"/>
    <x v="3"/>
    <x v="1"/>
    <n v="605.54999999999995"/>
    <n v="448.22"/>
    <n v="9"/>
    <n v="5449.95"/>
    <n v="4033.9800000000005"/>
    <n v="1415.9699999999993"/>
    <n v="0.25981339278341992"/>
    <x v="7"/>
  </r>
  <r>
    <d v="2022-06-18T00:00:00"/>
    <x v="1"/>
    <x v="1"/>
    <x v="3"/>
    <n v="823.73"/>
    <n v="645.47"/>
    <n v="3"/>
    <n v="2471.19"/>
    <n v="1936.41"/>
    <n v="534.78"/>
    <n v="0.21640586114382138"/>
    <x v="18"/>
  </r>
  <r>
    <d v="2023-03-23T00:00:00"/>
    <x v="10"/>
    <x v="2"/>
    <x v="0"/>
    <n v="107.7"/>
    <n v="90.12"/>
    <n v="2"/>
    <n v="215.4"/>
    <n v="180.24"/>
    <n v="35.159999999999997"/>
    <n v="0.16323119777158773"/>
    <x v="19"/>
  </r>
  <r>
    <d v="2022-01-20T00:00:00"/>
    <x v="6"/>
    <x v="3"/>
    <x v="0"/>
    <n v="742.17"/>
    <n v="531.54999999999995"/>
    <n v="7"/>
    <n v="5195.1899999999996"/>
    <n v="3720.8499999999995"/>
    <n v="1474.3400000000001"/>
    <n v="0.28378942829809889"/>
    <x v="9"/>
  </r>
  <r>
    <d v="2022-05-25T00:00:00"/>
    <x v="1"/>
    <x v="1"/>
    <x v="1"/>
    <n v="914.37"/>
    <n v="739.64"/>
    <n v="7"/>
    <n v="6400.59"/>
    <n v="5177.4799999999996"/>
    <n v="1223.1100000000006"/>
    <n v="0.19109332108446261"/>
    <x v="35"/>
  </r>
  <r>
    <d v="2022-07-10T00:00:00"/>
    <x v="7"/>
    <x v="0"/>
    <x v="2"/>
    <n v="1281.4000000000001"/>
    <n v="1054.1300000000001"/>
    <n v="3"/>
    <n v="3844.2000000000003"/>
    <n v="3162.3900000000003"/>
    <n v="681.81"/>
    <n v="0.17736069923521147"/>
    <x v="8"/>
  </r>
  <r>
    <d v="2022-10-02T00:00:00"/>
    <x v="6"/>
    <x v="3"/>
    <x v="0"/>
    <n v="462.66"/>
    <n v="341.94"/>
    <n v="3"/>
    <n v="1387.98"/>
    <n v="1025.82"/>
    <n v="362.16000000000008"/>
    <n v="0.26092594994164187"/>
    <x v="25"/>
  </r>
  <r>
    <d v="2023-12-07T00:00:00"/>
    <x v="9"/>
    <x v="3"/>
    <x v="2"/>
    <n v="1406.23"/>
    <n v="790.6"/>
    <n v="10"/>
    <n v="14062.3"/>
    <n v="7906"/>
    <n v="6156.2999999999993"/>
    <n v="0.4377875596452927"/>
    <x v="30"/>
  </r>
  <r>
    <d v="2023-09-04T00:00:00"/>
    <x v="2"/>
    <x v="0"/>
    <x v="3"/>
    <n v="1527.67"/>
    <n v="1185.6600000000001"/>
    <n v="10"/>
    <n v="15276.7"/>
    <n v="11856.6"/>
    <n v="3420.1000000000004"/>
    <n v="0.22387688440566353"/>
    <x v="24"/>
  </r>
  <r>
    <d v="2022-03-10T00:00:00"/>
    <x v="3"/>
    <x v="2"/>
    <x v="2"/>
    <n v="897.31"/>
    <n v="604.45000000000005"/>
    <n v="6"/>
    <n v="5383.86"/>
    <n v="3626.7000000000003"/>
    <n v="1757.1599999999994"/>
    <n v="0.32637550010587191"/>
    <x v="7"/>
  </r>
  <r>
    <d v="2023-08-29T00:00:00"/>
    <x v="10"/>
    <x v="2"/>
    <x v="1"/>
    <n v="1211.46"/>
    <n v="732.26"/>
    <n v="5"/>
    <n v="6057.3"/>
    <n v="3661.3"/>
    <n v="2396"/>
    <n v="0.39555577567563105"/>
    <x v="14"/>
  </r>
  <r>
    <d v="2024-06-02T00:00:00"/>
    <x v="9"/>
    <x v="3"/>
    <x v="1"/>
    <n v="1427.46"/>
    <n v="1043.05"/>
    <n v="7"/>
    <n v="9992.2200000000012"/>
    <n v="7301.3499999999995"/>
    <n v="2690.8700000000017"/>
    <n v="0.26929651268687055"/>
    <x v="4"/>
  </r>
  <r>
    <d v="2022-10-19T00:00:00"/>
    <x v="5"/>
    <x v="3"/>
    <x v="3"/>
    <n v="1124.8599999999999"/>
    <n v="789.55"/>
    <n v="8"/>
    <n v="8998.8799999999992"/>
    <n v="6316.4"/>
    <n v="2682.4799999999996"/>
    <n v="0.29809042903116828"/>
    <x v="25"/>
  </r>
  <r>
    <d v="2023-10-18T00:00:00"/>
    <x v="5"/>
    <x v="3"/>
    <x v="0"/>
    <n v="1847.95"/>
    <n v="1125.0899999999999"/>
    <n v="10"/>
    <n v="18479.5"/>
    <n v="11250.9"/>
    <n v="7228.6"/>
    <n v="0.39116859222381561"/>
    <x v="5"/>
  </r>
  <r>
    <d v="2022-11-13T00:00:00"/>
    <x v="4"/>
    <x v="2"/>
    <x v="0"/>
    <n v="1636.87"/>
    <n v="1334.64"/>
    <n v="10"/>
    <n v="16368.699999999999"/>
    <n v="13346.400000000001"/>
    <n v="3022.2999999999975"/>
    <n v="0.18463897560588183"/>
    <x v="1"/>
  </r>
  <r>
    <d v="2022-12-08T00:00:00"/>
    <x v="2"/>
    <x v="0"/>
    <x v="0"/>
    <n v="996.72"/>
    <n v="626.08000000000004"/>
    <n v="10"/>
    <n v="9967.2000000000007"/>
    <n v="6260.8"/>
    <n v="3706.4000000000005"/>
    <n v="0.37185969981539452"/>
    <x v="33"/>
  </r>
  <r>
    <d v="2023-08-13T00:00:00"/>
    <x v="2"/>
    <x v="0"/>
    <x v="1"/>
    <n v="63.05"/>
    <n v="55.94"/>
    <n v="10"/>
    <n v="630.5"/>
    <n v="559.4"/>
    <n v="71.100000000000023"/>
    <n v="0.11276764472640764"/>
    <x v="14"/>
  </r>
  <r>
    <d v="2024-03-04T00:00:00"/>
    <x v="10"/>
    <x v="2"/>
    <x v="3"/>
    <n v="1207.24"/>
    <n v="771.02"/>
    <n v="1"/>
    <n v="1207.24"/>
    <n v="771.02"/>
    <n v="436.22"/>
    <n v="0.3613366024982605"/>
    <x v="29"/>
  </r>
  <r>
    <d v="2024-11-02T00:00:00"/>
    <x v="0"/>
    <x v="0"/>
    <x v="1"/>
    <n v="612.25"/>
    <n v="548.30999999999995"/>
    <n v="2"/>
    <n v="1224.5"/>
    <n v="1096.6199999999999"/>
    <n v="127.88000000000011"/>
    <n v="0.10443446304614137"/>
    <x v="2"/>
  </r>
  <r>
    <d v="2024-04-02T00:00:00"/>
    <x v="8"/>
    <x v="1"/>
    <x v="2"/>
    <n v="306.37"/>
    <n v="172.87"/>
    <n v="9"/>
    <n v="2757.33"/>
    <n v="1555.83"/>
    <n v="1201.5"/>
    <n v="0.43574762542024353"/>
    <x v="22"/>
  </r>
  <r>
    <d v="2023-03-23T00:00:00"/>
    <x v="3"/>
    <x v="2"/>
    <x v="0"/>
    <n v="760.41"/>
    <n v="406.28"/>
    <n v="6"/>
    <n v="4562.46"/>
    <n v="2437.6799999999998"/>
    <n v="2124.7800000000002"/>
    <n v="0.46570928841019982"/>
    <x v="19"/>
  </r>
  <r>
    <d v="2023-02-06T00:00:00"/>
    <x v="3"/>
    <x v="2"/>
    <x v="0"/>
    <n v="201.13"/>
    <n v="101.43"/>
    <n v="5"/>
    <n v="1005.65"/>
    <n v="507.15000000000003"/>
    <n v="498.49999999999994"/>
    <n v="0.49569929896087106"/>
    <x v="27"/>
  </r>
  <r>
    <d v="2024-10-09T00:00:00"/>
    <x v="10"/>
    <x v="2"/>
    <x v="0"/>
    <n v="1379.33"/>
    <n v="948.42"/>
    <n v="6"/>
    <n v="8275.98"/>
    <n v="5690.5199999999995"/>
    <n v="2585.46"/>
    <n v="0.31240529822450031"/>
    <x v="17"/>
  </r>
  <r>
    <d v="2023-04-09T00:00:00"/>
    <x v="0"/>
    <x v="0"/>
    <x v="0"/>
    <n v="668.1"/>
    <n v="404.04"/>
    <n v="1"/>
    <n v="668.1"/>
    <n v="404.04"/>
    <n v="264.06"/>
    <n v="0.39524023349797932"/>
    <x v="6"/>
  </r>
  <r>
    <d v="2024-11-28T00:00:00"/>
    <x v="5"/>
    <x v="3"/>
    <x v="1"/>
    <n v="899.25"/>
    <n v="733.23"/>
    <n v="7"/>
    <n v="6294.75"/>
    <n v="5132.6100000000006"/>
    <n v="1162.1399999999994"/>
    <n v="0.18462051709758123"/>
    <x v="2"/>
  </r>
  <r>
    <d v="2023-11-03T00:00:00"/>
    <x v="8"/>
    <x v="1"/>
    <x v="2"/>
    <n v="464.57"/>
    <n v="359.74"/>
    <n v="5"/>
    <n v="2322.85"/>
    <n v="1798.7"/>
    <n v="524.14999999999986"/>
    <n v="0.22564952536754412"/>
    <x v="10"/>
  </r>
  <r>
    <d v="2023-04-22T00:00:00"/>
    <x v="4"/>
    <x v="2"/>
    <x v="0"/>
    <n v="1671.14"/>
    <n v="1309.83"/>
    <n v="1"/>
    <n v="1671.14"/>
    <n v="1309.83"/>
    <n v="361.31000000000017"/>
    <n v="0.2162057038907573"/>
    <x v="6"/>
  </r>
  <r>
    <d v="2024-07-26T00:00:00"/>
    <x v="9"/>
    <x v="3"/>
    <x v="3"/>
    <n v="460.91"/>
    <n v="412.81"/>
    <n v="8"/>
    <n v="3687.28"/>
    <n v="3302.48"/>
    <n v="384.80000000000018"/>
    <n v="0.10435876852313905"/>
    <x v="28"/>
  </r>
  <r>
    <d v="2023-10-15T00:00:00"/>
    <x v="8"/>
    <x v="1"/>
    <x v="2"/>
    <n v="1419.18"/>
    <n v="1227.3499999999999"/>
    <n v="8"/>
    <n v="11353.44"/>
    <n v="9818.7999999999993"/>
    <n v="1534.6400000000012"/>
    <n v="0.13516960498315939"/>
    <x v="5"/>
  </r>
  <r>
    <d v="2023-08-27T00:00:00"/>
    <x v="0"/>
    <x v="0"/>
    <x v="2"/>
    <n v="1323.75"/>
    <n v="813.85"/>
    <n v="4"/>
    <n v="5295"/>
    <n v="3255.4"/>
    <n v="2039.6"/>
    <n v="0.38519357884796979"/>
    <x v="14"/>
  </r>
  <r>
    <d v="2022-07-24T00:00:00"/>
    <x v="8"/>
    <x v="1"/>
    <x v="0"/>
    <n v="1748.49"/>
    <n v="1169.07"/>
    <n v="7"/>
    <n v="12239.43"/>
    <n v="8183.49"/>
    <n v="4055.9400000000005"/>
    <n v="0.33138307911397841"/>
    <x v="8"/>
  </r>
  <r>
    <d v="2024-03-07T00:00:00"/>
    <x v="4"/>
    <x v="2"/>
    <x v="1"/>
    <n v="1312.77"/>
    <n v="1047.68"/>
    <n v="10"/>
    <n v="13127.7"/>
    <n v="10476.800000000001"/>
    <n v="2650.8999999999996"/>
    <n v="0.20193179307875708"/>
    <x v="29"/>
  </r>
  <r>
    <d v="2023-07-29T00:00:00"/>
    <x v="9"/>
    <x v="3"/>
    <x v="0"/>
    <n v="1603.25"/>
    <n v="1030.96"/>
    <n v="8"/>
    <n v="12826"/>
    <n v="8247.68"/>
    <n v="4578.32"/>
    <n v="0.35695618275378138"/>
    <x v="11"/>
  </r>
  <r>
    <d v="2024-06-06T00:00:00"/>
    <x v="1"/>
    <x v="1"/>
    <x v="2"/>
    <n v="710.31"/>
    <n v="639.12"/>
    <n v="7"/>
    <n v="4972.17"/>
    <n v="4473.84"/>
    <n v="498.32999999999993"/>
    <n v="0.10022384592642647"/>
    <x v="4"/>
  </r>
  <r>
    <d v="2023-08-05T00:00:00"/>
    <x v="5"/>
    <x v="3"/>
    <x v="3"/>
    <n v="1976.79"/>
    <n v="1537.24"/>
    <n v="1"/>
    <n v="1976.79"/>
    <n v="1537.24"/>
    <n v="439.54999999999995"/>
    <n v="0.22235543482109885"/>
    <x v="14"/>
  </r>
  <r>
    <d v="2024-07-13T00:00:00"/>
    <x v="1"/>
    <x v="1"/>
    <x v="0"/>
    <n v="263.07"/>
    <n v="141.85"/>
    <n v="7"/>
    <n v="1841.49"/>
    <n v="992.94999999999993"/>
    <n v="848.54000000000008"/>
    <n v="0.46078990382787854"/>
    <x v="28"/>
  </r>
  <r>
    <d v="2022-03-03T00:00:00"/>
    <x v="2"/>
    <x v="0"/>
    <x v="3"/>
    <n v="1233.6199999999999"/>
    <n v="804.05"/>
    <n v="3"/>
    <n v="3700.8599999999997"/>
    <n v="2412.1499999999996"/>
    <n v="1288.71"/>
    <n v="0.34821906259626145"/>
    <x v="7"/>
  </r>
  <r>
    <d v="2024-01-08T00:00:00"/>
    <x v="4"/>
    <x v="2"/>
    <x v="1"/>
    <n v="757.17"/>
    <n v="581.35"/>
    <n v="9"/>
    <n v="6814.53"/>
    <n v="5232.1500000000005"/>
    <n v="1582.3799999999992"/>
    <n v="0.23220676994598297"/>
    <x v="26"/>
  </r>
  <r>
    <d v="2024-10-03T00:00:00"/>
    <x v="4"/>
    <x v="2"/>
    <x v="1"/>
    <n v="1115.73"/>
    <n v="951.6"/>
    <n v="1"/>
    <n v="1115.73"/>
    <n v="951.6"/>
    <n v="164.13"/>
    <n v="0.14710548250920921"/>
    <x v="17"/>
  </r>
  <r>
    <d v="2023-10-19T00:00:00"/>
    <x v="4"/>
    <x v="2"/>
    <x v="0"/>
    <n v="232.93"/>
    <n v="157.09"/>
    <n v="4"/>
    <n v="931.72"/>
    <n v="628.36"/>
    <n v="303.36"/>
    <n v="0.32559137938436439"/>
    <x v="5"/>
  </r>
  <r>
    <d v="2022-12-31T00:00:00"/>
    <x v="0"/>
    <x v="0"/>
    <x v="3"/>
    <n v="186.05"/>
    <n v="135.08000000000001"/>
    <n v="2"/>
    <n v="372.1"/>
    <n v="270.16000000000003"/>
    <n v="101.94"/>
    <n v="0.27395861327600107"/>
    <x v="33"/>
  </r>
  <r>
    <d v="2023-04-14T00:00:00"/>
    <x v="6"/>
    <x v="3"/>
    <x v="2"/>
    <n v="1572.93"/>
    <n v="1196.1099999999999"/>
    <n v="1"/>
    <n v="1572.93"/>
    <n v="1196.1099999999999"/>
    <n v="376.82000000000016"/>
    <n v="0.23956565136401503"/>
    <x v="6"/>
  </r>
  <r>
    <d v="2024-07-26T00:00:00"/>
    <x v="0"/>
    <x v="0"/>
    <x v="1"/>
    <n v="393.56"/>
    <n v="268.58"/>
    <n v="7"/>
    <n v="2754.92"/>
    <n v="1880.06"/>
    <n v="874.86000000000013"/>
    <n v="0.31756276044313453"/>
    <x v="28"/>
  </r>
  <r>
    <d v="2023-09-26T00:00:00"/>
    <x v="10"/>
    <x v="2"/>
    <x v="3"/>
    <n v="129.6"/>
    <n v="96.79"/>
    <n v="2"/>
    <n v="259.2"/>
    <n v="193.58"/>
    <n v="65.619999999999976"/>
    <n v="0.25316358024691349"/>
    <x v="24"/>
  </r>
  <r>
    <d v="2023-09-18T00:00:00"/>
    <x v="2"/>
    <x v="0"/>
    <x v="2"/>
    <n v="746.67"/>
    <n v="394.52"/>
    <n v="8"/>
    <n v="5973.36"/>
    <n v="3156.16"/>
    <n v="2817.2"/>
    <n v="0.47162735880643392"/>
    <x v="24"/>
  </r>
  <r>
    <d v="2023-07-12T00:00:00"/>
    <x v="7"/>
    <x v="0"/>
    <x v="3"/>
    <n v="895.26"/>
    <n v="549.95000000000005"/>
    <n v="5"/>
    <n v="4476.3"/>
    <n v="2749.75"/>
    <n v="1726.5500000000002"/>
    <n v="0.38570917945624739"/>
    <x v="11"/>
  </r>
  <r>
    <d v="2024-06-09T00:00:00"/>
    <x v="1"/>
    <x v="1"/>
    <x v="3"/>
    <n v="519.63"/>
    <n v="333.36"/>
    <n v="8"/>
    <n v="4157.04"/>
    <n v="2666.88"/>
    <n v="1490.1599999999999"/>
    <n v="0.35846660123549445"/>
    <x v="4"/>
  </r>
  <r>
    <d v="2023-05-09T00:00:00"/>
    <x v="0"/>
    <x v="0"/>
    <x v="2"/>
    <n v="1846.39"/>
    <n v="1001.84"/>
    <n v="7"/>
    <n v="12924.730000000001"/>
    <n v="7012.88"/>
    <n v="5911.8500000000013"/>
    <n v="0.45740607347310164"/>
    <x v="31"/>
  </r>
  <r>
    <d v="2023-03-27T00:00:00"/>
    <x v="4"/>
    <x v="2"/>
    <x v="1"/>
    <n v="1550.31"/>
    <n v="838.07"/>
    <n v="5"/>
    <n v="7751.5499999999993"/>
    <n v="4190.3500000000004"/>
    <n v="3561.1999999999989"/>
    <n v="0.45941779386058262"/>
    <x v="19"/>
  </r>
  <r>
    <d v="2024-09-19T00:00:00"/>
    <x v="6"/>
    <x v="3"/>
    <x v="3"/>
    <n v="1683.19"/>
    <n v="1288.56"/>
    <n v="4"/>
    <n v="6732.76"/>
    <n v="5154.24"/>
    <n v="1578.5200000000004"/>
    <n v="0.23445362674445552"/>
    <x v="16"/>
  </r>
  <r>
    <d v="2022-01-12T00:00:00"/>
    <x v="0"/>
    <x v="0"/>
    <x v="2"/>
    <n v="882.46"/>
    <n v="674.06"/>
    <n v="6"/>
    <n v="5294.76"/>
    <n v="4044.3599999999997"/>
    <n v="1250.4000000000005"/>
    <n v="0.23615801282777699"/>
    <x v="9"/>
  </r>
  <r>
    <d v="2024-09-23T00:00:00"/>
    <x v="10"/>
    <x v="2"/>
    <x v="1"/>
    <n v="1177.55"/>
    <n v="850.14"/>
    <n v="9"/>
    <n v="10597.949999999999"/>
    <n v="7651.26"/>
    <n v="2946.6899999999987"/>
    <n v="0.27804339518491772"/>
    <x v="16"/>
  </r>
  <r>
    <d v="2023-03-19T00:00:00"/>
    <x v="0"/>
    <x v="0"/>
    <x v="1"/>
    <n v="1323.57"/>
    <n v="1026.9100000000001"/>
    <n v="10"/>
    <n v="13235.699999999999"/>
    <n v="10269.1"/>
    <n v="2966.5999999999985"/>
    <n v="0.22413623759982462"/>
    <x v="19"/>
  </r>
  <r>
    <d v="2024-09-08T00:00:00"/>
    <x v="1"/>
    <x v="1"/>
    <x v="0"/>
    <n v="91.2"/>
    <n v="74.84"/>
    <n v="10"/>
    <n v="912"/>
    <n v="748.40000000000009"/>
    <n v="163.59999999999991"/>
    <n v="0.17938596491228059"/>
    <x v="16"/>
  </r>
  <r>
    <d v="2023-03-26T00:00:00"/>
    <x v="5"/>
    <x v="3"/>
    <x v="0"/>
    <n v="1546.24"/>
    <n v="1183.05"/>
    <n v="2"/>
    <n v="3092.48"/>
    <n v="2366.1"/>
    <n v="726.38000000000011"/>
    <n v="0.2348859168046358"/>
    <x v="19"/>
  </r>
  <r>
    <d v="2024-10-16T00:00:00"/>
    <x v="2"/>
    <x v="0"/>
    <x v="1"/>
    <n v="1857.2"/>
    <n v="1099.7"/>
    <n v="7"/>
    <n v="13000.4"/>
    <n v="7697.9000000000005"/>
    <n v="5302.4999999999991"/>
    <n v="0.4078720654749084"/>
    <x v="17"/>
  </r>
  <r>
    <d v="2024-11-26T00:00:00"/>
    <x v="2"/>
    <x v="0"/>
    <x v="2"/>
    <n v="1987.57"/>
    <n v="1533.64"/>
    <n v="6"/>
    <n v="11925.42"/>
    <n v="9201.84"/>
    <n v="2723.58"/>
    <n v="0.22838440910257249"/>
    <x v="2"/>
  </r>
  <r>
    <d v="2022-09-18T00:00:00"/>
    <x v="6"/>
    <x v="3"/>
    <x v="2"/>
    <n v="445.07"/>
    <n v="257.01"/>
    <n v="3"/>
    <n v="1335.21"/>
    <n v="771.03"/>
    <n v="564.18000000000006"/>
    <n v="0.42254027456355181"/>
    <x v="12"/>
  </r>
  <r>
    <d v="2022-06-06T00:00:00"/>
    <x v="7"/>
    <x v="0"/>
    <x v="3"/>
    <n v="71.37"/>
    <n v="48.22"/>
    <n v="8"/>
    <n v="570.96"/>
    <n v="385.76"/>
    <n v="185.20000000000005"/>
    <n v="0.32436598010368506"/>
    <x v="18"/>
  </r>
  <r>
    <d v="2022-12-05T00:00:00"/>
    <x v="2"/>
    <x v="0"/>
    <x v="3"/>
    <n v="90"/>
    <n v="64.010000000000005"/>
    <n v="4"/>
    <n v="360"/>
    <n v="256.04000000000002"/>
    <n v="103.95999999999998"/>
    <n v="0.28877777777777774"/>
    <x v="33"/>
  </r>
  <r>
    <d v="2024-01-02T00:00:00"/>
    <x v="0"/>
    <x v="0"/>
    <x v="0"/>
    <n v="1596.74"/>
    <n v="1364.82"/>
    <n v="6"/>
    <n v="9580.44"/>
    <n v="8188.92"/>
    <n v="1391.5200000000004"/>
    <n v="0.14524593859989732"/>
    <x v="26"/>
  </r>
  <r>
    <d v="2024-08-29T00:00:00"/>
    <x v="0"/>
    <x v="0"/>
    <x v="3"/>
    <n v="1267.8900000000001"/>
    <n v="1109.05"/>
    <n v="10"/>
    <n v="12678.900000000001"/>
    <n v="11090.5"/>
    <n v="1588.4000000000015"/>
    <n v="0.12527900685390697"/>
    <x v="21"/>
  </r>
  <r>
    <d v="2024-11-29T00:00:00"/>
    <x v="1"/>
    <x v="1"/>
    <x v="1"/>
    <n v="477.92"/>
    <n v="395.22"/>
    <n v="6"/>
    <n v="2867.52"/>
    <n v="2371.3200000000002"/>
    <n v="496.19999999999982"/>
    <n v="0.17304151322397049"/>
    <x v="2"/>
  </r>
  <r>
    <d v="2024-04-08T00:00:00"/>
    <x v="7"/>
    <x v="0"/>
    <x v="3"/>
    <n v="442.95"/>
    <n v="318.81"/>
    <n v="1"/>
    <n v="442.95"/>
    <n v="318.81"/>
    <n v="124.13999999999999"/>
    <n v="0.28025736539112767"/>
    <x v="22"/>
  </r>
  <r>
    <d v="2022-04-23T00:00:00"/>
    <x v="2"/>
    <x v="0"/>
    <x v="0"/>
    <n v="1688.03"/>
    <n v="881.99"/>
    <n v="3"/>
    <n v="5064.09"/>
    <n v="2645.9700000000003"/>
    <n v="2418.12"/>
    <n v="0.4775033619070751"/>
    <x v="32"/>
  </r>
  <r>
    <d v="2024-11-27T00:00:00"/>
    <x v="0"/>
    <x v="0"/>
    <x v="2"/>
    <n v="1340.88"/>
    <n v="784.98"/>
    <n v="1"/>
    <n v="1340.88"/>
    <n v="784.98"/>
    <n v="555.90000000000009"/>
    <n v="0.4145784857705388"/>
    <x v="2"/>
  </r>
  <r>
    <d v="2023-12-28T00:00:00"/>
    <x v="4"/>
    <x v="2"/>
    <x v="1"/>
    <n v="1792.42"/>
    <n v="1085.75"/>
    <n v="3"/>
    <n v="5377.26"/>
    <n v="3257.25"/>
    <n v="2120.0100000000002"/>
    <n v="0.39425469477019898"/>
    <x v="30"/>
  </r>
  <r>
    <d v="2023-04-21T00:00:00"/>
    <x v="0"/>
    <x v="0"/>
    <x v="1"/>
    <n v="770.2"/>
    <n v="425.44"/>
    <n v="2"/>
    <n v="1540.4"/>
    <n v="850.88"/>
    <n v="689.5200000000001"/>
    <n v="0.44762399376785256"/>
    <x v="6"/>
  </r>
  <r>
    <d v="2024-09-28T00:00:00"/>
    <x v="8"/>
    <x v="1"/>
    <x v="2"/>
    <n v="259.3"/>
    <n v="202.29"/>
    <n v="9"/>
    <n v="2333.7000000000003"/>
    <n v="1820.61"/>
    <n v="513.09000000000037"/>
    <n v="0.21986116467412278"/>
    <x v="16"/>
  </r>
  <r>
    <d v="2024-04-14T00:00:00"/>
    <x v="6"/>
    <x v="3"/>
    <x v="1"/>
    <n v="119.25"/>
    <n v="66.44"/>
    <n v="7"/>
    <n v="834.75"/>
    <n v="465.08"/>
    <n v="369.67"/>
    <n v="0.4428511530398323"/>
    <x v="22"/>
  </r>
  <r>
    <d v="2024-06-26T00:00:00"/>
    <x v="1"/>
    <x v="1"/>
    <x v="2"/>
    <n v="272.44"/>
    <n v="147.91"/>
    <n v="2"/>
    <n v="544.88"/>
    <n v="295.82"/>
    <n v="249.06"/>
    <n v="0.45709146968139774"/>
    <x v="4"/>
  </r>
  <r>
    <d v="2023-07-08T00:00:00"/>
    <x v="9"/>
    <x v="3"/>
    <x v="1"/>
    <n v="832.38"/>
    <n v="531.5"/>
    <n v="9"/>
    <n v="7491.42"/>
    <n v="4783.5"/>
    <n v="2707.92"/>
    <n v="0.36146952113217523"/>
    <x v="11"/>
  </r>
  <r>
    <d v="2024-07-03T00:00:00"/>
    <x v="5"/>
    <x v="3"/>
    <x v="0"/>
    <n v="1508.92"/>
    <n v="807.26"/>
    <n v="8"/>
    <n v="12071.36"/>
    <n v="6458.08"/>
    <n v="5613.2800000000007"/>
    <n v="0.46500808525302867"/>
    <x v="28"/>
  </r>
  <r>
    <d v="2023-09-13T00:00:00"/>
    <x v="1"/>
    <x v="1"/>
    <x v="1"/>
    <n v="55.43"/>
    <n v="29.03"/>
    <n v="6"/>
    <n v="332.58"/>
    <n v="174.18"/>
    <n v="158.39999999999998"/>
    <n v="0.47627638462926208"/>
    <x v="24"/>
  </r>
  <r>
    <d v="2022-07-05T00:00:00"/>
    <x v="7"/>
    <x v="0"/>
    <x v="0"/>
    <n v="1396.43"/>
    <n v="1085.81"/>
    <n v="9"/>
    <n v="12567.87"/>
    <n v="9772.2899999999991"/>
    <n v="2795.5800000000017"/>
    <n v="0.22243864712158876"/>
    <x v="8"/>
  </r>
  <r>
    <d v="2024-03-06T00:00:00"/>
    <x v="2"/>
    <x v="0"/>
    <x v="3"/>
    <n v="961.71"/>
    <n v="605.24"/>
    <n v="2"/>
    <n v="1923.42"/>
    <n v="1210.48"/>
    <n v="712.94"/>
    <n v="0.37066267377899786"/>
    <x v="29"/>
  </r>
  <r>
    <d v="2023-09-10T00:00:00"/>
    <x v="5"/>
    <x v="3"/>
    <x v="3"/>
    <n v="1887.07"/>
    <n v="1016.06"/>
    <n v="8"/>
    <n v="15096.56"/>
    <n v="8128.48"/>
    <n v="6968.08"/>
    <n v="0.46156740343495473"/>
    <x v="24"/>
  </r>
  <r>
    <d v="2024-05-06T00:00:00"/>
    <x v="10"/>
    <x v="2"/>
    <x v="3"/>
    <n v="1474.54"/>
    <n v="1144.78"/>
    <n v="5"/>
    <n v="7372.7"/>
    <n v="5723.9"/>
    <n v="1648.8000000000002"/>
    <n v="0.22363584575528642"/>
    <x v="3"/>
  </r>
  <r>
    <d v="2023-12-13T00:00:00"/>
    <x v="7"/>
    <x v="0"/>
    <x v="0"/>
    <n v="1888.52"/>
    <n v="1339.7"/>
    <n v="7"/>
    <n v="13219.64"/>
    <n v="9377.9"/>
    <n v="3841.74"/>
    <n v="0.29060851884014993"/>
    <x v="30"/>
  </r>
  <r>
    <d v="2023-08-29T00:00:00"/>
    <x v="5"/>
    <x v="3"/>
    <x v="1"/>
    <n v="972.66"/>
    <n v="512.22"/>
    <n v="10"/>
    <n v="9726.6"/>
    <n v="5122.2000000000007"/>
    <n v="4604.3999999999996"/>
    <n v="0.47338227129726723"/>
    <x v="14"/>
  </r>
  <r>
    <d v="2022-06-10T00:00:00"/>
    <x v="4"/>
    <x v="2"/>
    <x v="3"/>
    <n v="1428.26"/>
    <n v="1154.57"/>
    <n v="10"/>
    <n v="14282.6"/>
    <n v="11545.699999999999"/>
    <n v="2736.9000000000015"/>
    <n v="0.19162477420077587"/>
    <x v="18"/>
  </r>
  <r>
    <d v="2022-10-21T00:00:00"/>
    <x v="5"/>
    <x v="3"/>
    <x v="0"/>
    <n v="396.7"/>
    <n v="309.06"/>
    <n v="8"/>
    <n v="3173.6"/>
    <n v="2472.48"/>
    <n v="701.11999999999989"/>
    <n v="0.22092261154524828"/>
    <x v="25"/>
  </r>
  <r>
    <d v="2023-11-15T00:00:00"/>
    <x v="4"/>
    <x v="2"/>
    <x v="3"/>
    <n v="1200.1400000000001"/>
    <n v="896.95"/>
    <n v="1"/>
    <n v="1200.1400000000001"/>
    <n v="896.95"/>
    <n v="303.19000000000005"/>
    <n v="0.25262885996633727"/>
    <x v="10"/>
  </r>
  <r>
    <d v="2023-07-26T00:00:00"/>
    <x v="7"/>
    <x v="0"/>
    <x v="2"/>
    <n v="1398.77"/>
    <n v="837.02"/>
    <n v="9"/>
    <n v="12588.93"/>
    <n v="7533.18"/>
    <n v="5055.75"/>
    <n v="0.40160283677802638"/>
    <x v="11"/>
  </r>
  <r>
    <d v="2024-09-08T00:00:00"/>
    <x v="6"/>
    <x v="3"/>
    <x v="2"/>
    <n v="977.72"/>
    <n v="583.77"/>
    <n v="2"/>
    <n v="1955.44"/>
    <n v="1167.54"/>
    <n v="787.90000000000009"/>
    <n v="0.40292721842654344"/>
    <x v="16"/>
  </r>
  <r>
    <d v="2024-03-20T00:00:00"/>
    <x v="0"/>
    <x v="0"/>
    <x v="2"/>
    <n v="731.89"/>
    <n v="620.66"/>
    <n v="10"/>
    <n v="7318.9"/>
    <n v="6206.5999999999995"/>
    <n v="1112.3000000000002"/>
    <n v="0.15197638989465634"/>
    <x v="29"/>
  </r>
  <r>
    <d v="2022-01-15T00:00:00"/>
    <x v="8"/>
    <x v="1"/>
    <x v="2"/>
    <n v="514.36"/>
    <n v="258.14"/>
    <n v="6"/>
    <n v="3086.16"/>
    <n v="1548.84"/>
    <n v="1537.32"/>
    <n v="0.49813360292402209"/>
    <x v="9"/>
  </r>
  <r>
    <d v="2023-03-22T00:00:00"/>
    <x v="1"/>
    <x v="1"/>
    <x v="2"/>
    <n v="728.8"/>
    <n v="578.70000000000005"/>
    <n v="4"/>
    <n v="2915.2"/>
    <n v="2314.8000000000002"/>
    <n v="600.39999999999964"/>
    <n v="0.20595499451152569"/>
    <x v="19"/>
  </r>
  <r>
    <d v="2022-06-18T00:00:00"/>
    <x v="2"/>
    <x v="0"/>
    <x v="3"/>
    <n v="635.74"/>
    <n v="333.96"/>
    <n v="3"/>
    <n v="1907.22"/>
    <n v="1001.8799999999999"/>
    <n v="905.34000000000015"/>
    <n v="0.47469091137886565"/>
    <x v="18"/>
  </r>
  <r>
    <d v="2024-01-30T00:00:00"/>
    <x v="1"/>
    <x v="1"/>
    <x v="3"/>
    <n v="51.32"/>
    <n v="35.08"/>
    <n v="9"/>
    <n v="461.88"/>
    <n v="315.71999999999997"/>
    <n v="146.16000000000003"/>
    <n v="0.31644583008573662"/>
    <x v="26"/>
  </r>
  <r>
    <d v="2023-02-25T00:00:00"/>
    <x v="9"/>
    <x v="3"/>
    <x v="1"/>
    <n v="345.85"/>
    <n v="277.18"/>
    <n v="6"/>
    <n v="2075.1000000000004"/>
    <n v="1663.08"/>
    <n v="412.02000000000044"/>
    <n v="0.19855428654040785"/>
    <x v="27"/>
  </r>
  <r>
    <d v="2022-06-06T00:00:00"/>
    <x v="8"/>
    <x v="1"/>
    <x v="3"/>
    <n v="1978.7"/>
    <n v="1584.44"/>
    <n v="7"/>
    <n v="13850.9"/>
    <n v="11091.08"/>
    <n v="2759.8199999999997"/>
    <n v="0.19925203416384493"/>
    <x v="18"/>
  </r>
  <r>
    <d v="2024-04-21T00:00:00"/>
    <x v="0"/>
    <x v="0"/>
    <x v="3"/>
    <n v="310.52999999999997"/>
    <n v="252.84"/>
    <n v="4"/>
    <n v="1242.1199999999999"/>
    <n v="1011.36"/>
    <n v="230.75999999999988"/>
    <n v="0.18577915177277549"/>
    <x v="22"/>
  </r>
  <r>
    <d v="2023-11-14T00:00:00"/>
    <x v="3"/>
    <x v="2"/>
    <x v="1"/>
    <n v="1270.4000000000001"/>
    <n v="951.87"/>
    <n v="4"/>
    <n v="5081.6000000000004"/>
    <n v="3807.48"/>
    <n v="1274.1200000000003"/>
    <n v="0.25073205289672551"/>
    <x v="10"/>
  </r>
  <r>
    <d v="2022-09-03T00:00:00"/>
    <x v="4"/>
    <x v="2"/>
    <x v="0"/>
    <n v="1440.37"/>
    <n v="965.15"/>
    <n v="4"/>
    <n v="5761.48"/>
    <n v="3860.6"/>
    <n v="1900.8799999999997"/>
    <n v="0.3299291154356172"/>
    <x v="12"/>
  </r>
  <r>
    <d v="2022-09-27T00:00:00"/>
    <x v="6"/>
    <x v="3"/>
    <x v="2"/>
    <n v="1643.19"/>
    <n v="1099.18"/>
    <n v="10"/>
    <n v="16431.900000000001"/>
    <n v="10991.800000000001"/>
    <n v="5440.1"/>
    <n v="0.33106944419087264"/>
    <x v="12"/>
  </r>
  <r>
    <d v="2023-01-26T00:00:00"/>
    <x v="0"/>
    <x v="0"/>
    <x v="3"/>
    <n v="1253.99"/>
    <n v="713.32"/>
    <n v="4"/>
    <n v="5015.96"/>
    <n v="2853.28"/>
    <n v="2162.6799999999998"/>
    <n v="0.43115973811593389"/>
    <x v="13"/>
  </r>
  <r>
    <d v="2022-03-15T00:00:00"/>
    <x v="10"/>
    <x v="2"/>
    <x v="2"/>
    <n v="1080.98"/>
    <n v="544.49"/>
    <n v="1"/>
    <n v="1080.98"/>
    <n v="544.49"/>
    <n v="536.49"/>
    <n v="0.49629965401765064"/>
    <x v="7"/>
  </r>
  <r>
    <d v="2022-09-29T00:00:00"/>
    <x v="0"/>
    <x v="0"/>
    <x v="0"/>
    <n v="1697.2"/>
    <n v="1035.8699999999999"/>
    <n v="2"/>
    <n v="3394.4"/>
    <n v="2071.7399999999998"/>
    <n v="1322.6600000000003"/>
    <n v="0.38965943907612549"/>
    <x v="12"/>
  </r>
  <r>
    <d v="2024-06-29T00:00:00"/>
    <x v="1"/>
    <x v="1"/>
    <x v="0"/>
    <n v="259.38"/>
    <n v="224.25"/>
    <n v="3"/>
    <n v="778.14"/>
    <n v="672.75"/>
    <n v="105.38999999999999"/>
    <n v="0.13543835299560489"/>
    <x v="4"/>
  </r>
  <r>
    <d v="2024-07-19T00:00:00"/>
    <x v="2"/>
    <x v="0"/>
    <x v="1"/>
    <n v="857.1"/>
    <n v="578.89"/>
    <n v="8"/>
    <n v="6856.8"/>
    <n v="4631.12"/>
    <n v="2225.6800000000003"/>
    <n v="0.32459456306148643"/>
    <x v="28"/>
  </r>
  <r>
    <d v="2024-09-23T00:00:00"/>
    <x v="2"/>
    <x v="0"/>
    <x v="2"/>
    <n v="383.57"/>
    <n v="217.65"/>
    <n v="8"/>
    <n v="3068.56"/>
    <n v="1741.2"/>
    <n v="1327.36"/>
    <n v="0.43256771906040614"/>
    <x v="16"/>
  </r>
  <r>
    <d v="2024-06-14T00:00:00"/>
    <x v="1"/>
    <x v="1"/>
    <x v="1"/>
    <n v="1548.33"/>
    <n v="1355.86"/>
    <n v="8"/>
    <n v="12386.64"/>
    <n v="10846.88"/>
    <n v="1539.7600000000002"/>
    <n v="0.12430812552879557"/>
    <x v="4"/>
  </r>
  <r>
    <d v="2022-05-24T00:00:00"/>
    <x v="4"/>
    <x v="2"/>
    <x v="2"/>
    <n v="812.87"/>
    <n v="503.85"/>
    <n v="10"/>
    <n v="8128.7"/>
    <n v="5038.5"/>
    <n v="3090.2"/>
    <n v="0.38015918904621893"/>
    <x v="35"/>
  </r>
  <r>
    <d v="2022-04-29T00:00:00"/>
    <x v="7"/>
    <x v="0"/>
    <x v="1"/>
    <n v="1236.8499999999999"/>
    <n v="834.5"/>
    <n v="1"/>
    <n v="1236.8499999999999"/>
    <n v="834.5"/>
    <n v="402.34999999999991"/>
    <n v="0.32530217892226215"/>
    <x v="32"/>
  </r>
  <r>
    <d v="2023-01-17T00:00:00"/>
    <x v="2"/>
    <x v="0"/>
    <x v="3"/>
    <n v="132.03"/>
    <n v="69.98"/>
    <n v="4"/>
    <n v="528.12"/>
    <n v="279.92"/>
    <n v="248.2"/>
    <n v="0.46996894645156401"/>
    <x v="13"/>
  </r>
  <r>
    <d v="2022-01-11T00:00:00"/>
    <x v="8"/>
    <x v="1"/>
    <x v="2"/>
    <n v="1659.81"/>
    <n v="1377.79"/>
    <n v="10"/>
    <n v="16598.099999999999"/>
    <n v="13777.9"/>
    <n v="2820.1999999999989"/>
    <n v="0.16991101391123076"/>
    <x v="9"/>
  </r>
  <r>
    <d v="2023-05-24T00:00:00"/>
    <x v="7"/>
    <x v="0"/>
    <x v="3"/>
    <n v="607.11"/>
    <n v="510.45"/>
    <n v="1"/>
    <n v="607.11"/>
    <n v="510.45"/>
    <n v="96.660000000000025"/>
    <n v="0.15921332213272721"/>
    <x v="31"/>
  </r>
  <r>
    <d v="2023-03-06T00:00:00"/>
    <x v="6"/>
    <x v="3"/>
    <x v="1"/>
    <n v="743.19"/>
    <n v="483.14"/>
    <n v="10"/>
    <n v="7431.9000000000005"/>
    <n v="4831.3999999999996"/>
    <n v="2600.5000000000009"/>
    <n v="0.34991052086276736"/>
    <x v="19"/>
  </r>
  <r>
    <d v="2023-07-16T00:00:00"/>
    <x v="9"/>
    <x v="3"/>
    <x v="0"/>
    <n v="144.15"/>
    <n v="78.47"/>
    <n v="8"/>
    <n v="1153.2"/>
    <n v="627.76"/>
    <n v="525.44000000000005"/>
    <n v="0.45563648976760324"/>
    <x v="11"/>
  </r>
  <r>
    <d v="2022-04-13T00:00:00"/>
    <x v="10"/>
    <x v="2"/>
    <x v="2"/>
    <n v="1046.01"/>
    <n v="852.24"/>
    <n v="8"/>
    <n v="8368.08"/>
    <n v="6817.92"/>
    <n v="1550.1599999999999"/>
    <n v="0.18524679496371926"/>
    <x v="32"/>
  </r>
  <r>
    <d v="2024-05-06T00:00:00"/>
    <x v="2"/>
    <x v="0"/>
    <x v="3"/>
    <n v="1655.37"/>
    <n v="1469.43"/>
    <n v="8"/>
    <n v="13242.96"/>
    <n v="11755.44"/>
    <n v="1487.5199999999986"/>
    <n v="0.11232534116239865"/>
    <x v="3"/>
  </r>
  <r>
    <d v="2022-03-19T00:00:00"/>
    <x v="0"/>
    <x v="0"/>
    <x v="3"/>
    <n v="908.43"/>
    <n v="603.88"/>
    <n v="5"/>
    <n v="4542.1499999999996"/>
    <n v="3019.4"/>
    <n v="1522.7499999999995"/>
    <n v="0.33524872582367371"/>
    <x v="7"/>
  </r>
  <r>
    <d v="2024-03-15T00:00:00"/>
    <x v="7"/>
    <x v="0"/>
    <x v="0"/>
    <n v="1969.88"/>
    <n v="1572.94"/>
    <n v="1"/>
    <n v="1969.88"/>
    <n v="1572.94"/>
    <n v="396.94000000000005"/>
    <n v="0.20150466018234614"/>
    <x v="29"/>
  </r>
  <r>
    <d v="2023-12-26T00:00:00"/>
    <x v="6"/>
    <x v="3"/>
    <x v="1"/>
    <n v="1558.93"/>
    <n v="1116.58"/>
    <n v="6"/>
    <n v="9353.58"/>
    <n v="6699.48"/>
    <n v="2654.1000000000004"/>
    <n v="0.28375231729455463"/>
    <x v="30"/>
  </r>
  <r>
    <d v="2023-02-13T00:00:00"/>
    <x v="0"/>
    <x v="0"/>
    <x v="0"/>
    <n v="345.48"/>
    <n v="230.17"/>
    <n v="9"/>
    <n v="3109.32"/>
    <n v="2071.5299999999997"/>
    <n v="1037.7900000000004"/>
    <n v="0.33376751186754672"/>
    <x v="27"/>
  </r>
  <r>
    <d v="2023-05-20T00:00:00"/>
    <x v="2"/>
    <x v="0"/>
    <x v="2"/>
    <n v="583.87"/>
    <n v="349.35"/>
    <n v="1"/>
    <n v="583.87"/>
    <n v="349.35"/>
    <n v="234.51999999999998"/>
    <n v="0.40166475414047642"/>
    <x v="31"/>
  </r>
  <r>
    <d v="2023-02-06T00:00:00"/>
    <x v="7"/>
    <x v="0"/>
    <x v="0"/>
    <n v="1050.5"/>
    <n v="703.28"/>
    <n v="9"/>
    <n v="9454.5"/>
    <n v="6329.5199999999995"/>
    <n v="3124.9800000000005"/>
    <n v="0.3305283198476916"/>
    <x v="27"/>
  </r>
  <r>
    <d v="2022-03-20T00:00:00"/>
    <x v="2"/>
    <x v="0"/>
    <x v="1"/>
    <n v="401.32"/>
    <n v="293.98"/>
    <n v="4"/>
    <n v="1605.28"/>
    <n v="1175.92"/>
    <n v="429.3599999999999"/>
    <n v="0.26746735771952551"/>
    <x v="7"/>
  </r>
  <r>
    <d v="2022-05-03T00:00:00"/>
    <x v="9"/>
    <x v="3"/>
    <x v="1"/>
    <n v="256.88"/>
    <n v="161.41"/>
    <n v="10"/>
    <n v="2568.8000000000002"/>
    <n v="1614.1"/>
    <n v="954.70000000000027"/>
    <n v="0.37165213329180946"/>
    <x v="35"/>
  </r>
  <r>
    <d v="2022-12-06T00:00:00"/>
    <x v="6"/>
    <x v="3"/>
    <x v="1"/>
    <n v="1167.74"/>
    <n v="596.29"/>
    <n v="10"/>
    <n v="11677.4"/>
    <n v="5962.9"/>
    <n v="5714.5"/>
    <n v="0.48936407076917809"/>
    <x v="33"/>
  </r>
  <r>
    <d v="2024-02-03T00:00:00"/>
    <x v="7"/>
    <x v="0"/>
    <x v="0"/>
    <n v="1007.7"/>
    <n v="777.54"/>
    <n v="5"/>
    <n v="5038.5"/>
    <n v="3887.7"/>
    <n v="1150.8000000000002"/>
    <n v="0.22840130991366481"/>
    <x v="34"/>
  </r>
  <r>
    <d v="2023-06-17T00:00:00"/>
    <x v="0"/>
    <x v="0"/>
    <x v="0"/>
    <n v="1706.91"/>
    <n v="1298.08"/>
    <n v="6"/>
    <n v="10241.460000000001"/>
    <n v="7788.48"/>
    <n v="2452.9800000000014"/>
    <n v="0.23951467857121944"/>
    <x v="0"/>
  </r>
  <r>
    <d v="2022-07-25T00:00:00"/>
    <x v="9"/>
    <x v="3"/>
    <x v="1"/>
    <n v="1167.67"/>
    <n v="773.59"/>
    <n v="5"/>
    <n v="5838.35"/>
    <n v="3867.9500000000003"/>
    <n v="1970.4"/>
    <n v="0.33749261349525123"/>
    <x v="8"/>
  </r>
  <r>
    <d v="2022-06-16T00:00:00"/>
    <x v="3"/>
    <x v="2"/>
    <x v="0"/>
    <n v="822.04"/>
    <n v="551.04999999999995"/>
    <n v="10"/>
    <n v="8220.4"/>
    <n v="5510.5"/>
    <n v="2709.8999999999996"/>
    <n v="0.32965549121697241"/>
    <x v="18"/>
  </r>
  <r>
    <d v="2023-06-22T00:00:00"/>
    <x v="5"/>
    <x v="3"/>
    <x v="3"/>
    <n v="1753.69"/>
    <n v="1528.59"/>
    <n v="7"/>
    <n v="12275.83"/>
    <n v="10700.13"/>
    <n v="1575.7000000000007"/>
    <n v="0.12835791958670009"/>
    <x v="0"/>
  </r>
  <r>
    <d v="2024-05-09T00:00:00"/>
    <x v="4"/>
    <x v="2"/>
    <x v="2"/>
    <n v="1048.1500000000001"/>
    <n v="903.16"/>
    <n v="2"/>
    <n v="2096.3000000000002"/>
    <n v="1806.32"/>
    <n v="289.98000000000025"/>
    <n v="0.13832943758049909"/>
    <x v="3"/>
  </r>
  <r>
    <d v="2023-03-29T00:00:00"/>
    <x v="7"/>
    <x v="0"/>
    <x v="2"/>
    <n v="1177.75"/>
    <n v="645.09"/>
    <n v="7"/>
    <n v="8244.25"/>
    <n v="4515.63"/>
    <n v="3728.62"/>
    <n v="0.45226915729144557"/>
    <x v="19"/>
  </r>
  <r>
    <d v="2022-06-24T00:00:00"/>
    <x v="6"/>
    <x v="3"/>
    <x v="3"/>
    <n v="1249.48"/>
    <n v="991.53"/>
    <n v="9"/>
    <n v="11245.32"/>
    <n v="8923.77"/>
    <n v="2321.5499999999993"/>
    <n v="0.2064458814866984"/>
    <x v="18"/>
  </r>
  <r>
    <d v="2024-05-29T00:00:00"/>
    <x v="5"/>
    <x v="3"/>
    <x v="1"/>
    <n v="95.41"/>
    <n v="69.02"/>
    <n v="7"/>
    <n v="667.87"/>
    <n v="483.14"/>
    <n v="184.73000000000002"/>
    <n v="0.27659574468085107"/>
    <x v="3"/>
  </r>
  <r>
    <d v="2024-06-18T00:00:00"/>
    <x v="8"/>
    <x v="1"/>
    <x v="2"/>
    <n v="1344.58"/>
    <n v="1068.26"/>
    <n v="7"/>
    <n v="9412.06"/>
    <n v="7477.82"/>
    <n v="1934.2399999999998"/>
    <n v="0.20550655223192371"/>
    <x v="4"/>
  </r>
  <r>
    <d v="2022-09-18T00:00:00"/>
    <x v="0"/>
    <x v="0"/>
    <x v="1"/>
    <n v="1552.55"/>
    <n v="1214.02"/>
    <n v="5"/>
    <n v="7762.75"/>
    <n v="6070.1"/>
    <n v="1692.6499999999996"/>
    <n v="0.21804772793146754"/>
    <x v="12"/>
  </r>
  <r>
    <d v="2024-01-31T00:00:00"/>
    <x v="7"/>
    <x v="0"/>
    <x v="0"/>
    <n v="1709.38"/>
    <n v="902.13"/>
    <n v="1"/>
    <n v="1709.38"/>
    <n v="902.13"/>
    <n v="807.25000000000011"/>
    <n v="0.47224724754004377"/>
    <x v="26"/>
  </r>
  <r>
    <d v="2022-02-02T00:00:00"/>
    <x v="3"/>
    <x v="2"/>
    <x v="2"/>
    <n v="1462.64"/>
    <n v="1240.02"/>
    <n v="8"/>
    <n v="11701.12"/>
    <n v="9920.16"/>
    <n v="1780.9600000000009"/>
    <n v="0.15220423344090145"/>
    <x v="20"/>
  </r>
  <r>
    <d v="2023-02-24T00:00:00"/>
    <x v="3"/>
    <x v="2"/>
    <x v="3"/>
    <n v="40.81"/>
    <n v="31.2"/>
    <n v="3"/>
    <n v="122.43"/>
    <n v="93.6"/>
    <n v="28.830000000000013"/>
    <n v="0.23548149963244311"/>
    <x v="27"/>
  </r>
  <r>
    <d v="2024-06-22T00:00:00"/>
    <x v="5"/>
    <x v="3"/>
    <x v="1"/>
    <n v="115.98"/>
    <n v="79.650000000000006"/>
    <n v="5"/>
    <n v="579.9"/>
    <n v="398.25"/>
    <n v="181.64999999999998"/>
    <n v="0.31324366270046555"/>
    <x v="4"/>
  </r>
  <r>
    <d v="2024-12-11T00:00:00"/>
    <x v="7"/>
    <x v="0"/>
    <x v="0"/>
    <n v="1013.84"/>
    <n v="620.41999999999996"/>
    <n v="3"/>
    <n v="3041.52"/>
    <n v="1861.2599999999998"/>
    <n v="1180.2600000000002"/>
    <n v="0.3880493963544544"/>
    <x v="23"/>
  </r>
  <r>
    <d v="2023-08-13T00:00:00"/>
    <x v="0"/>
    <x v="0"/>
    <x v="3"/>
    <n v="1837.42"/>
    <n v="1495.72"/>
    <n v="8"/>
    <n v="14699.36"/>
    <n v="11965.76"/>
    <n v="2733.6000000000004"/>
    <n v="0.18596728020811792"/>
    <x v="14"/>
  </r>
  <r>
    <d v="2024-07-09T00:00:00"/>
    <x v="4"/>
    <x v="2"/>
    <x v="1"/>
    <n v="869.8"/>
    <n v="652.88"/>
    <n v="5"/>
    <n v="4349"/>
    <n v="3264.4"/>
    <n v="1084.5999999999999"/>
    <n v="0.24939066452057942"/>
    <x v="28"/>
  </r>
  <r>
    <d v="2024-08-24T00:00:00"/>
    <x v="3"/>
    <x v="2"/>
    <x v="1"/>
    <n v="870.2"/>
    <n v="511.07"/>
    <n v="6"/>
    <n v="5221.2000000000007"/>
    <n v="3066.42"/>
    <n v="2154.7800000000007"/>
    <n v="0.41269823029188701"/>
    <x v="21"/>
  </r>
  <r>
    <d v="2024-05-22T00:00:00"/>
    <x v="1"/>
    <x v="1"/>
    <x v="2"/>
    <n v="965.07"/>
    <n v="749.17"/>
    <n v="2"/>
    <n v="1930.14"/>
    <n v="1498.34"/>
    <n v="431.80000000000018"/>
    <n v="0.22371434196483164"/>
    <x v="3"/>
  </r>
  <r>
    <d v="2024-11-12T00:00:00"/>
    <x v="10"/>
    <x v="2"/>
    <x v="1"/>
    <n v="1552.46"/>
    <n v="1076.48"/>
    <n v="9"/>
    <n v="13972.14"/>
    <n v="9688.32"/>
    <n v="4283.82"/>
    <n v="0.30659727142728316"/>
    <x v="2"/>
  </r>
  <r>
    <d v="2022-07-23T00:00:00"/>
    <x v="6"/>
    <x v="3"/>
    <x v="1"/>
    <n v="1393.33"/>
    <n v="853.65"/>
    <n v="6"/>
    <n v="8359.98"/>
    <n v="5121.8999999999996"/>
    <n v="3238.08"/>
    <n v="0.38733107017002433"/>
    <x v="8"/>
  </r>
  <r>
    <d v="2022-11-16T00:00:00"/>
    <x v="4"/>
    <x v="2"/>
    <x v="3"/>
    <n v="940.42"/>
    <n v="576.51"/>
    <n v="3"/>
    <n v="2821.2599999999998"/>
    <n v="1729.53"/>
    <n v="1091.7299999999998"/>
    <n v="0.3869653984389953"/>
    <x v="1"/>
  </r>
  <r>
    <d v="2023-04-27T00:00:00"/>
    <x v="6"/>
    <x v="3"/>
    <x v="1"/>
    <n v="565.27"/>
    <n v="284.8"/>
    <n v="2"/>
    <n v="1130.54"/>
    <n v="569.6"/>
    <n v="560.93999999999994"/>
    <n v="0.4961699718718488"/>
    <x v="6"/>
  </r>
  <r>
    <d v="2022-07-10T00:00:00"/>
    <x v="3"/>
    <x v="2"/>
    <x v="2"/>
    <n v="1092.5899999999999"/>
    <n v="816.65"/>
    <n v="6"/>
    <n v="6555.5399999999991"/>
    <n v="4899.8999999999996"/>
    <n v="1655.6399999999994"/>
    <n v="0.25255585352236426"/>
    <x v="8"/>
  </r>
  <r>
    <d v="2024-06-15T00:00:00"/>
    <x v="5"/>
    <x v="3"/>
    <x v="2"/>
    <n v="886.88"/>
    <n v="763.51"/>
    <n v="6"/>
    <n v="5321.28"/>
    <n v="4581.0599999999995"/>
    <n v="740.22000000000025"/>
    <n v="0.13910562872090931"/>
    <x v="4"/>
  </r>
  <r>
    <d v="2024-08-14T00:00:00"/>
    <x v="1"/>
    <x v="1"/>
    <x v="3"/>
    <n v="563.82000000000005"/>
    <n v="447.57"/>
    <n v="7"/>
    <n v="3946.7400000000002"/>
    <n v="3132.99"/>
    <n v="813.75000000000045"/>
    <n v="0.20618282430562956"/>
    <x v="21"/>
  </r>
  <r>
    <d v="2022-10-05T00:00:00"/>
    <x v="0"/>
    <x v="0"/>
    <x v="1"/>
    <n v="1852.48"/>
    <n v="1214.31"/>
    <n v="10"/>
    <n v="18524.8"/>
    <n v="12143.099999999999"/>
    <n v="6381.7000000000007"/>
    <n v="0.3444949473138712"/>
    <x v="25"/>
  </r>
  <r>
    <d v="2022-10-28T00:00:00"/>
    <x v="6"/>
    <x v="3"/>
    <x v="2"/>
    <n v="636.84"/>
    <n v="488.95"/>
    <n v="7"/>
    <n v="4457.88"/>
    <n v="3422.65"/>
    <n v="1035.23"/>
    <n v="0.2322247346272219"/>
    <x v="25"/>
  </r>
  <r>
    <d v="2024-03-26T00:00:00"/>
    <x v="6"/>
    <x v="3"/>
    <x v="0"/>
    <n v="34.46"/>
    <n v="24.58"/>
    <n v="7"/>
    <n v="241.22"/>
    <n v="172.06"/>
    <n v="69.16"/>
    <n v="0.28670922809053973"/>
    <x v="29"/>
  </r>
  <r>
    <d v="2022-11-18T00:00:00"/>
    <x v="0"/>
    <x v="0"/>
    <x v="0"/>
    <n v="1488.8"/>
    <n v="1093.22"/>
    <n v="8"/>
    <n v="11910.4"/>
    <n v="8745.76"/>
    <n v="3164.6399999999994"/>
    <n v="0.26570392262224607"/>
    <x v="1"/>
  </r>
  <r>
    <d v="2023-10-19T00:00:00"/>
    <x v="6"/>
    <x v="3"/>
    <x v="1"/>
    <n v="247.17"/>
    <n v="149.16999999999999"/>
    <n v="6"/>
    <n v="1483.02"/>
    <n v="895.02"/>
    <n v="588"/>
    <n v="0.39648824695553669"/>
    <x v="5"/>
  </r>
  <r>
    <d v="2022-04-04T00:00:00"/>
    <x v="5"/>
    <x v="3"/>
    <x v="3"/>
    <n v="1624.58"/>
    <n v="859.79"/>
    <n v="4"/>
    <n v="6498.32"/>
    <n v="3439.16"/>
    <n v="3059.16"/>
    <n v="0.47076167378645556"/>
    <x v="32"/>
  </r>
  <r>
    <d v="2022-09-12T00:00:00"/>
    <x v="1"/>
    <x v="1"/>
    <x v="1"/>
    <n v="187.14"/>
    <n v="147.25"/>
    <n v="6"/>
    <n v="1122.8399999999999"/>
    <n v="883.5"/>
    <n v="239.33999999999992"/>
    <n v="0.21315592604467237"/>
    <x v="12"/>
  </r>
  <r>
    <d v="2024-06-25T00:00:00"/>
    <x v="1"/>
    <x v="1"/>
    <x v="1"/>
    <n v="570.54999999999995"/>
    <n v="428.31"/>
    <n v="5"/>
    <n v="2852.75"/>
    <n v="2141.5500000000002"/>
    <n v="711.19999999999982"/>
    <n v="0.249303303829638"/>
    <x v="4"/>
  </r>
  <r>
    <d v="2022-03-28T00:00:00"/>
    <x v="3"/>
    <x v="2"/>
    <x v="1"/>
    <n v="118.04"/>
    <n v="59.24"/>
    <n v="6"/>
    <n v="708.24"/>
    <n v="355.44"/>
    <n v="352.8"/>
    <n v="0.49813622500847171"/>
    <x v="7"/>
  </r>
  <r>
    <d v="2022-03-13T00:00:00"/>
    <x v="4"/>
    <x v="2"/>
    <x v="3"/>
    <n v="1799.86"/>
    <n v="1532.25"/>
    <n v="3"/>
    <n v="5399.58"/>
    <n v="4596.75"/>
    <n v="802.82999999999993"/>
    <n v="0.14868378651672906"/>
    <x v="7"/>
  </r>
  <r>
    <d v="2024-09-20T00:00:00"/>
    <x v="0"/>
    <x v="0"/>
    <x v="2"/>
    <n v="1059.07"/>
    <n v="839.85"/>
    <n v="6"/>
    <n v="6354.42"/>
    <n v="5039.1000000000004"/>
    <n v="1315.3199999999997"/>
    <n v="0.20699292775737199"/>
    <x v="16"/>
  </r>
  <r>
    <d v="2023-07-31T00:00:00"/>
    <x v="2"/>
    <x v="0"/>
    <x v="3"/>
    <n v="104.85"/>
    <n v="56.17"/>
    <n v="8"/>
    <n v="838.8"/>
    <n v="449.36"/>
    <n v="389.43999999999994"/>
    <n v="0.46428230805913207"/>
    <x v="11"/>
  </r>
  <r>
    <d v="2022-01-30T00:00:00"/>
    <x v="7"/>
    <x v="0"/>
    <x v="0"/>
    <n v="299.82"/>
    <n v="180.43"/>
    <n v="6"/>
    <n v="1798.92"/>
    <n v="1082.58"/>
    <n v="716.34000000000015"/>
    <n v="0.39820559002067912"/>
    <x v="9"/>
  </r>
  <r>
    <d v="2022-08-04T00:00:00"/>
    <x v="5"/>
    <x v="3"/>
    <x v="3"/>
    <n v="1795.63"/>
    <n v="1385.1"/>
    <n v="6"/>
    <n v="10773.78"/>
    <n v="8310.5999999999985"/>
    <n v="2463.1800000000021"/>
    <n v="0.22862727844823283"/>
    <x v="15"/>
  </r>
  <r>
    <d v="2024-04-26T00:00:00"/>
    <x v="4"/>
    <x v="2"/>
    <x v="3"/>
    <n v="1230.48"/>
    <n v="1063.77"/>
    <n v="3"/>
    <n v="3691.44"/>
    <n v="3191.31"/>
    <n v="500.13000000000011"/>
    <n v="0.13548371367271311"/>
    <x v="22"/>
  </r>
  <r>
    <d v="2022-10-14T00:00:00"/>
    <x v="4"/>
    <x v="2"/>
    <x v="2"/>
    <n v="1086.1600000000001"/>
    <n v="722.9"/>
    <n v="10"/>
    <n v="10861.6"/>
    <n v="7229"/>
    <n v="3632.6000000000004"/>
    <n v="0.3344442807689475"/>
    <x v="25"/>
  </r>
  <r>
    <d v="2024-04-20T00:00:00"/>
    <x v="2"/>
    <x v="0"/>
    <x v="1"/>
    <n v="1434.56"/>
    <n v="855.14"/>
    <n v="1"/>
    <n v="1434.56"/>
    <n v="855.14"/>
    <n v="579.41999999999996"/>
    <n v="0.40390084764666517"/>
    <x v="22"/>
  </r>
  <r>
    <d v="2023-10-23T00:00:00"/>
    <x v="5"/>
    <x v="3"/>
    <x v="0"/>
    <n v="722.1"/>
    <n v="557.02"/>
    <n v="2"/>
    <n v="1444.2"/>
    <n v="1114.04"/>
    <n v="330.16000000000008"/>
    <n v="0.22861099570696583"/>
    <x v="5"/>
  </r>
  <r>
    <d v="2022-08-22T00:00:00"/>
    <x v="5"/>
    <x v="3"/>
    <x v="2"/>
    <n v="550.96"/>
    <n v="303.19"/>
    <n v="8"/>
    <n v="4407.68"/>
    <n v="2425.52"/>
    <n v="1982.1600000000003"/>
    <n v="0.44970596776535504"/>
    <x v="15"/>
  </r>
  <r>
    <d v="2022-05-08T00:00:00"/>
    <x v="7"/>
    <x v="0"/>
    <x v="2"/>
    <n v="570.80999999999995"/>
    <n v="437.82"/>
    <n v="10"/>
    <n v="5708.0999999999995"/>
    <n v="4378.2"/>
    <n v="1329.8999999999996"/>
    <n v="0.23298470594418455"/>
    <x v="35"/>
  </r>
  <r>
    <d v="2022-05-08T00:00:00"/>
    <x v="10"/>
    <x v="2"/>
    <x v="3"/>
    <n v="1458.37"/>
    <n v="1048.27"/>
    <n v="5"/>
    <n v="7291.8499999999995"/>
    <n v="5241.3500000000004"/>
    <n v="2050.4999999999991"/>
    <n v="0.28120435829042001"/>
    <x v="35"/>
  </r>
  <r>
    <d v="2024-10-23T00:00:00"/>
    <x v="4"/>
    <x v="2"/>
    <x v="0"/>
    <n v="1747.08"/>
    <n v="1112.3399999999999"/>
    <n v="9"/>
    <n v="15723.72"/>
    <n v="10011.06"/>
    <n v="5712.66"/>
    <n v="0.36331478810357853"/>
    <x v="17"/>
  </r>
  <r>
    <d v="2022-10-27T00:00:00"/>
    <x v="8"/>
    <x v="1"/>
    <x v="1"/>
    <n v="641.33000000000004"/>
    <n v="529.37"/>
    <n v="9"/>
    <n v="5771.97"/>
    <n v="4764.33"/>
    <n v="1007.6400000000003"/>
    <n v="0.1745747119267772"/>
    <x v="25"/>
  </r>
  <r>
    <d v="2024-01-28T00:00:00"/>
    <x v="4"/>
    <x v="2"/>
    <x v="1"/>
    <n v="169.73"/>
    <n v="93.74"/>
    <n v="2"/>
    <n v="339.46"/>
    <n v="187.48"/>
    <n v="151.97999999999999"/>
    <n v="0.44771107052377307"/>
    <x v="26"/>
  </r>
  <r>
    <d v="2024-06-06T00:00:00"/>
    <x v="4"/>
    <x v="2"/>
    <x v="0"/>
    <n v="1510.62"/>
    <n v="762.81"/>
    <n v="7"/>
    <n v="10574.34"/>
    <n v="5339.67"/>
    <n v="5234.67"/>
    <n v="0.49503515112999963"/>
    <x v="4"/>
  </r>
  <r>
    <d v="2023-01-25T00:00:00"/>
    <x v="10"/>
    <x v="2"/>
    <x v="1"/>
    <n v="1788.19"/>
    <n v="1548.42"/>
    <n v="7"/>
    <n v="12517.33"/>
    <n v="10838.94"/>
    <n v="1678.3899999999994"/>
    <n v="0.1340853041343481"/>
    <x v="13"/>
  </r>
  <r>
    <d v="2022-12-22T00:00:00"/>
    <x v="5"/>
    <x v="3"/>
    <x v="2"/>
    <n v="1698.31"/>
    <n v="886.44"/>
    <n v="3"/>
    <n v="5094.93"/>
    <n v="2659.32"/>
    <n v="2435.61"/>
    <n v="0.47804582202307"/>
    <x v="33"/>
  </r>
  <r>
    <d v="2023-09-18T00:00:00"/>
    <x v="2"/>
    <x v="0"/>
    <x v="0"/>
    <n v="147.34"/>
    <n v="122.6"/>
    <n v="3"/>
    <n v="442.02"/>
    <n v="367.79999999999995"/>
    <n v="74.220000000000027"/>
    <n v="0.16791095425546362"/>
    <x v="24"/>
  </r>
  <r>
    <d v="2022-07-02T00:00:00"/>
    <x v="3"/>
    <x v="2"/>
    <x v="0"/>
    <n v="560.34"/>
    <n v="420.85"/>
    <n v="2"/>
    <n v="1120.68"/>
    <n v="841.7"/>
    <n v="278.98"/>
    <n v="0.24893814469786202"/>
    <x v="8"/>
  </r>
  <r>
    <d v="2024-11-11T00:00:00"/>
    <x v="2"/>
    <x v="0"/>
    <x v="1"/>
    <n v="1494.83"/>
    <n v="996.02"/>
    <n v="1"/>
    <n v="1494.83"/>
    <n v="996.02"/>
    <n v="498.80999999999995"/>
    <n v="0.33369011860880499"/>
    <x v="2"/>
  </r>
  <r>
    <d v="2022-05-05T00:00:00"/>
    <x v="2"/>
    <x v="0"/>
    <x v="2"/>
    <n v="548.86"/>
    <n v="294.20999999999998"/>
    <n v="5"/>
    <n v="2744.3"/>
    <n v="1471.05"/>
    <n v="1273.2500000000002"/>
    <n v="0.46396166599861538"/>
    <x v="35"/>
  </r>
  <r>
    <d v="2022-03-23T00:00:00"/>
    <x v="10"/>
    <x v="2"/>
    <x v="3"/>
    <n v="468.19"/>
    <n v="247.74"/>
    <n v="4"/>
    <n v="1872.76"/>
    <n v="990.96"/>
    <n v="881.8"/>
    <n v="0.4708558491210833"/>
    <x v="7"/>
  </r>
  <r>
    <d v="2024-01-03T00:00:00"/>
    <x v="9"/>
    <x v="3"/>
    <x v="3"/>
    <n v="1172.93"/>
    <n v="698.61"/>
    <n v="1"/>
    <n v="1172.93"/>
    <n v="698.61"/>
    <n v="474.32000000000005"/>
    <n v="0.4043890087217481"/>
    <x v="26"/>
  </r>
  <r>
    <d v="2023-09-03T00:00:00"/>
    <x v="2"/>
    <x v="0"/>
    <x v="0"/>
    <n v="1044.02"/>
    <n v="917.71"/>
    <n v="4"/>
    <n v="4176.08"/>
    <n v="3670.84"/>
    <n v="505.23999999999978"/>
    <n v="0.12098427233194761"/>
    <x v="24"/>
  </r>
  <r>
    <d v="2024-05-24T00:00:00"/>
    <x v="1"/>
    <x v="1"/>
    <x v="1"/>
    <n v="342.52"/>
    <n v="281.45"/>
    <n v="5"/>
    <n v="1712.6"/>
    <n v="1407.25"/>
    <n v="305.34999999999991"/>
    <n v="0.17829615788859041"/>
    <x v="3"/>
  </r>
  <r>
    <d v="2022-06-27T00:00:00"/>
    <x v="7"/>
    <x v="0"/>
    <x v="3"/>
    <n v="1745.28"/>
    <n v="1510.66"/>
    <n v="9"/>
    <n v="15707.52"/>
    <n v="13595.94"/>
    <n v="2111.58"/>
    <n v="0.13443115144847817"/>
    <x v="18"/>
  </r>
  <r>
    <d v="2023-08-02T00:00:00"/>
    <x v="4"/>
    <x v="2"/>
    <x v="2"/>
    <n v="1364.37"/>
    <n v="873.64"/>
    <n v="7"/>
    <n v="9550.59"/>
    <n v="6115.48"/>
    <n v="3435.1100000000006"/>
    <n v="0.35967516142981748"/>
    <x v="14"/>
  </r>
  <r>
    <d v="2022-02-12T00:00:00"/>
    <x v="6"/>
    <x v="3"/>
    <x v="3"/>
    <n v="672.46"/>
    <n v="583.25"/>
    <n v="3"/>
    <n v="2017.38"/>
    <n v="1749.75"/>
    <n v="267.63000000000011"/>
    <n v="0.13266216577937726"/>
    <x v="20"/>
  </r>
  <r>
    <d v="2022-05-20T00:00:00"/>
    <x v="1"/>
    <x v="1"/>
    <x v="1"/>
    <n v="1218.8499999999999"/>
    <n v="1038"/>
    <n v="9"/>
    <n v="10969.65"/>
    <n v="9342"/>
    <n v="1627.6499999999996"/>
    <n v="0.14837756901997781"/>
    <x v="35"/>
  </r>
  <r>
    <d v="2024-12-13T00:00:00"/>
    <x v="0"/>
    <x v="0"/>
    <x v="1"/>
    <n v="1194.75"/>
    <n v="1048.8699999999999"/>
    <n v="3"/>
    <n v="3584.25"/>
    <n v="3146.6099999999997"/>
    <n v="437.64000000000033"/>
    <n v="0.12210085792006706"/>
    <x v="23"/>
  </r>
  <r>
    <d v="2023-12-10T00:00:00"/>
    <x v="4"/>
    <x v="2"/>
    <x v="1"/>
    <n v="1027.8499999999999"/>
    <n v="596.38"/>
    <n v="7"/>
    <n v="7194.9499999999989"/>
    <n v="4174.66"/>
    <n v="3020.2899999999991"/>
    <n v="0.41977915065427829"/>
    <x v="30"/>
  </r>
  <r>
    <d v="2023-03-23T00:00:00"/>
    <x v="8"/>
    <x v="1"/>
    <x v="2"/>
    <n v="1260.6099999999999"/>
    <n v="802.33"/>
    <n v="9"/>
    <n v="11345.49"/>
    <n v="7220.97"/>
    <n v="4124.5199999999995"/>
    <n v="0.36353828701977609"/>
    <x v="19"/>
  </r>
  <r>
    <d v="2024-10-25T00:00:00"/>
    <x v="3"/>
    <x v="2"/>
    <x v="3"/>
    <n v="1609.36"/>
    <n v="1405.59"/>
    <n v="4"/>
    <n v="6437.44"/>
    <n v="5622.36"/>
    <n v="815.07999999999993"/>
    <n v="0.12661554903812697"/>
    <x v="17"/>
  </r>
  <r>
    <d v="2022-11-18T00:00:00"/>
    <x v="6"/>
    <x v="3"/>
    <x v="0"/>
    <n v="1111.29"/>
    <n v="897.77"/>
    <n v="9"/>
    <n v="10001.61"/>
    <n v="8079.93"/>
    <n v="1921.6800000000003"/>
    <n v="0.19213706593238492"/>
    <x v="1"/>
  </r>
  <r>
    <d v="2022-09-02T00:00:00"/>
    <x v="3"/>
    <x v="2"/>
    <x v="3"/>
    <n v="1904.44"/>
    <n v="1406.6"/>
    <n v="4"/>
    <n v="7617.76"/>
    <n v="5626.4"/>
    <n v="1991.3600000000006"/>
    <n v="0.26141017832013619"/>
    <x v="12"/>
  </r>
  <r>
    <d v="2022-11-12T00:00:00"/>
    <x v="7"/>
    <x v="0"/>
    <x v="0"/>
    <n v="1002.29"/>
    <n v="855.06"/>
    <n v="8"/>
    <n v="8018.32"/>
    <n v="6840.48"/>
    <n v="1177.8400000000001"/>
    <n v="0.14689361362479925"/>
    <x v="1"/>
  </r>
  <r>
    <d v="2023-10-26T00:00:00"/>
    <x v="8"/>
    <x v="1"/>
    <x v="0"/>
    <n v="1584.15"/>
    <n v="930.33"/>
    <n v="8"/>
    <n v="12673.2"/>
    <n v="7442.64"/>
    <n v="5230.5600000000004"/>
    <n v="0.41272606760723418"/>
    <x v="5"/>
  </r>
  <r>
    <d v="2023-04-19T00:00:00"/>
    <x v="2"/>
    <x v="0"/>
    <x v="0"/>
    <n v="1984.77"/>
    <n v="1036.8599999999999"/>
    <n v="6"/>
    <n v="11908.619999999999"/>
    <n v="6221.16"/>
    <n v="5687.4599999999991"/>
    <n v="0.4775918620293535"/>
    <x v="6"/>
  </r>
  <r>
    <d v="2022-11-08T00:00:00"/>
    <x v="1"/>
    <x v="1"/>
    <x v="1"/>
    <n v="548.67999999999995"/>
    <n v="295.42"/>
    <n v="2"/>
    <n v="1097.3599999999999"/>
    <n v="590.84"/>
    <n v="506.51999999999987"/>
    <n v="0.46158052052197995"/>
    <x v="1"/>
  </r>
  <r>
    <d v="2024-05-22T00:00:00"/>
    <x v="6"/>
    <x v="3"/>
    <x v="2"/>
    <n v="1967.67"/>
    <n v="1234.5999999999999"/>
    <n v="8"/>
    <n v="15741.36"/>
    <n v="9876.7999999999993"/>
    <n v="5864.5600000000013"/>
    <n v="0.37255739021278983"/>
    <x v="3"/>
  </r>
  <r>
    <d v="2022-03-24T00:00:00"/>
    <x v="1"/>
    <x v="1"/>
    <x v="3"/>
    <n v="1181.22"/>
    <n v="984.63"/>
    <n v="6"/>
    <n v="7087.32"/>
    <n v="5907.78"/>
    <n v="1179.54"/>
    <n v="0.16642962360948849"/>
    <x v="7"/>
  </r>
  <r>
    <d v="2022-09-15T00:00:00"/>
    <x v="10"/>
    <x v="2"/>
    <x v="3"/>
    <n v="937.23"/>
    <n v="667.34"/>
    <n v="7"/>
    <n v="6560.6100000000006"/>
    <n v="4671.38"/>
    <n v="1889.2300000000005"/>
    <n v="0.28796560075968552"/>
    <x v="12"/>
  </r>
  <r>
    <d v="2023-11-28T00:00:00"/>
    <x v="8"/>
    <x v="1"/>
    <x v="2"/>
    <n v="729.89"/>
    <n v="480.65"/>
    <n v="9"/>
    <n v="6569.01"/>
    <n v="4325.8499999999995"/>
    <n v="2243.1600000000008"/>
    <n v="0.34147611283892104"/>
    <x v="10"/>
  </r>
  <r>
    <d v="2022-05-22T00:00:00"/>
    <x v="8"/>
    <x v="1"/>
    <x v="1"/>
    <n v="1650.78"/>
    <n v="1198.43"/>
    <n v="7"/>
    <n v="11555.46"/>
    <n v="8389.01"/>
    <n v="3166.4499999999989"/>
    <n v="0.27402197748942919"/>
    <x v="35"/>
  </r>
  <r>
    <d v="2023-05-23T00:00:00"/>
    <x v="3"/>
    <x v="2"/>
    <x v="3"/>
    <n v="871.06"/>
    <n v="569.6"/>
    <n v="3"/>
    <n v="2613.1799999999998"/>
    <n v="1708.8000000000002"/>
    <n v="904.37999999999965"/>
    <n v="0.34608408146396336"/>
    <x v="31"/>
  </r>
  <r>
    <d v="2024-03-09T00:00:00"/>
    <x v="6"/>
    <x v="3"/>
    <x v="3"/>
    <n v="650.54"/>
    <n v="381.72"/>
    <n v="6"/>
    <n v="3903.24"/>
    <n v="2290.3200000000002"/>
    <n v="1612.9199999999996"/>
    <n v="0.41322593537676383"/>
    <x v="29"/>
  </r>
  <r>
    <d v="2022-06-13T00:00:00"/>
    <x v="6"/>
    <x v="3"/>
    <x v="3"/>
    <n v="64.17"/>
    <n v="36.68"/>
    <n v="3"/>
    <n v="192.51"/>
    <n v="110.03999999999999"/>
    <n v="82.47"/>
    <n v="0.42839333021661213"/>
    <x v="18"/>
  </r>
  <r>
    <d v="2023-06-14T00:00:00"/>
    <x v="8"/>
    <x v="1"/>
    <x v="0"/>
    <n v="1493.83"/>
    <n v="1311.5"/>
    <n v="8"/>
    <n v="11950.64"/>
    <n v="10492"/>
    <n v="1458.6399999999994"/>
    <n v="0.12205538782860161"/>
    <x v="0"/>
  </r>
  <r>
    <d v="2022-10-03T00:00:00"/>
    <x v="4"/>
    <x v="2"/>
    <x v="0"/>
    <n v="1230.76"/>
    <n v="737.25"/>
    <n v="6"/>
    <n v="7384.5599999999995"/>
    <n v="4423.5"/>
    <n v="2961.0599999999995"/>
    <n v="0.40097988234911758"/>
    <x v="25"/>
  </r>
  <r>
    <d v="2022-11-28T00:00:00"/>
    <x v="9"/>
    <x v="3"/>
    <x v="1"/>
    <n v="200.94"/>
    <n v="176"/>
    <n v="1"/>
    <n v="200.94"/>
    <n v="176"/>
    <n v="24.939999999999998"/>
    <n v="0.12411665173683685"/>
    <x v="1"/>
  </r>
  <r>
    <d v="2024-07-19T00:00:00"/>
    <x v="1"/>
    <x v="1"/>
    <x v="3"/>
    <n v="1784.93"/>
    <n v="1097.4100000000001"/>
    <n v="7"/>
    <n v="12494.51"/>
    <n v="7681.8700000000008"/>
    <n v="4812.6399999999994"/>
    <n v="0.38518037121903936"/>
    <x v="28"/>
  </r>
  <r>
    <d v="2024-03-04T00:00:00"/>
    <x v="10"/>
    <x v="2"/>
    <x v="0"/>
    <n v="1373.04"/>
    <n v="689.74"/>
    <n v="10"/>
    <n v="13730.4"/>
    <n v="6897.4"/>
    <n v="6833"/>
    <n v="0.49765483889762863"/>
    <x v="29"/>
  </r>
  <r>
    <d v="2023-01-12T00:00:00"/>
    <x v="4"/>
    <x v="2"/>
    <x v="0"/>
    <n v="62.44"/>
    <n v="49.93"/>
    <n v="7"/>
    <n v="437.08"/>
    <n v="349.51"/>
    <n v="87.57"/>
    <n v="0.20035233824471491"/>
    <x v="13"/>
  </r>
  <r>
    <d v="2022-02-10T00:00:00"/>
    <x v="0"/>
    <x v="0"/>
    <x v="1"/>
    <n v="505.68"/>
    <n v="352.48"/>
    <n v="2"/>
    <n v="1011.36"/>
    <n v="704.96"/>
    <n v="306.39999999999998"/>
    <n v="0.30295839265938929"/>
    <x v="20"/>
  </r>
  <r>
    <d v="2023-06-22T00:00:00"/>
    <x v="5"/>
    <x v="3"/>
    <x v="1"/>
    <n v="156.74"/>
    <n v="97.94"/>
    <n v="9"/>
    <n v="1410.66"/>
    <n v="881.46"/>
    <n v="529.20000000000005"/>
    <n v="0.37514354982774023"/>
    <x v="0"/>
  </r>
  <r>
    <d v="2023-04-06T00:00:00"/>
    <x v="3"/>
    <x v="2"/>
    <x v="3"/>
    <n v="598.61"/>
    <n v="337.05"/>
    <n v="4"/>
    <n v="2394.44"/>
    <n v="1348.2"/>
    <n v="1046.24"/>
    <n v="0.43694559061826566"/>
    <x v="6"/>
  </r>
  <r>
    <d v="2024-05-15T00:00:00"/>
    <x v="6"/>
    <x v="3"/>
    <x v="3"/>
    <n v="132.36000000000001"/>
    <n v="88.86"/>
    <n v="2"/>
    <n v="264.72000000000003"/>
    <n v="177.72"/>
    <n v="87.000000000000028"/>
    <n v="0.3286491387126021"/>
    <x v="3"/>
  </r>
  <r>
    <d v="2023-01-10T00:00:00"/>
    <x v="9"/>
    <x v="3"/>
    <x v="0"/>
    <n v="1003.99"/>
    <n v="521.48"/>
    <n v="10"/>
    <n v="10039.9"/>
    <n v="5214.8"/>
    <n v="4825.0999999999995"/>
    <n v="0.4805924361796432"/>
    <x v="13"/>
  </r>
  <r>
    <d v="2024-08-08T00:00:00"/>
    <x v="4"/>
    <x v="2"/>
    <x v="2"/>
    <n v="1805.83"/>
    <n v="1335.88"/>
    <n v="1"/>
    <n v="1805.83"/>
    <n v="1335.88"/>
    <n v="469.94999999999982"/>
    <n v="0.26024044345259512"/>
    <x v="21"/>
  </r>
  <r>
    <d v="2023-11-17T00:00:00"/>
    <x v="0"/>
    <x v="0"/>
    <x v="0"/>
    <n v="343.92"/>
    <n v="253.06"/>
    <n v="8"/>
    <n v="2751.36"/>
    <n v="2024.48"/>
    <n v="726.88000000000011"/>
    <n v="0.26418934635961855"/>
    <x v="10"/>
  </r>
  <r>
    <d v="2022-12-25T00:00:00"/>
    <x v="8"/>
    <x v="1"/>
    <x v="3"/>
    <n v="806.27"/>
    <n v="583.77"/>
    <n v="5"/>
    <n v="4031.35"/>
    <n v="2918.85"/>
    <n v="1112.5"/>
    <n v="0.27596214667543129"/>
    <x v="33"/>
  </r>
  <r>
    <d v="2024-04-29T00:00:00"/>
    <x v="10"/>
    <x v="2"/>
    <x v="0"/>
    <n v="1892.14"/>
    <n v="953.92"/>
    <n v="7"/>
    <n v="13244.980000000001"/>
    <n v="6677.44"/>
    <n v="6567.5400000000018"/>
    <n v="0.4958512583635461"/>
    <x v="22"/>
  </r>
  <r>
    <d v="2023-07-12T00:00:00"/>
    <x v="6"/>
    <x v="3"/>
    <x v="1"/>
    <n v="1412.36"/>
    <n v="1030.71"/>
    <n v="1"/>
    <n v="1412.36"/>
    <n v="1030.71"/>
    <n v="381.64999999999986"/>
    <n v="0.27022147327876739"/>
    <x v="11"/>
  </r>
  <r>
    <d v="2022-06-21T00:00:00"/>
    <x v="10"/>
    <x v="2"/>
    <x v="2"/>
    <n v="981.84"/>
    <n v="796.18"/>
    <n v="2"/>
    <n v="1963.68"/>
    <n v="1592.36"/>
    <n v="371.32000000000016"/>
    <n v="0.18909394606045798"/>
    <x v="18"/>
  </r>
  <r>
    <d v="2022-08-20T00:00:00"/>
    <x v="7"/>
    <x v="0"/>
    <x v="0"/>
    <n v="725.63"/>
    <n v="641.5"/>
    <n v="5"/>
    <n v="3628.15"/>
    <n v="3207.5"/>
    <n v="420.65000000000009"/>
    <n v="0.1159406309000455"/>
    <x v="15"/>
  </r>
  <r>
    <d v="2022-04-22T00:00:00"/>
    <x v="7"/>
    <x v="0"/>
    <x v="3"/>
    <n v="98.39"/>
    <n v="78.39"/>
    <n v="7"/>
    <n v="688.73"/>
    <n v="548.73"/>
    <n v="140"/>
    <n v="0.20327269031405631"/>
    <x v="32"/>
  </r>
  <r>
    <d v="2023-05-17T00:00:00"/>
    <x v="7"/>
    <x v="0"/>
    <x v="3"/>
    <n v="1622.57"/>
    <n v="996.65"/>
    <n v="10"/>
    <n v="16225.699999999999"/>
    <n v="9966.5"/>
    <n v="6259.1999999999989"/>
    <n v="0.3857583956316214"/>
    <x v="31"/>
  </r>
  <r>
    <d v="2023-02-08T00:00:00"/>
    <x v="6"/>
    <x v="3"/>
    <x v="2"/>
    <n v="693.1"/>
    <n v="590.91"/>
    <n v="6"/>
    <n v="4158.6000000000004"/>
    <n v="3545.46"/>
    <n v="613.14000000000033"/>
    <n v="0.14743904198528357"/>
    <x v="27"/>
  </r>
  <r>
    <d v="2023-11-05T00:00:00"/>
    <x v="2"/>
    <x v="0"/>
    <x v="0"/>
    <n v="463.91"/>
    <n v="351.34"/>
    <n v="6"/>
    <n v="2783.46"/>
    <n v="2108.04"/>
    <n v="675.42000000000007"/>
    <n v="0.24265482528938806"/>
    <x v="10"/>
  </r>
  <r>
    <d v="2023-09-07T00:00:00"/>
    <x v="8"/>
    <x v="1"/>
    <x v="0"/>
    <n v="1302.49"/>
    <n v="849.74"/>
    <n v="3"/>
    <n v="3907.4700000000003"/>
    <n v="2549.2200000000003"/>
    <n v="1358.25"/>
    <n v="0.34760343649471392"/>
    <x v="24"/>
  </r>
  <r>
    <d v="2022-11-11T00:00:00"/>
    <x v="9"/>
    <x v="3"/>
    <x v="2"/>
    <n v="1424.75"/>
    <n v="1055.73"/>
    <n v="9"/>
    <n v="12822.75"/>
    <n v="9501.57"/>
    <n v="3321.1800000000003"/>
    <n v="0.25900684330584317"/>
    <x v="1"/>
  </r>
  <r>
    <d v="2023-05-09T00:00:00"/>
    <x v="3"/>
    <x v="2"/>
    <x v="0"/>
    <n v="1399.67"/>
    <n v="1081.81"/>
    <n v="9"/>
    <n v="12597.03"/>
    <n v="9736.2899999999991"/>
    <n v="2860.7400000000016"/>
    <n v="0.22709638700550855"/>
    <x v="31"/>
  </r>
  <r>
    <d v="2023-03-22T00:00:00"/>
    <x v="1"/>
    <x v="1"/>
    <x v="3"/>
    <n v="1822.7"/>
    <n v="1349.45"/>
    <n v="10"/>
    <n v="18227"/>
    <n v="13494.5"/>
    <n v="4732.5"/>
    <n v="0.25964228891205354"/>
    <x v="19"/>
  </r>
  <r>
    <d v="2023-05-18T00:00:00"/>
    <x v="2"/>
    <x v="0"/>
    <x v="2"/>
    <n v="256.54000000000002"/>
    <n v="229.09"/>
    <n v="3"/>
    <n v="769.62000000000012"/>
    <n v="687.27"/>
    <n v="82.350000000000136"/>
    <n v="0.10700085756607172"/>
    <x v="31"/>
  </r>
  <r>
    <d v="2022-11-11T00:00:00"/>
    <x v="1"/>
    <x v="1"/>
    <x v="0"/>
    <n v="814.91"/>
    <n v="653.80999999999995"/>
    <n v="2"/>
    <n v="1629.82"/>
    <n v="1307.6199999999999"/>
    <n v="322.20000000000005"/>
    <n v="0.19769054251389728"/>
    <x v="1"/>
  </r>
  <r>
    <d v="2023-08-02T00:00:00"/>
    <x v="10"/>
    <x v="2"/>
    <x v="3"/>
    <n v="852.71"/>
    <n v="627.41"/>
    <n v="8"/>
    <n v="6821.68"/>
    <n v="5019.28"/>
    <n v="1802.4000000000005"/>
    <n v="0.26421643935218309"/>
    <x v="14"/>
  </r>
  <r>
    <d v="2023-07-07T00:00:00"/>
    <x v="3"/>
    <x v="2"/>
    <x v="1"/>
    <n v="707.84"/>
    <n v="563.52"/>
    <n v="2"/>
    <n v="1415.68"/>
    <n v="1127.04"/>
    <n v="288.6400000000001"/>
    <n v="0.20388788426763116"/>
    <x v="11"/>
  </r>
  <r>
    <d v="2022-03-23T00:00:00"/>
    <x v="3"/>
    <x v="2"/>
    <x v="0"/>
    <n v="1116.44"/>
    <n v="974.12"/>
    <n v="1"/>
    <n v="1116.44"/>
    <n v="974.12"/>
    <n v="142.32000000000005"/>
    <n v="0.12747662212031102"/>
    <x v="7"/>
  </r>
  <r>
    <d v="2023-05-19T00:00:00"/>
    <x v="8"/>
    <x v="1"/>
    <x v="1"/>
    <n v="1641.85"/>
    <n v="1053.07"/>
    <n v="2"/>
    <n v="3283.7"/>
    <n v="2106.14"/>
    <n v="1177.56"/>
    <n v="0.3586076681791881"/>
    <x v="31"/>
  </r>
  <r>
    <d v="2022-11-25T00:00:00"/>
    <x v="10"/>
    <x v="2"/>
    <x v="3"/>
    <n v="1653.84"/>
    <n v="878.41"/>
    <n v="9"/>
    <n v="14884.56"/>
    <n v="7905.69"/>
    <n v="6978.87"/>
    <n v="0.46886639578193778"/>
    <x v="1"/>
  </r>
  <r>
    <d v="2023-04-12T00:00:00"/>
    <x v="8"/>
    <x v="1"/>
    <x v="0"/>
    <n v="1770.08"/>
    <n v="1163.6600000000001"/>
    <n v="1"/>
    <n v="1770.08"/>
    <n v="1163.6600000000001"/>
    <n v="606.41999999999985"/>
    <n v="0.34259468498598927"/>
    <x v="6"/>
  </r>
  <r>
    <d v="2022-09-11T00:00:00"/>
    <x v="9"/>
    <x v="3"/>
    <x v="0"/>
    <n v="372.11"/>
    <n v="249.59"/>
    <n v="2"/>
    <n v="744.22"/>
    <n v="499.18"/>
    <n v="245.04000000000002"/>
    <n v="0.32925747762758328"/>
    <x v="12"/>
  </r>
  <r>
    <d v="2022-11-19T00:00:00"/>
    <x v="6"/>
    <x v="3"/>
    <x v="2"/>
    <n v="776.2"/>
    <n v="607.59"/>
    <n v="4"/>
    <n v="3104.8"/>
    <n v="2430.36"/>
    <n v="674.44"/>
    <n v="0.21722494202525122"/>
    <x v="1"/>
  </r>
  <r>
    <d v="2023-03-09T00:00:00"/>
    <x v="3"/>
    <x v="2"/>
    <x v="3"/>
    <n v="1532.94"/>
    <n v="947.52"/>
    <n v="2"/>
    <n v="3065.88"/>
    <n v="1895.04"/>
    <n v="1170.8400000000001"/>
    <n v="0.38189361618850054"/>
    <x v="19"/>
  </r>
  <r>
    <d v="2023-01-21T00:00:00"/>
    <x v="2"/>
    <x v="0"/>
    <x v="1"/>
    <n v="1028.32"/>
    <n v="626.16999999999996"/>
    <n v="4"/>
    <n v="4113.28"/>
    <n v="2504.6799999999998"/>
    <n v="1608.6"/>
    <n v="0.39107476271977593"/>
    <x v="13"/>
  </r>
  <r>
    <d v="2022-07-23T00:00:00"/>
    <x v="5"/>
    <x v="3"/>
    <x v="1"/>
    <n v="1523.81"/>
    <n v="1040.92"/>
    <n v="3"/>
    <n v="4571.43"/>
    <n v="3122.76"/>
    <n v="1448.67"/>
    <n v="0.31689646346985517"/>
    <x v="8"/>
  </r>
  <r>
    <d v="2024-05-09T00:00:00"/>
    <x v="2"/>
    <x v="0"/>
    <x v="0"/>
    <n v="1717.82"/>
    <n v="892.5"/>
    <n v="9"/>
    <n v="15460.38"/>
    <n v="8032.5"/>
    <n v="7427.8799999999992"/>
    <n v="0.48044614686055581"/>
    <x v="3"/>
  </r>
  <r>
    <d v="2023-08-09T00:00:00"/>
    <x v="6"/>
    <x v="3"/>
    <x v="3"/>
    <n v="97.94"/>
    <n v="68.06"/>
    <n v="3"/>
    <n v="293.82"/>
    <n v="204.18"/>
    <n v="89.639999999999986"/>
    <n v="0.30508474576271183"/>
    <x v="14"/>
  </r>
  <r>
    <d v="2022-12-28T00:00:00"/>
    <x v="1"/>
    <x v="1"/>
    <x v="3"/>
    <n v="339.86"/>
    <n v="223.33"/>
    <n v="9"/>
    <n v="3058.7400000000002"/>
    <n v="2009.97"/>
    <n v="1048.7700000000002"/>
    <n v="0.3428764785499912"/>
    <x v="33"/>
  </r>
  <r>
    <d v="2024-04-17T00:00:00"/>
    <x v="2"/>
    <x v="0"/>
    <x v="2"/>
    <n v="580.83000000000004"/>
    <n v="348.38"/>
    <n v="2"/>
    <n v="1161.6600000000001"/>
    <n v="696.76"/>
    <n v="464.90000000000009"/>
    <n v="0.40020315755040203"/>
    <x v="22"/>
  </r>
  <r>
    <d v="2024-06-02T00:00:00"/>
    <x v="2"/>
    <x v="0"/>
    <x v="2"/>
    <n v="983.45"/>
    <n v="620.07000000000005"/>
    <n v="6"/>
    <n v="5900.7000000000007"/>
    <n v="3720.42"/>
    <n v="2180.2800000000007"/>
    <n v="0.36949514464385586"/>
    <x v="4"/>
  </r>
  <r>
    <d v="2023-09-15T00:00:00"/>
    <x v="9"/>
    <x v="3"/>
    <x v="1"/>
    <n v="847.71"/>
    <n v="729.55"/>
    <n v="8"/>
    <n v="6781.68"/>
    <n v="5836.4"/>
    <n v="945.28000000000065"/>
    <n v="0.13938729046489964"/>
    <x v="24"/>
  </r>
  <r>
    <d v="2024-03-17T00:00:00"/>
    <x v="9"/>
    <x v="3"/>
    <x v="3"/>
    <n v="965.18"/>
    <n v="683.43"/>
    <n v="4"/>
    <n v="3860.72"/>
    <n v="2733.72"/>
    <n v="1127"/>
    <n v="0.29191446155121326"/>
    <x v="29"/>
  </r>
  <r>
    <d v="2024-10-24T00:00:00"/>
    <x v="7"/>
    <x v="0"/>
    <x v="3"/>
    <n v="773.44"/>
    <n v="539.03"/>
    <n v="4"/>
    <n v="3093.76"/>
    <n v="2156.12"/>
    <n v="937.64000000000033"/>
    <n v="0.30307457592056275"/>
    <x v="17"/>
  </r>
  <r>
    <d v="2024-07-09T00:00:00"/>
    <x v="5"/>
    <x v="3"/>
    <x v="2"/>
    <n v="260.02"/>
    <n v="146.35"/>
    <n v="9"/>
    <n v="2340.1799999999998"/>
    <n v="1317.1499999999999"/>
    <n v="1023.03"/>
    <n v="0.43715868010153069"/>
    <x v="28"/>
  </r>
  <r>
    <d v="2023-10-13T00:00:00"/>
    <x v="3"/>
    <x v="2"/>
    <x v="3"/>
    <n v="689.63"/>
    <n v="524.22"/>
    <n v="1"/>
    <n v="689.63"/>
    <n v="524.22"/>
    <n v="165.40999999999997"/>
    <n v="0.23985325464379445"/>
    <x v="5"/>
  </r>
  <r>
    <d v="2024-05-13T00:00:00"/>
    <x v="0"/>
    <x v="0"/>
    <x v="0"/>
    <n v="279.3"/>
    <n v="239.8"/>
    <n v="3"/>
    <n v="837.90000000000009"/>
    <n v="719.40000000000009"/>
    <n v="118.5"/>
    <n v="0.14142499104905118"/>
    <x v="3"/>
  </r>
  <r>
    <d v="2022-11-11T00:00:00"/>
    <x v="4"/>
    <x v="2"/>
    <x v="3"/>
    <n v="993.29"/>
    <n v="815.84"/>
    <n v="5"/>
    <n v="4966.45"/>
    <n v="4079.2000000000003"/>
    <n v="887.24999999999955"/>
    <n v="0.1786487329984193"/>
    <x v="1"/>
  </r>
  <r>
    <d v="2023-01-16T00:00:00"/>
    <x v="1"/>
    <x v="1"/>
    <x v="0"/>
    <n v="1292.6500000000001"/>
    <n v="1065.8699999999999"/>
    <n v="6"/>
    <n v="7755.9000000000005"/>
    <n v="6395.2199999999993"/>
    <n v="1360.6800000000012"/>
    <n v="0.17543805361079967"/>
    <x v="13"/>
  </r>
  <r>
    <d v="2024-03-08T00:00:00"/>
    <x v="7"/>
    <x v="0"/>
    <x v="2"/>
    <n v="1924.1"/>
    <n v="1250.3599999999999"/>
    <n v="3"/>
    <n v="5772.2999999999993"/>
    <n v="3751.08"/>
    <n v="2021.2199999999993"/>
    <n v="0.35015851566966366"/>
    <x v="29"/>
  </r>
  <r>
    <d v="2023-02-12T00:00:00"/>
    <x v="4"/>
    <x v="2"/>
    <x v="1"/>
    <n v="794.5"/>
    <n v="591.24"/>
    <n v="2"/>
    <n v="1589"/>
    <n v="1182.48"/>
    <n v="406.52"/>
    <n v="0.25583385777218376"/>
    <x v="27"/>
  </r>
  <r>
    <d v="2023-09-29T00:00:00"/>
    <x v="2"/>
    <x v="0"/>
    <x v="0"/>
    <n v="1348.1"/>
    <n v="774.92"/>
    <n v="2"/>
    <n v="2696.2"/>
    <n v="1549.84"/>
    <n v="1146.3599999999999"/>
    <n v="0.42517617387434165"/>
    <x v="24"/>
  </r>
  <r>
    <d v="2024-09-19T00:00:00"/>
    <x v="1"/>
    <x v="1"/>
    <x v="3"/>
    <n v="1238.06"/>
    <n v="743.26"/>
    <n v="9"/>
    <n v="11142.539999999999"/>
    <n v="6689.34"/>
    <n v="4453.1999999999989"/>
    <n v="0.39965752871427873"/>
    <x v="16"/>
  </r>
  <r>
    <d v="2024-10-25T00:00:00"/>
    <x v="9"/>
    <x v="3"/>
    <x v="0"/>
    <n v="1109.1400000000001"/>
    <n v="964.84"/>
    <n v="9"/>
    <n v="9982.26"/>
    <n v="8683.56"/>
    <n v="1298.7000000000007"/>
    <n v="0.1301007988171016"/>
    <x v="17"/>
  </r>
  <r>
    <d v="2023-05-19T00:00:00"/>
    <x v="5"/>
    <x v="3"/>
    <x v="2"/>
    <n v="1802.71"/>
    <n v="1615.93"/>
    <n v="2"/>
    <n v="3605.42"/>
    <n v="3231.86"/>
    <n v="373.55999999999995"/>
    <n v="0.10361067503924645"/>
    <x v="31"/>
  </r>
  <r>
    <d v="2023-11-07T00:00:00"/>
    <x v="1"/>
    <x v="1"/>
    <x v="2"/>
    <n v="30.56"/>
    <n v="19.39"/>
    <n v="4"/>
    <n v="122.24"/>
    <n v="77.56"/>
    <n v="44.679999999999993"/>
    <n v="0.36551047120418845"/>
    <x v="10"/>
  </r>
  <r>
    <d v="2023-02-08T00:00:00"/>
    <x v="9"/>
    <x v="3"/>
    <x v="2"/>
    <n v="34.229999999999997"/>
    <n v="24.04"/>
    <n v="7"/>
    <n v="239.60999999999999"/>
    <n v="168.28"/>
    <n v="71.329999999999984"/>
    <n v="0.29769208296815652"/>
    <x v="27"/>
  </r>
  <r>
    <d v="2022-04-04T00:00:00"/>
    <x v="10"/>
    <x v="2"/>
    <x v="3"/>
    <n v="1564.61"/>
    <n v="1010.13"/>
    <n v="10"/>
    <n v="15646.099999999999"/>
    <n v="10101.299999999999"/>
    <n v="5544.7999999999993"/>
    <n v="0.35438863358920114"/>
    <x v="32"/>
  </r>
  <r>
    <d v="2023-12-28T00:00:00"/>
    <x v="2"/>
    <x v="0"/>
    <x v="3"/>
    <n v="183.1"/>
    <n v="161.44"/>
    <n v="2"/>
    <n v="366.2"/>
    <n v="322.88"/>
    <n v="43.319999999999993"/>
    <n v="0.11829601310759147"/>
    <x v="30"/>
  </r>
  <r>
    <d v="2023-04-04T00:00:00"/>
    <x v="5"/>
    <x v="3"/>
    <x v="1"/>
    <n v="752.55"/>
    <n v="413.25"/>
    <n v="4"/>
    <n v="3010.2"/>
    <n v="1653"/>
    <n v="1357.1999999999998"/>
    <n v="0.45086705202312133"/>
    <x v="6"/>
  </r>
  <r>
    <d v="2022-06-11T00:00:00"/>
    <x v="1"/>
    <x v="1"/>
    <x v="2"/>
    <n v="964.61"/>
    <n v="569.16999999999996"/>
    <n v="1"/>
    <n v="964.61"/>
    <n v="569.16999999999996"/>
    <n v="395.44000000000005"/>
    <n v="0.40994806191103145"/>
    <x v="18"/>
  </r>
  <r>
    <d v="2023-04-21T00:00:00"/>
    <x v="7"/>
    <x v="0"/>
    <x v="0"/>
    <n v="636.5"/>
    <n v="448.85"/>
    <n v="7"/>
    <n v="4455.5"/>
    <n v="3141.9500000000003"/>
    <n v="1313.5499999999997"/>
    <n v="0.29481539670070694"/>
    <x v="6"/>
  </r>
  <r>
    <d v="2023-06-22T00:00:00"/>
    <x v="9"/>
    <x v="3"/>
    <x v="3"/>
    <n v="342.9"/>
    <n v="301.60000000000002"/>
    <n v="8"/>
    <n v="2743.2"/>
    <n v="2412.8000000000002"/>
    <n v="330.39999999999964"/>
    <n v="0.12044327792359276"/>
    <x v="0"/>
  </r>
  <r>
    <d v="2024-10-19T00:00:00"/>
    <x v="3"/>
    <x v="2"/>
    <x v="3"/>
    <n v="1511.86"/>
    <n v="1274.95"/>
    <n v="10"/>
    <n v="15118.599999999999"/>
    <n v="12749.5"/>
    <n v="2369.0999999999985"/>
    <n v="0.15670101728996064"/>
    <x v="17"/>
  </r>
  <r>
    <d v="2023-12-01T00:00:00"/>
    <x v="5"/>
    <x v="3"/>
    <x v="2"/>
    <n v="1603.87"/>
    <n v="909.28"/>
    <n v="6"/>
    <n v="9623.2199999999993"/>
    <n v="5455.68"/>
    <n v="4167.5399999999991"/>
    <n v="0.43307125889255355"/>
    <x v="30"/>
  </r>
  <r>
    <d v="2022-02-03T00:00:00"/>
    <x v="9"/>
    <x v="3"/>
    <x v="2"/>
    <n v="209.66"/>
    <n v="170.89"/>
    <n v="9"/>
    <n v="1886.94"/>
    <n v="1538.0099999999998"/>
    <n v="348.93000000000029"/>
    <n v="0.18491843937804078"/>
    <x v="20"/>
  </r>
  <r>
    <d v="2022-09-05T00:00:00"/>
    <x v="5"/>
    <x v="3"/>
    <x v="1"/>
    <n v="1860.99"/>
    <n v="1017.32"/>
    <n v="4"/>
    <n v="7443.96"/>
    <n v="4069.28"/>
    <n v="3374.68"/>
    <n v="0.45334472511942564"/>
    <x v="12"/>
  </r>
  <r>
    <d v="2022-05-24T00:00:00"/>
    <x v="10"/>
    <x v="2"/>
    <x v="0"/>
    <n v="1022.36"/>
    <n v="814.42"/>
    <n v="10"/>
    <n v="10223.6"/>
    <n v="8144.2"/>
    <n v="2079.4000000000005"/>
    <n v="0.20339215149262496"/>
    <x v="35"/>
  </r>
  <r>
    <d v="2024-05-03T00:00:00"/>
    <x v="1"/>
    <x v="1"/>
    <x v="0"/>
    <n v="100.78"/>
    <n v="67.790000000000006"/>
    <n v="1"/>
    <n v="100.78"/>
    <n v="67.790000000000006"/>
    <n v="32.989999999999995"/>
    <n v="0.32734669577297076"/>
    <x v="3"/>
  </r>
  <r>
    <d v="2023-02-25T00:00:00"/>
    <x v="7"/>
    <x v="0"/>
    <x v="0"/>
    <n v="1239.04"/>
    <n v="708.4"/>
    <n v="10"/>
    <n v="12390.4"/>
    <n v="7084"/>
    <n v="5306.4"/>
    <n v="0.42826704545454541"/>
    <x v="27"/>
  </r>
  <r>
    <d v="2024-10-13T00:00:00"/>
    <x v="2"/>
    <x v="0"/>
    <x v="1"/>
    <n v="573.80999999999995"/>
    <n v="465.84"/>
    <n v="8"/>
    <n v="4590.4799999999996"/>
    <n v="3726.72"/>
    <n v="863.75999999999976"/>
    <n v="0.18816332932503788"/>
    <x v="17"/>
  </r>
  <r>
    <d v="2023-11-28T00:00:00"/>
    <x v="0"/>
    <x v="0"/>
    <x v="0"/>
    <n v="1672.74"/>
    <n v="1005.51"/>
    <n v="1"/>
    <n v="1672.74"/>
    <n v="1005.51"/>
    <n v="667.23"/>
    <n v="0.39888446500950536"/>
    <x v="10"/>
  </r>
  <r>
    <d v="2022-08-05T00:00:00"/>
    <x v="3"/>
    <x v="2"/>
    <x v="3"/>
    <n v="1895.55"/>
    <n v="1296.49"/>
    <n v="7"/>
    <n v="13268.85"/>
    <n v="9075.43"/>
    <n v="4193.42"/>
    <n v="0.3160349239007148"/>
    <x v="15"/>
  </r>
  <r>
    <d v="2023-10-02T00:00:00"/>
    <x v="1"/>
    <x v="1"/>
    <x v="2"/>
    <n v="1404.42"/>
    <n v="1209.3599999999999"/>
    <n v="2"/>
    <n v="2808.84"/>
    <n v="2418.7199999999998"/>
    <n v="390.12000000000035"/>
    <n v="0.13889007561840486"/>
    <x v="5"/>
  </r>
  <r>
    <d v="2022-09-17T00:00:00"/>
    <x v="2"/>
    <x v="0"/>
    <x v="2"/>
    <n v="1797.05"/>
    <n v="1458.88"/>
    <n v="2"/>
    <n v="3594.1"/>
    <n v="2917.76"/>
    <n v="676.33999999999969"/>
    <n v="0.18818062936479221"/>
    <x v="12"/>
  </r>
  <r>
    <d v="2023-03-03T00:00:00"/>
    <x v="9"/>
    <x v="3"/>
    <x v="2"/>
    <n v="1995.75"/>
    <n v="1636.37"/>
    <n v="8"/>
    <n v="15966"/>
    <n v="13090.96"/>
    <n v="2875.0400000000009"/>
    <n v="0.18007265439058004"/>
    <x v="19"/>
  </r>
  <r>
    <d v="2022-12-12T00:00:00"/>
    <x v="5"/>
    <x v="3"/>
    <x v="1"/>
    <n v="1062.33"/>
    <n v="702.07"/>
    <n v="7"/>
    <n v="7436.3099999999995"/>
    <n v="4914.4900000000007"/>
    <n v="2521.8199999999988"/>
    <n v="0.33912249489330043"/>
    <x v="33"/>
  </r>
  <r>
    <d v="2022-11-20T00:00:00"/>
    <x v="8"/>
    <x v="1"/>
    <x v="1"/>
    <n v="1345.16"/>
    <n v="790.9"/>
    <n v="2"/>
    <n v="2690.32"/>
    <n v="1581.8"/>
    <n v="1108.5200000000002"/>
    <n v="0.4120402033958786"/>
    <x v="1"/>
  </r>
  <r>
    <d v="2024-03-08T00:00:00"/>
    <x v="2"/>
    <x v="0"/>
    <x v="3"/>
    <n v="232.79"/>
    <n v="203.45"/>
    <n v="8"/>
    <n v="1862.32"/>
    <n v="1627.6"/>
    <n v="234.72000000000003"/>
    <n v="0.12603634176725806"/>
    <x v="29"/>
  </r>
  <r>
    <d v="2022-10-17T00:00:00"/>
    <x v="4"/>
    <x v="2"/>
    <x v="0"/>
    <n v="898.11"/>
    <n v="500.83"/>
    <n v="4"/>
    <n v="3592.44"/>
    <n v="2003.32"/>
    <n v="1589.1200000000001"/>
    <n v="0.44235115965750299"/>
    <x v="25"/>
  </r>
  <r>
    <d v="2023-07-05T00:00:00"/>
    <x v="3"/>
    <x v="2"/>
    <x v="1"/>
    <n v="1664.85"/>
    <n v="1266.3499999999999"/>
    <n v="5"/>
    <n v="8324.25"/>
    <n v="6331.75"/>
    <n v="1992.5"/>
    <n v="0.23936090338468932"/>
    <x v="11"/>
  </r>
  <r>
    <d v="2023-06-15T00:00:00"/>
    <x v="3"/>
    <x v="2"/>
    <x v="2"/>
    <n v="54.32"/>
    <n v="38.049999999999997"/>
    <n v="10"/>
    <n v="543.20000000000005"/>
    <n v="380.5"/>
    <n v="162.70000000000005"/>
    <n v="0.29952135493372611"/>
    <x v="0"/>
  </r>
  <r>
    <d v="2023-11-21T00:00:00"/>
    <x v="6"/>
    <x v="3"/>
    <x v="3"/>
    <n v="349.63"/>
    <n v="177.75"/>
    <n v="9"/>
    <n v="3146.67"/>
    <n v="1599.75"/>
    <n v="1546.92"/>
    <n v="0.49160541143494552"/>
    <x v="10"/>
  </r>
  <r>
    <d v="2023-04-27T00:00:00"/>
    <x v="10"/>
    <x v="2"/>
    <x v="2"/>
    <n v="1401.23"/>
    <n v="1235.75"/>
    <n v="10"/>
    <n v="14012.3"/>
    <n v="12357.5"/>
    <n v="1654.7999999999993"/>
    <n v="0.11809624401418749"/>
    <x v="6"/>
  </r>
  <r>
    <d v="2023-02-02T00:00:00"/>
    <x v="8"/>
    <x v="1"/>
    <x v="1"/>
    <n v="1176.3699999999999"/>
    <n v="808.12"/>
    <n v="5"/>
    <n v="5881.8499999999995"/>
    <n v="4040.6"/>
    <n v="1841.2499999999995"/>
    <n v="0.31303926485714523"/>
    <x v="27"/>
  </r>
  <r>
    <d v="2022-04-08T00:00:00"/>
    <x v="5"/>
    <x v="3"/>
    <x v="3"/>
    <n v="1437.75"/>
    <n v="1286.44"/>
    <n v="4"/>
    <n v="5751"/>
    <n v="5145.76"/>
    <n v="605.23999999999978"/>
    <n v="0.1052408276821422"/>
    <x v="32"/>
  </r>
  <r>
    <d v="2022-02-17T00:00:00"/>
    <x v="0"/>
    <x v="0"/>
    <x v="3"/>
    <n v="595.37"/>
    <n v="531.96"/>
    <n v="8"/>
    <n v="4762.96"/>
    <n v="4255.68"/>
    <n v="507.27999999999975"/>
    <n v="0.10650519844802386"/>
    <x v="20"/>
  </r>
  <r>
    <d v="2022-06-29T00:00:00"/>
    <x v="9"/>
    <x v="3"/>
    <x v="2"/>
    <n v="689.16"/>
    <n v="540.09"/>
    <n v="6"/>
    <n v="4134.96"/>
    <n v="3240.54"/>
    <n v="894.42000000000007"/>
    <n v="0.21630680828835105"/>
    <x v="18"/>
  </r>
  <r>
    <d v="2023-10-28T00:00:00"/>
    <x v="1"/>
    <x v="1"/>
    <x v="3"/>
    <n v="1380.18"/>
    <n v="836.4"/>
    <n v="8"/>
    <n v="11041.44"/>
    <n v="6691.2"/>
    <n v="4350.2400000000007"/>
    <n v="0.39399208798852325"/>
    <x v="5"/>
  </r>
  <r>
    <d v="2022-03-20T00:00:00"/>
    <x v="10"/>
    <x v="2"/>
    <x v="1"/>
    <n v="622.35"/>
    <n v="501.7"/>
    <n v="5"/>
    <n v="3111.75"/>
    <n v="2508.5"/>
    <n v="603.25"/>
    <n v="0.19386197477303768"/>
    <x v="7"/>
  </r>
  <r>
    <d v="2024-03-11T00:00:00"/>
    <x v="6"/>
    <x v="3"/>
    <x v="0"/>
    <n v="327.93"/>
    <n v="281.54000000000002"/>
    <n v="2"/>
    <n v="655.86"/>
    <n v="563.08000000000004"/>
    <n v="92.779999999999973"/>
    <n v="0.14146311712865547"/>
    <x v="29"/>
  </r>
  <r>
    <d v="2022-09-24T00:00:00"/>
    <x v="7"/>
    <x v="0"/>
    <x v="1"/>
    <n v="89.93"/>
    <n v="68.099999999999994"/>
    <n v="7"/>
    <n v="629.51"/>
    <n v="476.69999999999993"/>
    <n v="152.81000000000006"/>
    <n v="0.2427443567218949"/>
    <x v="12"/>
  </r>
  <r>
    <d v="2024-10-10T00:00:00"/>
    <x v="7"/>
    <x v="0"/>
    <x v="0"/>
    <n v="104.42"/>
    <n v="82.77"/>
    <n v="5"/>
    <n v="522.1"/>
    <n v="413.84999999999997"/>
    <n v="108.25000000000006"/>
    <n v="0.2073357594330589"/>
    <x v="17"/>
  </r>
  <r>
    <d v="2023-06-28T00:00:00"/>
    <x v="0"/>
    <x v="0"/>
    <x v="3"/>
    <n v="591.48"/>
    <n v="379"/>
    <n v="7"/>
    <n v="4140.3600000000006"/>
    <n v="2653"/>
    <n v="1487.3600000000006"/>
    <n v="0.35923446270372633"/>
    <x v="0"/>
  </r>
  <r>
    <d v="2024-11-27T00:00:00"/>
    <x v="4"/>
    <x v="2"/>
    <x v="1"/>
    <n v="1344.28"/>
    <n v="694.53"/>
    <n v="8"/>
    <n v="10754.24"/>
    <n v="5556.24"/>
    <n v="5198"/>
    <n v="0.48334424375874074"/>
    <x v="2"/>
  </r>
  <r>
    <d v="2022-01-21T00:00:00"/>
    <x v="2"/>
    <x v="0"/>
    <x v="2"/>
    <n v="48.2"/>
    <n v="38.92"/>
    <n v="4"/>
    <n v="192.8"/>
    <n v="155.68"/>
    <n v="37.120000000000005"/>
    <n v="0.19253112033195022"/>
    <x v="9"/>
  </r>
  <r>
    <d v="2023-05-23T00:00:00"/>
    <x v="5"/>
    <x v="3"/>
    <x v="3"/>
    <n v="1396.48"/>
    <n v="1111.55"/>
    <n v="9"/>
    <n v="12568.32"/>
    <n v="10003.949999999999"/>
    <n v="2564.3700000000008"/>
    <n v="0.20403442942254818"/>
    <x v="31"/>
  </r>
  <r>
    <d v="2024-07-15T00:00:00"/>
    <x v="10"/>
    <x v="2"/>
    <x v="0"/>
    <n v="66.95"/>
    <n v="54.3"/>
    <n v="4"/>
    <n v="267.8"/>
    <n v="217.2"/>
    <n v="50.600000000000023"/>
    <n v="0.18894697535474242"/>
    <x v="28"/>
  </r>
  <r>
    <d v="2022-09-07T00:00:00"/>
    <x v="6"/>
    <x v="3"/>
    <x v="3"/>
    <n v="697.07"/>
    <n v="468.86"/>
    <n v="5"/>
    <n v="3485.3500000000004"/>
    <n v="2344.3000000000002"/>
    <n v="1141.0500000000002"/>
    <n v="0.32738462421277637"/>
    <x v="12"/>
  </r>
  <r>
    <d v="2023-04-04T00:00:00"/>
    <x v="10"/>
    <x v="2"/>
    <x v="0"/>
    <n v="1487.39"/>
    <n v="1032.07"/>
    <n v="5"/>
    <n v="7436.9500000000007"/>
    <n v="5160.3499999999995"/>
    <n v="2276.6000000000013"/>
    <n v="0.30612011644558601"/>
    <x v="6"/>
  </r>
  <r>
    <d v="2023-10-03T00:00:00"/>
    <x v="10"/>
    <x v="2"/>
    <x v="1"/>
    <n v="1311.01"/>
    <n v="824.41"/>
    <n v="4"/>
    <n v="5244.04"/>
    <n v="3297.64"/>
    <n v="1946.4"/>
    <n v="0.37116421690147294"/>
    <x v="5"/>
  </r>
  <r>
    <d v="2022-08-20T00:00:00"/>
    <x v="3"/>
    <x v="2"/>
    <x v="1"/>
    <n v="52.33"/>
    <n v="32.61"/>
    <n v="6"/>
    <n v="313.98"/>
    <n v="195.66"/>
    <n v="118.32000000000002"/>
    <n v="0.37683928912669601"/>
    <x v="15"/>
  </r>
  <r>
    <d v="2023-08-10T00:00:00"/>
    <x v="10"/>
    <x v="2"/>
    <x v="3"/>
    <n v="1692.93"/>
    <n v="1157.4000000000001"/>
    <n v="1"/>
    <n v="1692.93"/>
    <n v="1157.4000000000001"/>
    <n v="535.53"/>
    <n v="0.31633322110187662"/>
    <x v="14"/>
  </r>
  <r>
    <d v="2022-01-15T00:00:00"/>
    <x v="3"/>
    <x v="2"/>
    <x v="2"/>
    <n v="1309.46"/>
    <n v="751.62"/>
    <n v="1"/>
    <n v="1309.46"/>
    <n v="751.62"/>
    <n v="557.84"/>
    <n v="0.42600766728269668"/>
    <x v="9"/>
  </r>
  <r>
    <d v="2024-04-14T00:00:00"/>
    <x v="6"/>
    <x v="3"/>
    <x v="3"/>
    <n v="1851.59"/>
    <n v="1410.6"/>
    <n v="7"/>
    <n v="12961.13"/>
    <n v="9874.1999999999989"/>
    <n v="3086.9300000000003"/>
    <n v="0.23816827699436705"/>
    <x v="22"/>
  </r>
  <r>
    <d v="2023-01-27T00:00:00"/>
    <x v="4"/>
    <x v="2"/>
    <x v="2"/>
    <n v="1057.23"/>
    <n v="854.97"/>
    <n v="3"/>
    <n v="3171.69"/>
    <n v="2564.91"/>
    <n v="606.7800000000002"/>
    <n v="0.19131125677477945"/>
    <x v="13"/>
  </r>
  <r>
    <d v="2024-08-14T00:00:00"/>
    <x v="0"/>
    <x v="0"/>
    <x v="2"/>
    <n v="408.65"/>
    <n v="250.46"/>
    <n v="3"/>
    <n v="1225.9499999999998"/>
    <n v="751.38"/>
    <n v="474.56999999999982"/>
    <n v="0.38710387862473988"/>
    <x v="21"/>
  </r>
  <r>
    <d v="2022-02-21T00:00:00"/>
    <x v="3"/>
    <x v="2"/>
    <x v="0"/>
    <n v="638.16999999999996"/>
    <n v="437.05"/>
    <n v="3"/>
    <n v="1914.5099999999998"/>
    <n v="1311.15"/>
    <n v="603.35999999999967"/>
    <n v="0.31515113527743377"/>
    <x v="20"/>
  </r>
  <r>
    <d v="2024-03-19T00:00:00"/>
    <x v="0"/>
    <x v="0"/>
    <x v="3"/>
    <n v="119.08"/>
    <n v="91.84"/>
    <n v="2"/>
    <n v="238.16"/>
    <n v="183.68"/>
    <n v="54.47999999999999"/>
    <n v="0.22875377897211954"/>
    <x v="29"/>
  </r>
  <r>
    <d v="2024-09-28T00:00:00"/>
    <x v="9"/>
    <x v="3"/>
    <x v="2"/>
    <n v="1757.15"/>
    <n v="1247.44"/>
    <n v="3"/>
    <n v="5271.4500000000007"/>
    <n v="3742.32"/>
    <n v="1529.1300000000006"/>
    <n v="0.29007768261104638"/>
    <x v="16"/>
  </r>
  <r>
    <d v="2022-07-21T00:00:00"/>
    <x v="10"/>
    <x v="2"/>
    <x v="2"/>
    <n v="1319.55"/>
    <n v="1009.67"/>
    <n v="3"/>
    <n v="3958.6499999999996"/>
    <n v="3029.0099999999998"/>
    <n v="929.63999999999987"/>
    <n v="0.23483763404190822"/>
    <x v="8"/>
  </r>
  <r>
    <d v="2022-05-17T00:00:00"/>
    <x v="3"/>
    <x v="2"/>
    <x v="0"/>
    <n v="1778.68"/>
    <n v="978.49"/>
    <n v="9"/>
    <n v="16008.12"/>
    <n v="8806.41"/>
    <n v="7201.7100000000009"/>
    <n v="0.44987856162997281"/>
    <x v="35"/>
  </r>
  <r>
    <d v="2022-10-02T00:00:00"/>
    <x v="1"/>
    <x v="1"/>
    <x v="1"/>
    <n v="1942.09"/>
    <n v="1391.25"/>
    <n v="9"/>
    <n v="17478.809999999998"/>
    <n v="12521.25"/>
    <n v="4957.5599999999977"/>
    <n v="0.283632581394271"/>
    <x v="25"/>
  </r>
  <r>
    <d v="2023-06-09T00:00:00"/>
    <x v="1"/>
    <x v="1"/>
    <x v="2"/>
    <n v="1750.08"/>
    <n v="1242.3800000000001"/>
    <n v="9"/>
    <n v="15750.72"/>
    <n v="11181.420000000002"/>
    <n v="4569.2999999999975"/>
    <n v="0.29010102395319054"/>
    <x v="0"/>
  </r>
  <r>
    <d v="2023-05-05T00:00:00"/>
    <x v="3"/>
    <x v="2"/>
    <x v="3"/>
    <n v="1356.39"/>
    <n v="977.21"/>
    <n v="5"/>
    <n v="6781.9500000000007"/>
    <n v="4886.05"/>
    <n v="1895.9000000000005"/>
    <n v="0.2795508666386512"/>
    <x v="31"/>
  </r>
  <r>
    <d v="2023-02-04T00:00:00"/>
    <x v="9"/>
    <x v="3"/>
    <x v="3"/>
    <n v="1136.47"/>
    <n v="932.83"/>
    <n v="5"/>
    <n v="5682.35"/>
    <n v="4664.1500000000005"/>
    <n v="1018.1999999999998"/>
    <n v="0.17918642815032509"/>
    <x v="27"/>
  </r>
  <r>
    <d v="2024-02-07T00:00:00"/>
    <x v="6"/>
    <x v="3"/>
    <x v="3"/>
    <n v="1181.3399999999999"/>
    <n v="646.54999999999995"/>
    <n v="10"/>
    <n v="11813.4"/>
    <n v="6465.5"/>
    <n v="5347.9"/>
    <n v="0.4526977838725515"/>
    <x v="34"/>
  </r>
  <r>
    <d v="2022-03-18T00:00:00"/>
    <x v="6"/>
    <x v="3"/>
    <x v="0"/>
    <n v="1694.96"/>
    <n v="1385.32"/>
    <n v="10"/>
    <n v="16949.599999999999"/>
    <n v="13853.199999999999"/>
    <n v="3096.3999999999996"/>
    <n v="0.18268277717468259"/>
    <x v="7"/>
  </r>
  <r>
    <d v="2023-04-20T00:00:00"/>
    <x v="3"/>
    <x v="2"/>
    <x v="0"/>
    <n v="1069.8"/>
    <n v="570.5"/>
    <n v="5"/>
    <n v="5349"/>
    <n v="2852.5"/>
    <n v="2496.5"/>
    <n v="0.46672275191624601"/>
    <x v="6"/>
  </r>
  <r>
    <d v="2022-01-23T00:00:00"/>
    <x v="4"/>
    <x v="2"/>
    <x v="3"/>
    <n v="928.25"/>
    <n v="586.07000000000005"/>
    <n v="5"/>
    <n v="4641.25"/>
    <n v="2930.3500000000004"/>
    <n v="1710.8999999999996"/>
    <n v="0.36862914085645021"/>
    <x v="9"/>
  </r>
  <r>
    <d v="2022-07-30T00:00:00"/>
    <x v="4"/>
    <x v="2"/>
    <x v="1"/>
    <n v="1731.04"/>
    <n v="1174.29"/>
    <n v="8"/>
    <n v="13848.32"/>
    <n v="9394.32"/>
    <n v="4454"/>
    <n v="0.32162746094833167"/>
    <x v="8"/>
  </r>
  <r>
    <d v="2024-11-15T00:00:00"/>
    <x v="6"/>
    <x v="3"/>
    <x v="2"/>
    <n v="918.82"/>
    <n v="566.97"/>
    <n v="9"/>
    <n v="8269.380000000001"/>
    <n v="5102.7300000000005"/>
    <n v="3166.6500000000005"/>
    <n v="0.38293681025663351"/>
    <x v="2"/>
  </r>
  <r>
    <d v="2023-12-14T00:00:00"/>
    <x v="7"/>
    <x v="0"/>
    <x v="0"/>
    <n v="349.9"/>
    <n v="280.93"/>
    <n v="9"/>
    <n v="3149.1"/>
    <n v="2528.37"/>
    <n v="620.73"/>
    <n v="0.19711346098885396"/>
    <x v="30"/>
  </r>
  <r>
    <d v="2023-06-06T00:00:00"/>
    <x v="5"/>
    <x v="3"/>
    <x v="0"/>
    <n v="1363.8"/>
    <n v="1128.9100000000001"/>
    <n v="1"/>
    <n v="1363.8"/>
    <n v="1128.9100000000001"/>
    <n v="234.88999999999987"/>
    <n v="0.17223199882680737"/>
    <x v="0"/>
  </r>
  <r>
    <d v="2024-02-09T00:00:00"/>
    <x v="2"/>
    <x v="0"/>
    <x v="0"/>
    <n v="1086.1400000000001"/>
    <n v="898.14"/>
    <n v="7"/>
    <n v="7602.9800000000005"/>
    <n v="6286.98"/>
    <n v="1316.0000000000009"/>
    <n v="0.17309002522695061"/>
    <x v="34"/>
  </r>
  <r>
    <d v="2022-07-27T00:00:00"/>
    <x v="1"/>
    <x v="1"/>
    <x v="2"/>
    <n v="177.83"/>
    <n v="143.85"/>
    <n v="10"/>
    <n v="1778.3000000000002"/>
    <n v="1438.5"/>
    <n v="339.80000000000018"/>
    <n v="0.19108136984760735"/>
    <x v="8"/>
  </r>
  <r>
    <d v="2023-11-09T00:00:00"/>
    <x v="6"/>
    <x v="3"/>
    <x v="3"/>
    <n v="1569.13"/>
    <n v="792.65"/>
    <n v="1"/>
    <n v="1569.13"/>
    <n v="792.65"/>
    <n v="776.48000000000013"/>
    <n v="0.49484746324396328"/>
    <x v="10"/>
  </r>
  <r>
    <d v="2023-02-01T00:00:00"/>
    <x v="0"/>
    <x v="0"/>
    <x v="0"/>
    <n v="773"/>
    <n v="649.45000000000005"/>
    <n v="6"/>
    <n v="4638"/>
    <n v="3896.7000000000003"/>
    <n v="741.29999999999973"/>
    <n v="0.15983182406209567"/>
    <x v="27"/>
  </r>
  <r>
    <d v="2023-05-23T00:00:00"/>
    <x v="3"/>
    <x v="2"/>
    <x v="3"/>
    <n v="1893.16"/>
    <n v="1107.47"/>
    <n v="1"/>
    <n v="1893.16"/>
    <n v="1107.47"/>
    <n v="785.69"/>
    <n v="0.41501510701683958"/>
    <x v="31"/>
  </r>
  <r>
    <d v="2022-09-29T00:00:00"/>
    <x v="9"/>
    <x v="3"/>
    <x v="1"/>
    <n v="349.65"/>
    <n v="313.87"/>
    <n v="7"/>
    <n v="2447.5499999999997"/>
    <n v="2197.09"/>
    <n v="250.45999999999958"/>
    <n v="0.10233090233090217"/>
    <x v="12"/>
  </r>
  <r>
    <d v="2022-02-15T00:00:00"/>
    <x v="2"/>
    <x v="0"/>
    <x v="2"/>
    <n v="996.77"/>
    <n v="762.07"/>
    <n v="2"/>
    <n v="1993.54"/>
    <n v="1524.14"/>
    <n v="469.39999999999986"/>
    <n v="0.23546053753624199"/>
    <x v="20"/>
  </r>
  <r>
    <d v="2023-11-21T00:00:00"/>
    <x v="7"/>
    <x v="0"/>
    <x v="2"/>
    <n v="1828.4"/>
    <n v="1156.74"/>
    <n v="2"/>
    <n v="3656.8"/>
    <n v="2313.48"/>
    <n v="1343.3200000000002"/>
    <n v="0.36734850142200837"/>
    <x v="10"/>
  </r>
  <r>
    <d v="2022-10-27T00:00:00"/>
    <x v="7"/>
    <x v="0"/>
    <x v="1"/>
    <n v="310.33"/>
    <n v="212"/>
    <n v="7"/>
    <n v="2172.31"/>
    <n v="1484"/>
    <n v="688.31"/>
    <n v="0.3168562497986015"/>
    <x v="25"/>
  </r>
  <r>
    <d v="2024-05-01T00:00:00"/>
    <x v="7"/>
    <x v="0"/>
    <x v="2"/>
    <n v="1674.06"/>
    <n v="1424.73"/>
    <n v="3"/>
    <n v="5022.18"/>
    <n v="4274.1900000000005"/>
    <n v="747.98999999999978"/>
    <n v="0.14893731407476429"/>
    <x v="3"/>
  </r>
  <r>
    <d v="2024-03-20T00:00:00"/>
    <x v="4"/>
    <x v="2"/>
    <x v="1"/>
    <n v="504.35"/>
    <n v="343.87"/>
    <n v="7"/>
    <n v="3530.4500000000003"/>
    <n v="2407.09"/>
    <n v="1123.3600000000001"/>
    <n v="0.31819173193218997"/>
    <x v="29"/>
  </r>
  <r>
    <d v="2022-09-14T00:00:00"/>
    <x v="2"/>
    <x v="0"/>
    <x v="1"/>
    <n v="1930.7"/>
    <n v="1619.73"/>
    <n v="1"/>
    <n v="1930.7"/>
    <n v="1619.73"/>
    <n v="310.97000000000003"/>
    <n v="0.16106593463510646"/>
    <x v="12"/>
  </r>
  <r>
    <d v="2024-12-27T00:00:00"/>
    <x v="8"/>
    <x v="1"/>
    <x v="3"/>
    <n v="1838.17"/>
    <n v="1352.8"/>
    <n v="1"/>
    <n v="1838.17"/>
    <n v="1352.8"/>
    <n v="485.37000000000012"/>
    <n v="0.26405065907941055"/>
    <x v="23"/>
  </r>
  <r>
    <d v="2022-04-29T00:00:00"/>
    <x v="1"/>
    <x v="1"/>
    <x v="2"/>
    <n v="131.12"/>
    <n v="68.09"/>
    <n v="2"/>
    <n v="262.24"/>
    <n v="136.18"/>
    <n v="126.06"/>
    <n v="0.48070469798657717"/>
    <x v="32"/>
  </r>
  <r>
    <d v="2023-01-09T00:00:00"/>
    <x v="10"/>
    <x v="2"/>
    <x v="1"/>
    <n v="1672.79"/>
    <n v="1285.73"/>
    <n v="10"/>
    <n v="16727.900000000001"/>
    <n v="12857.3"/>
    <n v="3870.6000000000022"/>
    <n v="0.23138588824658216"/>
    <x v="13"/>
  </r>
  <r>
    <d v="2023-06-05T00:00:00"/>
    <x v="4"/>
    <x v="2"/>
    <x v="2"/>
    <n v="815.93"/>
    <n v="565.45000000000005"/>
    <n v="9"/>
    <n v="7343.37"/>
    <n v="5089.05"/>
    <n v="2254.3199999999997"/>
    <n v="0.30698711899305087"/>
    <x v="0"/>
  </r>
  <r>
    <d v="2022-11-21T00:00:00"/>
    <x v="5"/>
    <x v="3"/>
    <x v="0"/>
    <n v="1474.52"/>
    <n v="754.31"/>
    <n v="5"/>
    <n v="7372.6"/>
    <n v="3771.5499999999997"/>
    <n v="3601.0500000000006"/>
    <n v="0.48843691506388526"/>
    <x v="1"/>
  </r>
  <r>
    <d v="2022-10-18T00:00:00"/>
    <x v="8"/>
    <x v="1"/>
    <x v="1"/>
    <n v="61.49"/>
    <n v="43.01"/>
    <n v="1"/>
    <n v="61.49"/>
    <n v="43.01"/>
    <n v="18.480000000000004"/>
    <n v="0.30053667262969597"/>
    <x v="25"/>
  </r>
  <r>
    <d v="2022-09-02T00:00:00"/>
    <x v="6"/>
    <x v="3"/>
    <x v="0"/>
    <n v="1262.19"/>
    <n v="631.75"/>
    <n v="2"/>
    <n v="2524.38"/>
    <n v="1263.5"/>
    <n v="1260.8800000000001"/>
    <n v="0.49948106069609172"/>
    <x v="12"/>
  </r>
  <r>
    <d v="2024-05-26T00:00:00"/>
    <x v="4"/>
    <x v="2"/>
    <x v="0"/>
    <n v="1877.86"/>
    <n v="1428.12"/>
    <n v="7"/>
    <n v="13145.019999999999"/>
    <n v="9996.84"/>
    <n v="3148.1799999999985"/>
    <n v="0.23949602206767268"/>
    <x v="3"/>
  </r>
  <r>
    <d v="2023-09-03T00:00:00"/>
    <x v="2"/>
    <x v="0"/>
    <x v="3"/>
    <n v="1038.4100000000001"/>
    <n v="741.9"/>
    <n v="7"/>
    <n v="7268.8700000000008"/>
    <n v="5193.3"/>
    <n v="2075.5700000000006"/>
    <n v="0.28554231950770897"/>
    <x v="24"/>
  </r>
  <r>
    <d v="2023-12-02T00:00:00"/>
    <x v="1"/>
    <x v="1"/>
    <x v="3"/>
    <n v="82.63"/>
    <n v="71.41"/>
    <n v="8"/>
    <n v="661.04"/>
    <n v="571.28"/>
    <n v="89.759999999999991"/>
    <n v="0.13578603412804066"/>
    <x v="30"/>
  </r>
  <r>
    <d v="2023-07-03T00:00:00"/>
    <x v="9"/>
    <x v="3"/>
    <x v="1"/>
    <n v="478.65"/>
    <n v="420.93"/>
    <n v="4"/>
    <n v="1914.6"/>
    <n v="1683.72"/>
    <n v="230.87999999999988"/>
    <n v="0.1205891570040739"/>
    <x v="11"/>
  </r>
  <r>
    <d v="2023-07-31T00:00:00"/>
    <x v="0"/>
    <x v="0"/>
    <x v="1"/>
    <n v="1188.05"/>
    <n v="1006.8"/>
    <n v="4"/>
    <n v="4752.2"/>
    <n v="4027.2"/>
    <n v="725"/>
    <n v="0.1525609191532343"/>
    <x v="11"/>
  </r>
  <r>
    <d v="2022-02-14T00:00:00"/>
    <x v="2"/>
    <x v="0"/>
    <x v="0"/>
    <n v="54.14"/>
    <n v="46.94"/>
    <n v="7"/>
    <n v="378.98"/>
    <n v="328.58"/>
    <n v="50.400000000000034"/>
    <n v="0.13298854820834882"/>
    <x v="20"/>
  </r>
  <r>
    <d v="2023-08-04T00:00:00"/>
    <x v="0"/>
    <x v="0"/>
    <x v="1"/>
    <n v="722.22"/>
    <n v="492.3"/>
    <n v="2"/>
    <n v="1444.44"/>
    <n v="984.6"/>
    <n v="459.84000000000003"/>
    <n v="0.31835174877461164"/>
    <x v="14"/>
  </r>
  <r>
    <d v="2024-08-13T00:00:00"/>
    <x v="9"/>
    <x v="3"/>
    <x v="2"/>
    <n v="996.61"/>
    <n v="832.91"/>
    <n v="8"/>
    <n v="7972.88"/>
    <n v="6663.28"/>
    <n v="1309.6000000000004"/>
    <n v="0.16425683065592361"/>
    <x v="21"/>
  </r>
  <r>
    <d v="2022-11-01T00:00:00"/>
    <x v="8"/>
    <x v="1"/>
    <x v="2"/>
    <n v="413.11"/>
    <n v="227.12"/>
    <n v="10"/>
    <n v="4131.1000000000004"/>
    <n v="2271.1999999999998"/>
    <n v="1859.9000000000005"/>
    <n v="0.45021906998136096"/>
    <x v="1"/>
  </r>
  <r>
    <d v="2024-04-28T00:00:00"/>
    <x v="3"/>
    <x v="2"/>
    <x v="1"/>
    <n v="119.91"/>
    <n v="80.09"/>
    <n v="5"/>
    <n v="599.54999999999995"/>
    <n v="400.45000000000005"/>
    <n v="199.09999999999991"/>
    <n v="0.33208239512968046"/>
    <x v="22"/>
  </r>
  <r>
    <d v="2023-04-16T00:00:00"/>
    <x v="6"/>
    <x v="3"/>
    <x v="3"/>
    <n v="1537.5"/>
    <n v="974.75"/>
    <n v="9"/>
    <n v="13837.5"/>
    <n v="8772.75"/>
    <n v="5064.75"/>
    <n v="0.36601626016260164"/>
    <x v="6"/>
  </r>
  <r>
    <d v="2024-03-05T00:00:00"/>
    <x v="4"/>
    <x v="2"/>
    <x v="2"/>
    <n v="1868.03"/>
    <n v="1621.06"/>
    <n v="2"/>
    <n v="3736.06"/>
    <n v="3242.12"/>
    <n v="493.94000000000005"/>
    <n v="0.1322087975032521"/>
    <x v="29"/>
  </r>
  <r>
    <d v="2024-04-15T00:00:00"/>
    <x v="0"/>
    <x v="0"/>
    <x v="3"/>
    <n v="1473.63"/>
    <n v="808.78"/>
    <n v="7"/>
    <n v="10315.41"/>
    <n v="5661.46"/>
    <n v="4653.95"/>
    <n v="0.45116481070553666"/>
    <x v="22"/>
  </r>
  <r>
    <d v="2022-02-12T00:00:00"/>
    <x v="6"/>
    <x v="3"/>
    <x v="0"/>
    <n v="121.51"/>
    <n v="103.7"/>
    <n v="5"/>
    <n v="607.55000000000007"/>
    <n v="518.5"/>
    <n v="89.050000000000068"/>
    <n v="0.14657229857624895"/>
    <x v="20"/>
  </r>
  <r>
    <d v="2023-02-20T00:00:00"/>
    <x v="1"/>
    <x v="1"/>
    <x v="2"/>
    <n v="274.56"/>
    <n v="139.02000000000001"/>
    <n v="10"/>
    <n v="2745.6"/>
    <n v="1390.2"/>
    <n v="1355.3999999999999"/>
    <n v="0.49366258741258739"/>
    <x v="27"/>
  </r>
  <r>
    <d v="2024-06-20T00:00:00"/>
    <x v="0"/>
    <x v="0"/>
    <x v="1"/>
    <n v="1988.15"/>
    <n v="1753.59"/>
    <n v="5"/>
    <n v="9940.75"/>
    <n v="8767.9499999999989"/>
    <n v="1172.8000000000011"/>
    <n v="0.11797902572743517"/>
    <x v="4"/>
  </r>
  <r>
    <d v="2022-09-23T00:00:00"/>
    <x v="2"/>
    <x v="0"/>
    <x v="1"/>
    <n v="1329.2"/>
    <n v="962.96"/>
    <n v="6"/>
    <n v="7975.2000000000007"/>
    <n v="5777.76"/>
    <n v="2197.4400000000005"/>
    <n v="0.2755341558832381"/>
    <x v="12"/>
  </r>
  <r>
    <d v="2023-01-10T00:00:00"/>
    <x v="10"/>
    <x v="2"/>
    <x v="3"/>
    <n v="622.12"/>
    <n v="461.48"/>
    <n v="5"/>
    <n v="3110.6"/>
    <n v="2307.4"/>
    <n v="803.19999999999982"/>
    <n v="0.25821384941811865"/>
    <x v="13"/>
  </r>
  <r>
    <d v="2023-11-15T00:00:00"/>
    <x v="10"/>
    <x v="2"/>
    <x v="2"/>
    <n v="1662.3"/>
    <n v="1492.49"/>
    <n v="10"/>
    <n v="16623"/>
    <n v="14924.9"/>
    <n v="1698.1000000000004"/>
    <n v="0.1021536425434639"/>
    <x v="10"/>
  </r>
  <r>
    <d v="2024-03-16T00:00:00"/>
    <x v="3"/>
    <x v="2"/>
    <x v="0"/>
    <n v="1423.91"/>
    <n v="865.17"/>
    <n v="10"/>
    <n v="14239.1"/>
    <n v="8651.6999999999989"/>
    <n v="5587.4000000000015"/>
    <n v="0.39239839596603726"/>
    <x v="29"/>
  </r>
  <r>
    <d v="2022-04-20T00:00:00"/>
    <x v="10"/>
    <x v="2"/>
    <x v="2"/>
    <n v="476.63"/>
    <n v="350.74"/>
    <n v="3"/>
    <n v="1429.8899999999999"/>
    <n v="1052.22"/>
    <n v="377.66999999999985"/>
    <n v="0.264125212428928"/>
    <x v="32"/>
  </r>
  <r>
    <d v="2024-04-19T00:00:00"/>
    <x v="5"/>
    <x v="3"/>
    <x v="3"/>
    <n v="62.88"/>
    <n v="56.32"/>
    <n v="7"/>
    <n v="440.16"/>
    <n v="394.24"/>
    <n v="45.920000000000016"/>
    <n v="0.1043256997455471"/>
    <x v="22"/>
  </r>
  <r>
    <d v="2022-09-11T00:00:00"/>
    <x v="9"/>
    <x v="3"/>
    <x v="0"/>
    <n v="1823.31"/>
    <n v="1262.03"/>
    <n v="9"/>
    <n v="16409.79"/>
    <n v="11358.27"/>
    <n v="5051.5200000000004"/>
    <n v="0.30783574926918628"/>
    <x v="12"/>
  </r>
  <r>
    <d v="2023-03-29T00:00:00"/>
    <x v="5"/>
    <x v="3"/>
    <x v="1"/>
    <n v="1056.8"/>
    <n v="889.67"/>
    <n v="1"/>
    <n v="1056.8"/>
    <n v="889.67"/>
    <n v="167.13"/>
    <n v="0.15814723694171082"/>
    <x v="19"/>
  </r>
  <r>
    <d v="2024-03-27T00:00:00"/>
    <x v="6"/>
    <x v="3"/>
    <x v="2"/>
    <n v="1299.04"/>
    <n v="680.98"/>
    <n v="2"/>
    <n v="2598.08"/>
    <n v="1361.96"/>
    <n v="1236.1199999999999"/>
    <n v="0.47578211602414089"/>
    <x v="29"/>
  </r>
  <r>
    <d v="2022-11-06T00:00:00"/>
    <x v="1"/>
    <x v="1"/>
    <x v="0"/>
    <n v="937.72"/>
    <n v="699.86"/>
    <n v="1"/>
    <n v="937.72"/>
    <n v="699.86"/>
    <n v="237.86"/>
    <n v="0.25365780830098539"/>
    <x v="1"/>
  </r>
  <r>
    <d v="2022-10-31T00:00:00"/>
    <x v="7"/>
    <x v="0"/>
    <x v="0"/>
    <n v="1898.49"/>
    <n v="1144.8699999999999"/>
    <n v="3"/>
    <n v="5695.47"/>
    <n v="3434.6099999999997"/>
    <n v="2260.8600000000006"/>
    <n v="0.39695758207838872"/>
    <x v="25"/>
  </r>
  <r>
    <d v="2022-02-24T00:00:00"/>
    <x v="6"/>
    <x v="3"/>
    <x v="1"/>
    <n v="1002.25"/>
    <n v="855.91"/>
    <n v="3"/>
    <n v="3006.75"/>
    <n v="2567.73"/>
    <n v="439.02"/>
    <n v="0.14601147418308805"/>
    <x v="20"/>
  </r>
  <r>
    <d v="2022-10-13T00:00:00"/>
    <x v="0"/>
    <x v="0"/>
    <x v="2"/>
    <n v="392.05"/>
    <n v="223.73"/>
    <n v="5"/>
    <n v="1960.25"/>
    <n v="1118.6499999999999"/>
    <n v="841.60000000000014"/>
    <n v="0.42933299324065816"/>
    <x v="25"/>
  </r>
  <r>
    <d v="2023-01-09T00:00:00"/>
    <x v="5"/>
    <x v="3"/>
    <x v="0"/>
    <n v="169.14"/>
    <n v="118.05"/>
    <n v="6"/>
    <n v="1014.8399999999999"/>
    <n v="708.3"/>
    <n v="306.53999999999996"/>
    <n v="0.30205746718694571"/>
    <x v="13"/>
  </r>
  <r>
    <d v="2024-01-29T00:00:00"/>
    <x v="6"/>
    <x v="3"/>
    <x v="3"/>
    <n v="818.78"/>
    <n v="444.44"/>
    <n v="5"/>
    <n v="4093.8999999999996"/>
    <n v="2222.1999999999998"/>
    <n v="1871.6999999999998"/>
    <n v="0.4571924082171035"/>
    <x v="26"/>
  </r>
  <r>
    <d v="2022-08-23T00:00:00"/>
    <x v="2"/>
    <x v="0"/>
    <x v="1"/>
    <n v="1771.31"/>
    <n v="900.77"/>
    <n v="1"/>
    <n v="1771.31"/>
    <n v="900.77"/>
    <n v="870.54"/>
    <n v="0.49146676753363328"/>
    <x v="15"/>
  </r>
  <r>
    <d v="2024-09-11T00:00:00"/>
    <x v="8"/>
    <x v="1"/>
    <x v="3"/>
    <n v="1570.83"/>
    <n v="851.99"/>
    <n v="8"/>
    <n v="12566.64"/>
    <n v="6815.92"/>
    <n v="5750.7199999999993"/>
    <n v="0.45761794719988791"/>
    <x v="16"/>
  </r>
  <r>
    <d v="2024-03-17T00:00:00"/>
    <x v="6"/>
    <x v="3"/>
    <x v="3"/>
    <n v="1703.8"/>
    <n v="1354.34"/>
    <n v="4"/>
    <n v="6815.2"/>
    <n v="5417.36"/>
    <n v="1397.8400000000001"/>
    <n v="0.20510623312595377"/>
    <x v="29"/>
  </r>
  <r>
    <d v="2022-10-03T00:00:00"/>
    <x v="7"/>
    <x v="0"/>
    <x v="2"/>
    <n v="238.22"/>
    <n v="184.37"/>
    <n v="4"/>
    <n v="952.88"/>
    <n v="737.48"/>
    <n v="215.39999999999998"/>
    <n v="0.2260515489883301"/>
    <x v="25"/>
  </r>
  <r>
    <d v="2023-04-08T00:00:00"/>
    <x v="0"/>
    <x v="0"/>
    <x v="3"/>
    <n v="1335.85"/>
    <n v="1019.52"/>
    <n v="10"/>
    <n v="13358.5"/>
    <n v="10195.200000000001"/>
    <n v="3163.2999999999993"/>
    <n v="0.23680053898267014"/>
    <x v="6"/>
  </r>
  <r>
    <d v="2023-08-17T00:00:00"/>
    <x v="4"/>
    <x v="2"/>
    <x v="2"/>
    <n v="1516.14"/>
    <n v="848.21"/>
    <n v="2"/>
    <n v="3032.28"/>
    <n v="1696.42"/>
    <n v="1335.8600000000001"/>
    <n v="0.440546387536771"/>
    <x v="14"/>
  </r>
  <r>
    <d v="2022-02-09T00:00:00"/>
    <x v="2"/>
    <x v="0"/>
    <x v="0"/>
    <n v="769.98"/>
    <n v="631.86"/>
    <n v="4"/>
    <n v="3079.92"/>
    <n v="2527.44"/>
    <n v="552.48"/>
    <n v="0.17938128263071768"/>
    <x v="20"/>
  </r>
  <r>
    <d v="2023-10-24T00:00:00"/>
    <x v="3"/>
    <x v="2"/>
    <x v="2"/>
    <n v="1322.07"/>
    <n v="925.81"/>
    <n v="4"/>
    <n v="5288.28"/>
    <n v="3703.24"/>
    <n v="1585.04"/>
    <n v="0.29972694335398276"/>
    <x v="5"/>
  </r>
  <r>
    <d v="2023-01-13T00:00:00"/>
    <x v="8"/>
    <x v="1"/>
    <x v="2"/>
    <n v="1640.08"/>
    <n v="1203.7"/>
    <n v="2"/>
    <n v="3280.16"/>
    <n v="2407.4"/>
    <n v="872.75999999999976"/>
    <n v="0.26607238671284322"/>
    <x v="13"/>
  </r>
  <r>
    <d v="2023-11-24T00:00:00"/>
    <x v="9"/>
    <x v="3"/>
    <x v="3"/>
    <n v="41.03"/>
    <n v="30.78"/>
    <n v="6"/>
    <n v="246.18"/>
    <n v="184.68"/>
    <n v="61.5"/>
    <n v="0.24981720692176457"/>
    <x v="10"/>
  </r>
  <r>
    <d v="2022-12-22T00:00:00"/>
    <x v="2"/>
    <x v="0"/>
    <x v="3"/>
    <n v="1554.35"/>
    <n v="949.07"/>
    <n v="4"/>
    <n v="6217.4"/>
    <n v="3796.28"/>
    <n v="2421.1199999999994"/>
    <n v="0.38941036446102867"/>
    <x v="33"/>
  </r>
  <r>
    <d v="2022-02-23T00:00:00"/>
    <x v="10"/>
    <x v="2"/>
    <x v="1"/>
    <n v="1166.98"/>
    <n v="696.06"/>
    <n v="5"/>
    <n v="5834.9"/>
    <n v="3480.2999999999997"/>
    <n v="2354.6"/>
    <n v="0.40353733568698691"/>
    <x v="20"/>
  </r>
  <r>
    <d v="2023-02-15T00:00:00"/>
    <x v="1"/>
    <x v="1"/>
    <x v="0"/>
    <n v="1659.74"/>
    <n v="1156.31"/>
    <n v="6"/>
    <n v="9958.44"/>
    <n v="6937.86"/>
    <n v="3020.5800000000008"/>
    <n v="0.30331859206863732"/>
    <x v="27"/>
  </r>
  <r>
    <d v="2024-11-18T00:00:00"/>
    <x v="6"/>
    <x v="3"/>
    <x v="1"/>
    <n v="1501.34"/>
    <n v="824.8"/>
    <n v="10"/>
    <n v="15013.4"/>
    <n v="8248"/>
    <n v="6765.4"/>
    <n v="0.45062410912917794"/>
    <x v="2"/>
  </r>
  <r>
    <d v="2022-05-13T00:00:00"/>
    <x v="5"/>
    <x v="3"/>
    <x v="2"/>
    <n v="36"/>
    <n v="26.07"/>
    <n v="6"/>
    <n v="216"/>
    <n v="156.42000000000002"/>
    <n v="59.579999999999984"/>
    <n v="0.27583333333333326"/>
    <x v="35"/>
  </r>
  <r>
    <d v="2022-11-10T00:00:00"/>
    <x v="0"/>
    <x v="0"/>
    <x v="3"/>
    <n v="620.13"/>
    <n v="362.15"/>
    <n v="5"/>
    <n v="3100.65"/>
    <n v="1810.75"/>
    <n v="1289.9000000000001"/>
    <n v="0.4160095463854353"/>
    <x v="1"/>
  </r>
  <r>
    <d v="2024-02-12T00:00:00"/>
    <x v="3"/>
    <x v="2"/>
    <x v="1"/>
    <n v="1075.49"/>
    <n v="593.32000000000005"/>
    <n v="8"/>
    <n v="8603.92"/>
    <n v="4746.5600000000004"/>
    <n v="3857.3599999999997"/>
    <n v="0.44832587936661422"/>
    <x v="34"/>
  </r>
  <r>
    <d v="2023-02-21T00:00:00"/>
    <x v="3"/>
    <x v="2"/>
    <x v="0"/>
    <n v="467.37"/>
    <n v="401.66"/>
    <n v="4"/>
    <n v="1869.48"/>
    <n v="1606.64"/>
    <n v="262.83999999999992"/>
    <n v="0.14059524573678236"/>
    <x v="27"/>
  </r>
  <r>
    <d v="2022-11-02T00:00:00"/>
    <x v="4"/>
    <x v="2"/>
    <x v="0"/>
    <n v="1182.97"/>
    <n v="1034.69"/>
    <n v="7"/>
    <n v="8280.7900000000009"/>
    <n v="7242.83"/>
    <n v="1037.9600000000009"/>
    <n v="0.12534552862709969"/>
    <x v="1"/>
  </r>
  <r>
    <d v="2024-04-18T00:00:00"/>
    <x v="4"/>
    <x v="2"/>
    <x v="2"/>
    <n v="1366.83"/>
    <n v="1031.07"/>
    <n v="3"/>
    <n v="4100.49"/>
    <n v="3093.21"/>
    <n v="1007.2799999999997"/>
    <n v="0.24564869076622545"/>
    <x v="22"/>
  </r>
  <r>
    <d v="2022-04-10T00:00:00"/>
    <x v="8"/>
    <x v="1"/>
    <x v="0"/>
    <n v="748.69"/>
    <n v="660.06"/>
    <n v="8"/>
    <n v="5989.52"/>
    <n v="5280.48"/>
    <n v="709.04000000000087"/>
    <n v="0.11838010391483805"/>
    <x v="32"/>
  </r>
  <r>
    <d v="2024-11-23T00:00:00"/>
    <x v="6"/>
    <x v="3"/>
    <x v="1"/>
    <n v="654.45000000000005"/>
    <n v="418.41"/>
    <n v="8"/>
    <n v="5235.6000000000004"/>
    <n v="3347.28"/>
    <n v="1888.3200000000002"/>
    <n v="0.36066926426770574"/>
    <x v="2"/>
  </r>
  <r>
    <d v="2024-04-28T00:00:00"/>
    <x v="3"/>
    <x v="2"/>
    <x v="1"/>
    <n v="582.80999999999995"/>
    <n v="418.75"/>
    <n v="5"/>
    <n v="2914.0499999999997"/>
    <n v="2093.75"/>
    <n v="820.29999999999973"/>
    <n v="0.28149825843756965"/>
    <x v="22"/>
  </r>
  <r>
    <d v="2023-08-04T00:00:00"/>
    <x v="8"/>
    <x v="1"/>
    <x v="1"/>
    <n v="1234.3599999999999"/>
    <n v="791.5"/>
    <n v="7"/>
    <n v="8640.5199999999986"/>
    <n v="5540.5"/>
    <n v="3100.0199999999986"/>
    <n v="0.35877701804983947"/>
    <x v="14"/>
  </r>
  <r>
    <d v="2024-08-01T00:00:00"/>
    <x v="10"/>
    <x v="2"/>
    <x v="2"/>
    <n v="503.26"/>
    <n v="367.18"/>
    <n v="3"/>
    <n v="1509.78"/>
    <n v="1101.54"/>
    <n v="408.24"/>
    <n v="0.27039701148511702"/>
    <x v="21"/>
  </r>
  <r>
    <d v="2024-11-01T00:00:00"/>
    <x v="9"/>
    <x v="3"/>
    <x v="1"/>
    <n v="369.86"/>
    <n v="296.70999999999998"/>
    <n v="6"/>
    <n v="2219.16"/>
    <n v="1780.2599999999998"/>
    <n v="438.90000000000009"/>
    <n v="0.19777753744660148"/>
    <x v="2"/>
  </r>
  <r>
    <d v="2023-04-30T00:00:00"/>
    <x v="10"/>
    <x v="2"/>
    <x v="2"/>
    <n v="998.67"/>
    <n v="512.55999999999995"/>
    <n v="2"/>
    <n v="1997.34"/>
    <n v="1025.1199999999999"/>
    <n v="972.22"/>
    <n v="0.48675738732514245"/>
    <x v="6"/>
  </r>
  <r>
    <d v="2023-08-09T00:00:00"/>
    <x v="10"/>
    <x v="2"/>
    <x v="0"/>
    <n v="1671.94"/>
    <n v="1139.5899999999999"/>
    <n v="7"/>
    <n v="11703.58"/>
    <n v="7977.1299999999992"/>
    <n v="3726.4500000000007"/>
    <n v="0.31840257425505708"/>
    <x v="14"/>
  </r>
  <r>
    <d v="2023-12-01T00:00:00"/>
    <x v="0"/>
    <x v="0"/>
    <x v="2"/>
    <n v="1905.18"/>
    <n v="1170.8599999999999"/>
    <n v="1"/>
    <n v="1905.18"/>
    <n v="1170.8599999999999"/>
    <n v="734.32000000000016"/>
    <n v="0.38543339736927751"/>
    <x v="30"/>
  </r>
  <r>
    <d v="2023-10-28T00:00:00"/>
    <x v="9"/>
    <x v="3"/>
    <x v="2"/>
    <n v="1251.8499999999999"/>
    <n v="1043.8399999999999"/>
    <n v="2"/>
    <n v="2503.6999999999998"/>
    <n v="2087.6799999999998"/>
    <n v="416.02"/>
    <n v="0.16616208012142031"/>
    <x v="5"/>
  </r>
  <r>
    <d v="2023-01-12T00:00:00"/>
    <x v="2"/>
    <x v="0"/>
    <x v="0"/>
    <n v="1476.48"/>
    <n v="805.95"/>
    <n v="4"/>
    <n v="5905.92"/>
    <n v="3223.8"/>
    <n v="2682.12"/>
    <n v="0.45414092977893367"/>
    <x v="13"/>
  </r>
  <r>
    <d v="2023-05-14T00:00:00"/>
    <x v="3"/>
    <x v="2"/>
    <x v="2"/>
    <n v="323.56"/>
    <n v="230.42"/>
    <n v="8"/>
    <n v="2588.48"/>
    <n v="1843.36"/>
    <n v="745.12000000000012"/>
    <n v="0.28786005686735078"/>
    <x v="31"/>
  </r>
  <r>
    <d v="2023-01-11T00:00:00"/>
    <x v="1"/>
    <x v="1"/>
    <x v="1"/>
    <n v="646.47"/>
    <n v="334.58"/>
    <n v="7"/>
    <n v="4525.29"/>
    <n v="2342.06"/>
    <n v="2183.23"/>
    <n v="0.48245084845391123"/>
    <x v="13"/>
  </r>
  <r>
    <d v="2024-05-14T00:00:00"/>
    <x v="0"/>
    <x v="0"/>
    <x v="1"/>
    <n v="1041.7"/>
    <n v="919.32"/>
    <n v="5"/>
    <n v="5208.5"/>
    <n v="4596.6000000000004"/>
    <n v="611.89999999999964"/>
    <n v="0.11748104060670052"/>
    <x v="3"/>
  </r>
  <r>
    <d v="2024-03-30T00:00:00"/>
    <x v="4"/>
    <x v="2"/>
    <x v="0"/>
    <n v="1376.42"/>
    <n v="720.42"/>
    <n v="5"/>
    <n v="6882.1"/>
    <n v="3602.1"/>
    <n v="3280.0000000000005"/>
    <n v="0.47659871260225806"/>
    <x v="29"/>
  </r>
  <r>
    <d v="2023-09-26T00:00:00"/>
    <x v="4"/>
    <x v="2"/>
    <x v="3"/>
    <n v="1176.1199999999999"/>
    <n v="841.12"/>
    <n v="9"/>
    <n v="10585.079999999998"/>
    <n v="7570.08"/>
    <n v="3014.9999999999982"/>
    <n v="0.28483488079447661"/>
    <x v="24"/>
  </r>
  <r>
    <d v="2023-07-12T00:00:00"/>
    <x v="2"/>
    <x v="0"/>
    <x v="0"/>
    <n v="24.18"/>
    <n v="14.33"/>
    <n v="8"/>
    <n v="193.44"/>
    <n v="114.64"/>
    <n v="78.8"/>
    <n v="0.40736145574855254"/>
    <x v="11"/>
  </r>
  <r>
    <d v="2022-01-17T00:00:00"/>
    <x v="0"/>
    <x v="0"/>
    <x v="2"/>
    <n v="474.5"/>
    <n v="414.53"/>
    <n v="6"/>
    <n v="2847"/>
    <n v="2487.1799999999998"/>
    <n v="359.82000000000016"/>
    <n v="0.1263856691253952"/>
    <x v="9"/>
  </r>
  <r>
    <d v="2024-03-02T00:00:00"/>
    <x v="2"/>
    <x v="0"/>
    <x v="3"/>
    <n v="1288.21"/>
    <n v="964.97"/>
    <n v="3"/>
    <n v="3864.63"/>
    <n v="2894.91"/>
    <n v="969.72000000000025"/>
    <n v="0.25092182175266459"/>
    <x v="29"/>
  </r>
  <r>
    <d v="2022-02-25T00:00:00"/>
    <x v="9"/>
    <x v="3"/>
    <x v="0"/>
    <n v="229.74"/>
    <n v="197.66"/>
    <n v="10"/>
    <n v="2297.4"/>
    <n v="1976.6"/>
    <n v="320.80000000000018"/>
    <n v="0.13963611038565343"/>
    <x v="20"/>
  </r>
  <r>
    <d v="2022-12-05T00:00:00"/>
    <x v="10"/>
    <x v="2"/>
    <x v="1"/>
    <n v="1561.08"/>
    <n v="1124.4000000000001"/>
    <n v="4"/>
    <n v="6244.32"/>
    <n v="4497.6000000000004"/>
    <n v="1746.7199999999993"/>
    <n v="0.27972941809516477"/>
    <x v="33"/>
  </r>
  <r>
    <d v="2024-09-30T00:00:00"/>
    <x v="2"/>
    <x v="0"/>
    <x v="2"/>
    <n v="1838.73"/>
    <n v="1476.45"/>
    <n v="9"/>
    <n v="16548.57"/>
    <n v="13288.050000000001"/>
    <n v="3260.5199999999986"/>
    <n v="0.1970272960140966"/>
    <x v="16"/>
  </r>
  <r>
    <d v="2022-02-23T00:00:00"/>
    <x v="7"/>
    <x v="0"/>
    <x v="2"/>
    <n v="599.75"/>
    <n v="529.79"/>
    <n v="8"/>
    <n v="4798"/>
    <n v="4238.32"/>
    <n v="559.68000000000029"/>
    <n v="0.11664860358482707"/>
    <x v="20"/>
  </r>
  <r>
    <d v="2023-04-22T00:00:00"/>
    <x v="8"/>
    <x v="1"/>
    <x v="3"/>
    <n v="131.28"/>
    <n v="90.34"/>
    <n v="10"/>
    <n v="1312.8"/>
    <n v="903.40000000000009"/>
    <n v="409.39999999999986"/>
    <n v="0.31185252894576471"/>
    <x v="6"/>
  </r>
  <r>
    <d v="2024-12-18T00:00:00"/>
    <x v="8"/>
    <x v="1"/>
    <x v="1"/>
    <n v="296.66000000000003"/>
    <n v="205.99"/>
    <n v="8"/>
    <n v="2373.2800000000002"/>
    <n v="1647.92"/>
    <n v="725.36000000000013"/>
    <n v="0.30563608170970136"/>
    <x v="23"/>
  </r>
  <r>
    <d v="2022-12-22T00:00:00"/>
    <x v="10"/>
    <x v="2"/>
    <x v="3"/>
    <n v="1687.21"/>
    <n v="1145.6400000000001"/>
    <n v="2"/>
    <n v="3374.42"/>
    <n v="2291.2800000000002"/>
    <n v="1083.1399999999999"/>
    <n v="0.32098553232851862"/>
    <x v="33"/>
  </r>
  <r>
    <d v="2023-09-14T00:00:00"/>
    <x v="5"/>
    <x v="3"/>
    <x v="2"/>
    <n v="1680.97"/>
    <n v="1338.78"/>
    <n v="5"/>
    <n v="8404.85"/>
    <n v="6693.9"/>
    <n v="1710.9500000000007"/>
    <n v="0.20356698810805673"/>
    <x v="24"/>
  </r>
  <r>
    <d v="2023-10-04T00:00:00"/>
    <x v="10"/>
    <x v="2"/>
    <x v="0"/>
    <n v="1145.79"/>
    <n v="813.08"/>
    <n v="2"/>
    <n v="2291.58"/>
    <n v="1626.16"/>
    <n v="665.41999999999985"/>
    <n v="0.29037607240419266"/>
    <x v="5"/>
  </r>
  <r>
    <d v="2022-04-22T00:00:00"/>
    <x v="10"/>
    <x v="2"/>
    <x v="2"/>
    <n v="1758.11"/>
    <n v="1309.08"/>
    <n v="1"/>
    <n v="1758.11"/>
    <n v="1309.08"/>
    <n v="449.03"/>
    <n v="0.25540495190858364"/>
    <x v="32"/>
  </r>
  <r>
    <d v="2022-01-07T00:00:00"/>
    <x v="9"/>
    <x v="3"/>
    <x v="3"/>
    <n v="1490.46"/>
    <n v="961.1"/>
    <n v="9"/>
    <n v="13414.14"/>
    <n v="8649.9"/>
    <n v="4764.24"/>
    <n v="0.35516551936985896"/>
    <x v="9"/>
  </r>
  <r>
    <d v="2023-04-14T00:00:00"/>
    <x v="9"/>
    <x v="3"/>
    <x v="1"/>
    <n v="1922.17"/>
    <n v="1099.51"/>
    <n v="7"/>
    <n v="13455.19"/>
    <n v="7696.57"/>
    <n v="5758.6200000000008"/>
    <n v="0.42798503774380003"/>
    <x v="6"/>
  </r>
  <r>
    <d v="2024-03-05T00:00:00"/>
    <x v="7"/>
    <x v="0"/>
    <x v="1"/>
    <n v="990.64"/>
    <n v="870.85"/>
    <n v="1"/>
    <n v="990.64"/>
    <n v="870.85"/>
    <n v="119.78999999999996"/>
    <n v="0.12092182831300974"/>
    <x v="29"/>
  </r>
  <r>
    <d v="2023-11-25T00:00:00"/>
    <x v="3"/>
    <x v="2"/>
    <x v="2"/>
    <n v="211.27"/>
    <n v="188.33"/>
    <n v="10"/>
    <n v="2112.7000000000003"/>
    <n v="1883.3000000000002"/>
    <n v="229.40000000000009"/>
    <n v="0.10858143607705782"/>
    <x v="10"/>
  </r>
  <r>
    <d v="2024-02-02T00:00:00"/>
    <x v="4"/>
    <x v="2"/>
    <x v="0"/>
    <n v="1600.69"/>
    <n v="1351.16"/>
    <n v="8"/>
    <n v="12805.52"/>
    <n v="10809.28"/>
    <n v="1996.2399999999998"/>
    <n v="0.15588902285889208"/>
    <x v="34"/>
  </r>
  <r>
    <d v="2023-08-12T00:00:00"/>
    <x v="0"/>
    <x v="0"/>
    <x v="1"/>
    <n v="1605.89"/>
    <n v="1012.23"/>
    <n v="10"/>
    <n v="16058.900000000001"/>
    <n v="10122.299999999999"/>
    <n v="5936.6000000000022"/>
    <n v="0.36967662791349354"/>
    <x v="14"/>
  </r>
  <r>
    <d v="2022-05-18T00:00:00"/>
    <x v="2"/>
    <x v="0"/>
    <x v="3"/>
    <n v="480.7"/>
    <n v="282.51"/>
    <n v="2"/>
    <n v="961.4"/>
    <n v="565.02"/>
    <n v="396.38"/>
    <n v="0.41229457041814022"/>
    <x v="35"/>
  </r>
  <r>
    <d v="2022-07-25T00:00:00"/>
    <x v="8"/>
    <x v="1"/>
    <x v="0"/>
    <n v="1011.66"/>
    <n v="753.17"/>
    <n v="1"/>
    <n v="1011.66"/>
    <n v="753.17"/>
    <n v="258.49"/>
    <n v="0.2555107447166044"/>
    <x v="8"/>
  </r>
  <r>
    <d v="2022-01-09T00:00:00"/>
    <x v="10"/>
    <x v="2"/>
    <x v="2"/>
    <n v="28.03"/>
    <n v="19.739999999999998"/>
    <n v="2"/>
    <n v="56.06"/>
    <n v="39.479999999999997"/>
    <n v="16.580000000000005"/>
    <n v="0.29575454869782386"/>
    <x v="9"/>
  </r>
  <r>
    <d v="2023-08-14T00:00:00"/>
    <x v="3"/>
    <x v="2"/>
    <x v="0"/>
    <n v="1008.67"/>
    <n v="591.71"/>
    <n v="8"/>
    <n v="8069.36"/>
    <n v="4733.68"/>
    <n v="3335.6799999999994"/>
    <n v="0.413376029821448"/>
    <x v="14"/>
  </r>
  <r>
    <d v="2024-05-28T00:00:00"/>
    <x v="7"/>
    <x v="0"/>
    <x v="3"/>
    <n v="1306.26"/>
    <n v="925.33"/>
    <n v="2"/>
    <n v="2612.52"/>
    <n v="1850.66"/>
    <n v="761.8599999999999"/>
    <n v="0.29161882014300367"/>
    <x v="3"/>
  </r>
  <r>
    <d v="2023-09-15T00:00:00"/>
    <x v="1"/>
    <x v="1"/>
    <x v="1"/>
    <n v="253.82"/>
    <n v="190.27"/>
    <n v="2"/>
    <n v="507.64"/>
    <n v="380.54"/>
    <n v="127.09999999999997"/>
    <n v="0.25037428098652581"/>
    <x v="24"/>
  </r>
  <r>
    <d v="2024-07-17T00:00:00"/>
    <x v="7"/>
    <x v="0"/>
    <x v="1"/>
    <n v="669.23"/>
    <n v="414.09"/>
    <n v="1"/>
    <n v="669.23"/>
    <n v="414.09"/>
    <n v="255.14000000000004"/>
    <n v="0.38124411637254763"/>
    <x v="28"/>
  </r>
  <r>
    <d v="2023-02-18T00:00:00"/>
    <x v="6"/>
    <x v="3"/>
    <x v="2"/>
    <n v="1054.8900000000001"/>
    <n v="821.88"/>
    <n v="8"/>
    <n v="8439.1200000000008"/>
    <n v="6575.04"/>
    <n v="1864.0800000000008"/>
    <n v="0.22088558996672647"/>
    <x v="27"/>
  </r>
  <r>
    <d v="2023-11-06T00:00:00"/>
    <x v="7"/>
    <x v="0"/>
    <x v="2"/>
    <n v="724.86"/>
    <n v="630.79"/>
    <n v="8"/>
    <n v="5798.88"/>
    <n v="5046.32"/>
    <n v="752.5600000000004"/>
    <n v="0.12977678448252083"/>
    <x v="10"/>
  </r>
  <r>
    <d v="2024-01-31T00:00:00"/>
    <x v="6"/>
    <x v="3"/>
    <x v="3"/>
    <n v="76.599999999999994"/>
    <n v="52.67"/>
    <n v="6"/>
    <n v="459.59999999999997"/>
    <n v="316.02"/>
    <n v="143.57999999999998"/>
    <n v="0.31240208877284592"/>
    <x v="26"/>
  </r>
  <r>
    <d v="2024-04-07T00:00:00"/>
    <x v="4"/>
    <x v="2"/>
    <x v="0"/>
    <n v="887.12"/>
    <n v="642.37"/>
    <n v="9"/>
    <n v="7984.08"/>
    <n v="5781.33"/>
    <n v="2202.75"/>
    <n v="0.27589277662548473"/>
    <x v="22"/>
  </r>
  <r>
    <d v="2023-04-08T00:00:00"/>
    <x v="3"/>
    <x v="2"/>
    <x v="3"/>
    <n v="1530.52"/>
    <n v="1040.6400000000001"/>
    <n v="9"/>
    <n v="13774.68"/>
    <n v="9365.76"/>
    <n v="4408.92"/>
    <n v="0.3200742231398479"/>
    <x v="6"/>
  </r>
  <r>
    <d v="2022-12-13T00:00:00"/>
    <x v="10"/>
    <x v="2"/>
    <x v="2"/>
    <n v="1737.04"/>
    <n v="1114.3699999999999"/>
    <n v="6"/>
    <n v="10422.24"/>
    <n v="6686.2199999999993"/>
    <n v="3736.0200000000004"/>
    <n v="0.35846612628379315"/>
    <x v="33"/>
  </r>
  <r>
    <d v="2023-06-05T00:00:00"/>
    <x v="6"/>
    <x v="3"/>
    <x v="3"/>
    <n v="95.26"/>
    <n v="63.46"/>
    <n v="5"/>
    <n v="476.3"/>
    <n v="317.3"/>
    <n v="159"/>
    <n v="0.33382322065924835"/>
    <x v="0"/>
  </r>
  <r>
    <d v="2023-10-13T00:00:00"/>
    <x v="1"/>
    <x v="1"/>
    <x v="1"/>
    <n v="790.37"/>
    <n v="513.29999999999995"/>
    <n v="4"/>
    <n v="3161.48"/>
    <n v="2053.1999999999998"/>
    <n v="1108.2800000000002"/>
    <n v="0.35055733390690441"/>
    <x v="5"/>
  </r>
  <r>
    <d v="2022-07-02T00:00:00"/>
    <x v="0"/>
    <x v="0"/>
    <x v="3"/>
    <n v="108.36"/>
    <n v="88.17"/>
    <n v="8"/>
    <n v="866.88"/>
    <n v="705.36"/>
    <n v="161.51999999999998"/>
    <n v="0.18632336655592469"/>
    <x v="8"/>
  </r>
  <r>
    <d v="2023-08-23T00:00:00"/>
    <x v="6"/>
    <x v="3"/>
    <x v="2"/>
    <n v="673.89"/>
    <n v="402.92"/>
    <n v="6"/>
    <n v="4043.34"/>
    <n v="2417.52"/>
    <n v="1625.8200000000002"/>
    <n v="0.40209826529552306"/>
    <x v="14"/>
  </r>
  <r>
    <d v="2024-12-14T00:00:00"/>
    <x v="0"/>
    <x v="0"/>
    <x v="0"/>
    <n v="287.62"/>
    <n v="144.69999999999999"/>
    <n v="3"/>
    <n v="862.86"/>
    <n v="434.09999999999997"/>
    <n v="428.76000000000005"/>
    <n v="0.49690563938530008"/>
    <x v="23"/>
  </r>
  <r>
    <d v="2022-07-29T00:00:00"/>
    <x v="4"/>
    <x v="2"/>
    <x v="3"/>
    <n v="1703.56"/>
    <n v="1377.62"/>
    <n v="5"/>
    <n v="8517.7999999999993"/>
    <n v="6888.0999999999995"/>
    <n v="1629.6999999999998"/>
    <n v="0.1913287468595177"/>
    <x v="8"/>
  </r>
  <r>
    <d v="2022-03-27T00:00:00"/>
    <x v="7"/>
    <x v="0"/>
    <x v="1"/>
    <n v="660.75"/>
    <n v="587.88"/>
    <n v="3"/>
    <n v="1982.25"/>
    <n v="1763.6399999999999"/>
    <n v="218.61000000000013"/>
    <n v="0.11028376844494898"/>
    <x v="7"/>
  </r>
  <r>
    <d v="2024-06-22T00:00:00"/>
    <x v="1"/>
    <x v="1"/>
    <x v="2"/>
    <n v="572.75"/>
    <n v="305.81"/>
    <n v="5"/>
    <n v="2863.75"/>
    <n v="1529.05"/>
    <n v="1334.7"/>
    <n v="0.46606721955477959"/>
    <x v="4"/>
  </r>
  <r>
    <d v="2024-07-13T00:00:00"/>
    <x v="5"/>
    <x v="3"/>
    <x v="0"/>
    <n v="1469.54"/>
    <n v="1139.33"/>
    <n v="5"/>
    <n v="7347.7"/>
    <n v="5696.65"/>
    <n v="1651.0500000000002"/>
    <n v="0.22470296827578701"/>
    <x v="28"/>
  </r>
  <r>
    <d v="2023-11-24T00:00:00"/>
    <x v="10"/>
    <x v="2"/>
    <x v="3"/>
    <n v="371.35"/>
    <n v="321.42"/>
    <n v="4"/>
    <n v="1485.4"/>
    <n v="1285.68"/>
    <n v="199.72000000000003"/>
    <n v="0.13445536555809884"/>
    <x v="10"/>
  </r>
  <r>
    <d v="2024-09-26T00:00:00"/>
    <x v="1"/>
    <x v="1"/>
    <x v="0"/>
    <n v="1225.5899999999999"/>
    <n v="926.96"/>
    <n v="3"/>
    <n v="3676.7699999999995"/>
    <n v="2780.88"/>
    <n v="895.88999999999942"/>
    <n v="0.24366223614748803"/>
    <x v="16"/>
  </r>
  <r>
    <d v="2024-08-05T00:00:00"/>
    <x v="4"/>
    <x v="2"/>
    <x v="1"/>
    <n v="640.45000000000005"/>
    <n v="455.39"/>
    <n v="8"/>
    <n v="5123.6000000000004"/>
    <n v="3643.12"/>
    <n v="1480.4800000000005"/>
    <n v="0.2889530798657195"/>
    <x v="21"/>
  </r>
  <r>
    <d v="2024-06-20T00:00:00"/>
    <x v="6"/>
    <x v="3"/>
    <x v="0"/>
    <n v="1950.86"/>
    <n v="1583.78"/>
    <n v="4"/>
    <n v="7803.44"/>
    <n v="6335.12"/>
    <n v="1468.3199999999997"/>
    <n v="0.18816316906389999"/>
    <x v="4"/>
  </r>
  <r>
    <d v="2022-11-25T00:00:00"/>
    <x v="6"/>
    <x v="3"/>
    <x v="1"/>
    <n v="1668.94"/>
    <n v="1009.24"/>
    <n v="6"/>
    <n v="10013.64"/>
    <n v="6055.4400000000005"/>
    <n v="3958.1999999999989"/>
    <n v="0.39528083693841592"/>
    <x v="1"/>
  </r>
  <r>
    <d v="2023-04-07T00:00:00"/>
    <x v="2"/>
    <x v="0"/>
    <x v="2"/>
    <n v="870.56"/>
    <n v="647"/>
    <n v="8"/>
    <n v="6964.48"/>
    <n v="5176"/>
    <n v="1788.4799999999996"/>
    <n v="0.25680022054769341"/>
    <x v="6"/>
  </r>
  <r>
    <d v="2023-04-26T00:00:00"/>
    <x v="9"/>
    <x v="3"/>
    <x v="2"/>
    <n v="1683.06"/>
    <n v="1475.59"/>
    <n v="9"/>
    <n v="15147.539999999999"/>
    <n v="13280.31"/>
    <n v="1867.2299999999996"/>
    <n v="0.12326952099152731"/>
    <x v="6"/>
  </r>
  <r>
    <d v="2022-08-18T00:00:00"/>
    <x v="10"/>
    <x v="2"/>
    <x v="2"/>
    <n v="1833.44"/>
    <n v="1497.04"/>
    <n v="7"/>
    <n v="12834.08"/>
    <n v="10479.279999999999"/>
    <n v="2354.8000000000011"/>
    <n v="0.18348023387730178"/>
    <x v="15"/>
  </r>
  <r>
    <d v="2022-06-01T00:00:00"/>
    <x v="9"/>
    <x v="3"/>
    <x v="3"/>
    <n v="1595.51"/>
    <n v="1228.83"/>
    <n v="7"/>
    <n v="11168.57"/>
    <n v="8601.81"/>
    <n v="2566.7600000000002"/>
    <n v="0.22981993218469332"/>
    <x v="18"/>
  </r>
  <r>
    <d v="2023-11-07T00:00:00"/>
    <x v="2"/>
    <x v="0"/>
    <x v="3"/>
    <n v="1081.94"/>
    <n v="788.28"/>
    <n v="1"/>
    <n v="1081.94"/>
    <n v="788.28"/>
    <n v="293.66000000000008"/>
    <n v="0.27141985692367421"/>
    <x v="10"/>
  </r>
  <r>
    <d v="2022-05-24T00:00:00"/>
    <x v="0"/>
    <x v="0"/>
    <x v="3"/>
    <n v="228.08"/>
    <n v="181.28"/>
    <n v="3"/>
    <n v="684.24"/>
    <n v="543.84"/>
    <n v="140.39999999999998"/>
    <n v="0.20519116099614168"/>
    <x v="35"/>
  </r>
  <r>
    <d v="2023-10-12T00:00:00"/>
    <x v="8"/>
    <x v="1"/>
    <x v="3"/>
    <n v="1395.03"/>
    <n v="1043.8900000000001"/>
    <n v="6"/>
    <n v="8370.18"/>
    <n v="6263.34"/>
    <n v="2106.84"/>
    <n v="0.25170784857673312"/>
    <x v="5"/>
  </r>
  <r>
    <d v="2023-03-16T00:00:00"/>
    <x v="2"/>
    <x v="0"/>
    <x v="1"/>
    <n v="220.24"/>
    <n v="181.23"/>
    <n v="2"/>
    <n v="440.48"/>
    <n v="362.46"/>
    <n v="78.020000000000039"/>
    <n v="0.17712495459498737"/>
    <x v="19"/>
  </r>
  <r>
    <d v="2022-01-29T00:00:00"/>
    <x v="0"/>
    <x v="0"/>
    <x v="3"/>
    <n v="1546.98"/>
    <n v="1034.73"/>
    <n v="10"/>
    <n v="15469.8"/>
    <n v="10347.299999999999"/>
    <n v="5122.5"/>
    <n v="0.33112903851374936"/>
    <x v="9"/>
  </r>
  <r>
    <d v="2022-09-21T00:00:00"/>
    <x v="6"/>
    <x v="3"/>
    <x v="1"/>
    <n v="1726.63"/>
    <n v="1226.56"/>
    <n v="5"/>
    <n v="8633.1500000000015"/>
    <n v="6132.7999999999993"/>
    <n v="2500.3500000000022"/>
    <n v="0.28962198038954517"/>
    <x v="12"/>
  </r>
  <r>
    <d v="2023-04-26T00:00:00"/>
    <x v="9"/>
    <x v="3"/>
    <x v="3"/>
    <n v="1872.24"/>
    <n v="1637.72"/>
    <n v="6"/>
    <n v="11233.44"/>
    <n v="9826.32"/>
    <n v="1407.1200000000008"/>
    <n v="0.12526171858308771"/>
    <x v="6"/>
  </r>
  <r>
    <d v="2023-06-07T00:00:00"/>
    <x v="8"/>
    <x v="1"/>
    <x v="3"/>
    <n v="1430.45"/>
    <n v="1083.67"/>
    <n v="3"/>
    <n v="4291.3500000000004"/>
    <n v="3251.01"/>
    <n v="1040.3400000000001"/>
    <n v="0.24242720822118916"/>
    <x v="0"/>
  </r>
  <r>
    <d v="2023-10-05T00:00:00"/>
    <x v="0"/>
    <x v="0"/>
    <x v="1"/>
    <n v="863.82"/>
    <n v="504.94"/>
    <n v="6"/>
    <n v="5182.92"/>
    <n v="3029.64"/>
    <n v="2153.2800000000002"/>
    <n v="0.41545692389618211"/>
    <x v="5"/>
  </r>
  <r>
    <d v="2022-10-21T00:00:00"/>
    <x v="9"/>
    <x v="3"/>
    <x v="0"/>
    <n v="40.79"/>
    <n v="24.18"/>
    <n v="9"/>
    <n v="367.11"/>
    <n v="217.62"/>
    <n v="149.49"/>
    <n v="0.40720764893356215"/>
    <x v="25"/>
  </r>
  <r>
    <d v="2024-12-12T00:00:00"/>
    <x v="2"/>
    <x v="0"/>
    <x v="3"/>
    <n v="834.6"/>
    <n v="741.94"/>
    <n v="1"/>
    <n v="834.6"/>
    <n v="741.94"/>
    <n v="92.659999999999968"/>
    <n v="0.11102324466810444"/>
    <x v="23"/>
  </r>
  <r>
    <d v="2023-05-03T00:00:00"/>
    <x v="10"/>
    <x v="2"/>
    <x v="2"/>
    <n v="1672.96"/>
    <n v="1106.3800000000001"/>
    <n v="9"/>
    <n v="15056.64"/>
    <n v="9957.4200000000019"/>
    <n v="5099.2199999999975"/>
    <n v="0.33866918515684757"/>
    <x v="31"/>
  </r>
  <r>
    <d v="2022-12-24T00:00:00"/>
    <x v="3"/>
    <x v="2"/>
    <x v="3"/>
    <n v="1928.91"/>
    <n v="1183.69"/>
    <n v="7"/>
    <n v="13502.37"/>
    <n v="8285.83"/>
    <n v="5216.5400000000009"/>
    <n v="0.38634254579010946"/>
    <x v="33"/>
  </r>
  <r>
    <d v="2023-10-16T00:00:00"/>
    <x v="9"/>
    <x v="3"/>
    <x v="1"/>
    <n v="1895.32"/>
    <n v="1645.33"/>
    <n v="3"/>
    <n v="5685.96"/>
    <n v="4935.99"/>
    <n v="749.97000000000025"/>
    <n v="0.13189857121752532"/>
    <x v="5"/>
  </r>
  <r>
    <d v="2023-06-13T00:00:00"/>
    <x v="5"/>
    <x v="3"/>
    <x v="3"/>
    <n v="1971.12"/>
    <n v="1076.1199999999999"/>
    <n v="7"/>
    <n v="13797.84"/>
    <n v="7532.8399999999992"/>
    <n v="6265.0000000000009"/>
    <n v="0.45405657697146806"/>
    <x v="0"/>
  </r>
  <r>
    <d v="2022-10-22T00:00:00"/>
    <x v="10"/>
    <x v="2"/>
    <x v="3"/>
    <n v="1498.56"/>
    <n v="847.61"/>
    <n v="8"/>
    <n v="11988.48"/>
    <n v="6780.88"/>
    <n v="5207.5999999999995"/>
    <n v="0.43438367499466152"/>
    <x v="25"/>
  </r>
  <r>
    <d v="2024-11-09T00:00:00"/>
    <x v="4"/>
    <x v="2"/>
    <x v="0"/>
    <n v="787.7"/>
    <n v="529.76"/>
    <n v="5"/>
    <n v="3938.5"/>
    <n v="2648.8"/>
    <n v="1289.6999999999998"/>
    <n v="0.32745969277643766"/>
    <x v="2"/>
  </r>
  <r>
    <d v="2022-07-12T00:00:00"/>
    <x v="10"/>
    <x v="2"/>
    <x v="1"/>
    <n v="989.34"/>
    <n v="498.9"/>
    <n v="1"/>
    <n v="989.34"/>
    <n v="498.9"/>
    <n v="490.44000000000005"/>
    <n v="0.49572442234216757"/>
    <x v="8"/>
  </r>
  <r>
    <d v="2022-02-08T00:00:00"/>
    <x v="3"/>
    <x v="2"/>
    <x v="2"/>
    <n v="1804.66"/>
    <n v="1143.98"/>
    <n v="4"/>
    <n v="7218.64"/>
    <n v="4575.92"/>
    <n v="2642.7200000000003"/>
    <n v="0.36609666086686693"/>
    <x v="20"/>
  </r>
  <r>
    <d v="2023-01-12T00:00:00"/>
    <x v="6"/>
    <x v="3"/>
    <x v="0"/>
    <n v="176.09"/>
    <n v="145.4"/>
    <n v="6"/>
    <n v="1056.54"/>
    <n v="872.40000000000009"/>
    <n v="184.13999999999987"/>
    <n v="0.17428587654040537"/>
    <x v="13"/>
  </r>
  <r>
    <d v="2023-09-08T00:00:00"/>
    <x v="2"/>
    <x v="0"/>
    <x v="2"/>
    <n v="982.46"/>
    <n v="815.63"/>
    <n v="7"/>
    <n v="6877.22"/>
    <n v="5709.41"/>
    <n v="1167.8100000000004"/>
    <n v="0.16980844003827134"/>
    <x v="24"/>
  </r>
  <r>
    <d v="2022-12-09T00:00:00"/>
    <x v="6"/>
    <x v="3"/>
    <x v="2"/>
    <n v="1535.03"/>
    <n v="1271.44"/>
    <n v="10"/>
    <n v="15350.3"/>
    <n v="12714.400000000001"/>
    <n v="2635.8999999999978"/>
    <n v="0.17171651368377153"/>
    <x v="33"/>
  </r>
  <r>
    <d v="2022-01-31T00:00:00"/>
    <x v="9"/>
    <x v="3"/>
    <x v="3"/>
    <n v="249.26"/>
    <n v="183.82"/>
    <n v="3"/>
    <n v="747.78"/>
    <n v="551.46"/>
    <n v="196.31999999999994"/>
    <n v="0.26253710984514156"/>
    <x v="9"/>
  </r>
  <r>
    <d v="2024-08-27T00:00:00"/>
    <x v="2"/>
    <x v="0"/>
    <x v="2"/>
    <n v="1641.43"/>
    <n v="1301.99"/>
    <n v="9"/>
    <n v="14772.87"/>
    <n v="11717.91"/>
    <n v="3054.9600000000009"/>
    <n v="0.20679529434700236"/>
    <x v="21"/>
  </r>
  <r>
    <d v="2024-06-05T00:00:00"/>
    <x v="6"/>
    <x v="3"/>
    <x v="2"/>
    <n v="1923.3"/>
    <n v="1254.73"/>
    <n v="7"/>
    <n v="13463.1"/>
    <n v="8783.11"/>
    <n v="4679.99"/>
    <n v="0.34761607653512189"/>
    <x v="4"/>
  </r>
  <r>
    <d v="2024-06-22T00:00:00"/>
    <x v="7"/>
    <x v="0"/>
    <x v="1"/>
    <n v="445.09"/>
    <n v="346.71"/>
    <n v="10"/>
    <n v="4450.8999999999996"/>
    <n v="3467.1"/>
    <n v="983.79999999999973"/>
    <n v="0.22103394819025363"/>
    <x v="4"/>
  </r>
  <r>
    <d v="2022-08-30T00:00:00"/>
    <x v="3"/>
    <x v="2"/>
    <x v="0"/>
    <n v="329.69"/>
    <n v="269.77"/>
    <n v="4"/>
    <n v="1318.76"/>
    <n v="1079.08"/>
    <n v="239.68000000000006"/>
    <n v="0.18174648912614885"/>
    <x v="15"/>
  </r>
  <r>
    <d v="2023-12-16T00:00:00"/>
    <x v="8"/>
    <x v="1"/>
    <x v="2"/>
    <n v="112.52"/>
    <n v="90.71"/>
    <n v="1"/>
    <n v="112.52"/>
    <n v="90.71"/>
    <n v="21.810000000000002"/>
    <n v="0.19383220760753647"/>
    <x v="30"/>
  </r>
  <r>
    <d v="2022-02-05T00:00:00"/>
    <x v="9"/>
    <x v="3"/>
    <x v="2"/>
    <n v="1725.32"/>
    <n v="1397.32"/>
    <n v="4"/>
    <n v="6901.28"/>
    <n v="5589.28"/>
    <n v="1312"/>
    <n v="0.19010966081654418"/>
    <x v="20"/>
  </r>
  <r>
    <d v="2022-04-11T00:00:00"/>
    <x v="7"/>
    <x v="0"/>
    <x v="0"/>
    <n v="1195.8399999999999"/>
    <n v="807.03"/>
    <n v="4"/>
    <n v="4783.3599999999997"/>
    <n v="3228.12"/>
    <n v="1555.2399999999998"/>
    <n v="0.32513546962804385"/>
    <x v="32"/>
  </r>
  <r>
    <d v="2022-05-29T00:00:00"/>
    <x v="7"/>
    <x v="0"/>
    <x v="2"/>
    <n v="1028.3599999999999"/>
    <n v="832.99"/>
    <n v="7"/>
    <n v="7198.5199999999995"/>
    <n v="5830.93"/>
    <n v="1367.5899999999992"/>
    <n v="0.18998210743319452"/>
    <x v="35"/>
  </r>
  <r>
    <d v="2023-10-15T00:00:00"/>
    <x v="5"/>
    <x v="3"/>
    <x v="1"/>
    <n v="190.87"/>
    <n v="95.5"/>
    <n v="2"/>
    <n v="381.74"/>
    <n v="191"/>
    <n v="190.74"/>
    <n v="0.49965945407869233"/>
    <x v="5"/>
  </r>
  <r>
    <d v="2023-03-19T00:00:00"/>
    <x v="8"/>
    <x v="1"/>
    <x v="0"/>
    <n v="295.20999999999998"/>
    <n v="246.92"/>
    <n v="2"/>
    <n v="590.41999999999996"/>
    <n v="493.84"/>
    <n v="96.579999999999984"/>
    <n v="0.16357846956403915"/>
    <x v="19"/>
  </r>
  <r>
    <d v="2024-09-18T00:00:00"/>
    <x v="2"/>
    <x v="0"/>
    <x v="1"/>
    <n v="1069.76"/>
    <n v="616.23"/>
    <n v="8"/>
    <n v="8558.08"/>
    <n v="4929.84"/>
    <n v="3628.24"/>
    <n v="0.42395490577325751"/>
    <x v="16"/>
  </r>
  <r>
    <d v="2023-01-11T00:00:00"/>
    <x v="0"/>
    <x v="0"/>
    <x v="2"/>
    <n v="1234.8"/>
    <n v="987.9"/>
    <n v="4"/>
    <n v="4939.2"/>
    <n v="3951.6"/>
    <n v="987.59999999999991"/>
    <n v="0.19995140913508258"/>
    <x v="13"/>
  </r>
  <r>
    <d v="2023-08-08T00:00:00"/>
    <x v="7"/>
    <x v="0"/>
    <x v="0"/>
    <n v="639.42999999999995"/>
    <n v="427.71"/>
    <n v="5"/>
    <n v="3197.1499999999996"/>
    <n v="2138.5499999999997"/>
    <n v="1058.5999999999999"/>
    <n v="0.33110739252146443"/>
    <x v="14"/>
  </r>
  <r>
    <d v="2024-01-07T00:00:00"/>
    <x v="0"/>
    <x v="0"/>
    <x v="1"/>
    <n v="1162.22"/>
    <n v="867"/>
    <n v="3"/>
    <n v="3486.66"/>
    <n v="2601"/>
    <n v="885.65999999999985"/>
    <n v="0.25401387000739961"/>
    <x v="26"/>
  </r>
  <r>
    <d v="2023-03-05T00:00:00"/>
    <x v="9"/>
    <x v="3"/>
    <x v="1"/>
    <n v="490.64"/>
    <n v="312.19"/>
    <n v="3"/>
    <n v="1471.92"/>
    <n v="936.56999999999994"/>
    <n v="535.35000000000014"/>
    <n v="0.36370862546877553"/>
    <x v="19"/>
  </r>
  <r>
    <d v="2022-02-18T00:00:00"/>
    <x v="8"/>
    <x v="1"/>
    <x v="0"/>
    <n v="1222.81"/>
    <n v="932.78"/>
    <n v="3"/>
    <n v="3668.43"/>
    <n v="2798.34"/>
    <n v="870.08999999999969"/>
    <n v="0.23718320916577385"/>
    <x v="20"/>
  </r>
  <r>
    <d v="2022-01-04T00:00:00"/>
    <x v="6"/>
    <x v="3"/>
    <x v="1"/>
    <n v="705.93"/>
    <n v="595.04999999999995"/>
    <n v="3"/>
    <n v="2117.79"/>
    <n v="1785.1499999999999"/>
    <n v="332.6400000000001"/>
    <n v="0.15706939781564749"/>
    <x v="9"/>
  </r>
  <r>
    <d v="2024-10-15T00:00:00"/>
    <x v="10"/>
    <x v="2"/>
    <x v="0"/>
    <n v="283.97000000000003"/>
    <n v="173.98"/>
    <n v="3"/>
    <n v="851.91000000000008"/>
    <n v="521.93999999999994"/>
    <n v="329.97000000000014"/>
    <n v="0.38732964749797527"/>
    <x v="17"/>
  </r>
  <r>
    <d v="2023-08-25T00:00:00"/>
    <x v="5"/>
    <x v="3"/>
    <x v="2"/>
    <n v="1564.42"/>
    <n v="1016.3"/>
    <n v="10"/>
    <n v="15644.2"/>
    <n v="10163"/>
    <n v="5481.2000000000007"/>
    <n v="0.35036626992751313"/>
    <x v="14"/>
  </r>
  <r>
    <d v="2022-02-03T00:00:00"/>
    <x v="0"/>
    <x v="0"/>
    <x v="0"/>
    <n v="1157.67"/>
    <n v="1018.18"/>
    <n v="8"/>
    <n v="9261.36"/>
    <n v="8145.44"/>
    <n v="1115.920000000001"/>
    <n v="0.12049202276987407"/>
    <x v="20"/>
  </r>
  <r>
    <d v="2024-07-18T00:00:00"/>
    <x v="4"/>
    <x v="2"/>
    <x v="1"/>
    <n v="996.2"/>
    <n v="703.82"/>
    <n v="5"/>
    <n v="4981"/>
    <n v="3519.1000000000004"/>
    <n v="1461.8999999999996"/>
    <n v="0.29349528207187303"/>
    <x v="28"/>
  </r>
  <r>
    <d v="2022-01-27T00:00:00"/>
    <x v="3"/>
    <x v="2"/>
    <x v="3"/>
    <n v="1863.08"/>
    <n v="1476.27"/>
    <n v="3"/>
    <n v="5589.24"/>
    <n v="4428.8099999999995"/>
    <n v="1160.4300000000003"/>
    <n v="0.20761856710393548"/>
    <x v="9"/>
  </r>
  <r>
    <d v="2023-01-23T00:00:00"/>
    <x v="2"/>
    <x v="0"/>
    <x v="3"/>
    <n v="1809.68"/>
    <n v="1078.95"/>
    <n v="2"/>
    <n v="3619.36"/>
    <n v="2157.9"/>
    <n v="1461.46"/>
    <n v="0.40378962026435611"/>
    <x v="13"/>
  </r>
  <r>
    <d v="2022-11-07T00:00:00"/>
    <x v="5"/>
    <x v="3"/>
    <x v="1"/>
    <n v="1491.72"/>
    <n v="881.54"/>
    <n v="1"/>
    <n v="1491.72"/>
    <n v="881.54"/>
    <n v="610.18000000000006"/>
    <n v="0.40904459281902772"/>
    <x v="1"/>
  </r>
  <r>
    <d v="2023-10-03T00:00:00"/>
    <x v="2"/>
    <x v="0"/>
    <x v="0"/>
    <n v="73.69"/>
    <n v="44.83"/>
    <n v="8"/>
    <n v="589.52"/>
    <n v="358.64"/>
    <n v="230.88"/>
    <n v="0.39164065680553672"/>
    <x v="5"/>
  </r>
  <r>
    <d v="2023-02-12T00:00:00"/>
    <x v="5"/>
    <x v="3"/>
    <x v="2"/>
    <n v="925.26"/>
    <n v="501.72"/>
    <n v="5"/>
    <n v="4626.3"/>
    <n v="2508.6000000000004"/>
    <n v="2117.6999999999998"/>
    <n v="0.45775241553725432"/>
    <x v="27"/>
  </r>
  <r>
    <d v="2022-04-29T00:00:00"/>
    <x v="10"/>
    <x v="2"/>
    <x v="0"/>
    <n v="223.03"/>
    <n v="189.7"/>
    <n v="3"/>
    <n v="669.09"/>
    <n v="569.09999999999991"/>
    <n v="99.990000000000123"/>
    <n v="0.14944177913285225"/>
    <x v="32"/>
  </r>
  <r>
    <d v="2024-06-01T00:00:00"/>
    <x v="3"/>
    <x v="2"/>
    <x v="0"/>
    <n v="1301.51"/>
    <n v="832.52"/>
    <n v="10"/>
    <n v="13015.1"/>
    <n v="8325.2000000000007"/>
    <n v="4689.8999999999996"/>
    <n v="0.36034298622369398"/>
    <x v="4"/>
  </r>
  <r>
    <d v="2023-05-25T00:00:00"/>
    <x v="8"/>
    <x v="1"/>
    <x v="0"/>
    <n v="1296.04"/>
    <n v="747.07"/>
    <n v="10"/>
    <n v="12960.4"/>
    <n v="7470.7000000000007"/>
    <n v="5489.6999999999989"/>
    <n v="0.42357488966389917"/>
    <x v="31"/>
  </r>
  <r>
    <d v="2022-03-30T00:00:00"/>
    <x v="7"/>
    <x v="0"/>
    <x v="3"/>
    <n v="130.91"/>
    <n v="84.89"/>
    <n v="2"/>
    <n v="261.82"/>
    <n v="169.78"/>
    <n v="92.039999999999992"/>
    <n v="0.35153922542204563"/>
    <x v="7"/>
  </r>
  <r>
    <d v="2024-10-20T00:00:00"/>
    <x v="0"/>
    <x v="0"/>
    <x v="1"/>
    <n v="1476.78"/>
    <n v="1172.7"/>
    <n v="2"/>
    <n v="2953.56"/>
    <n v="2345.4"/>
    <n v="608.15999999999985"/>
    <n v="0.20590744728395557"/>
    <x v="17"/>
  </r>
  <r>
    <d v="2023-08-09T00:00:00"/>
    <x v="8"/>
    <x v="1"/>
    <x v="2"/>
    <n v="1625.4"/>
    <n v="1029.9100000000001"/>
    <n v="2"/>
    <n v="3250.8"/>
    <n v="2059.8200000000002"/>
    <n v="1190.98"/>
    <n v="0.366365202411714"/>
    <x v="14"/>
  </r>
  <r>
    <d v="2022-01-30T00:00:00"/>
    <x v="6"/>
    <x v="3"/>
    <x v="1"/>
    <n v="1909.91"/>
    <n v="1367.49"/>
    <n v="6"/>
    <n v="11459.460000000001"/>
    <n v="8204.94"/>
    <n v="3254.5200000000004"/>
    <n v="0.28400291113193815"/>
    <x v="9"/>
  </r>
  <r>
    <d v="2024-03-10T00:00:00"/>
    <x v="4"/>
    <x v="2"/>
    <x v="0"/>
    <n v="1424.83"/>
    <n v="914.34"/>
    <n v="10"/>
    <n v="14248.3"/>
    <n v="9143.4"/>
    <n v="5104.8999999999996"/>
    <n v="0.3582813388263863"/>
    <x v="29"/>
  </r>
  <r>
    <d v="2022-02-03T00:00:00"/>
    <x v="0"/>
    <x v="0"/>
    <x v="3"/>
    <n v="910.35"/>
    <n v="646.20000000000005"/>
    <n v="1"/>
    <n v="910.35"/>
    <n v="646.20000000000005"/>
    <n v="264.14999999999998"/>
    <n v="0.29016312407315864"/>
    <x v="20"/>
  </r>
  <r>
    <d v="2023-11-04T00:00:00"/>
    <x v="3"/>
    <x v="2"/>
    <x v="3"/>
    <n v="590.64"/>
    <n v="327.42"/>
    <n v="4"/>
    <n v="2362.56"/>
    <n v="1309.68"/>
    <n v="1052.8799999999999"/>
    <n v="0.44565217391304346"/>
    <x v="10"/>
  </r>
  <r>
    <d v="2022-04-20T00:00:00"/>
    <x v="6"/>
    <x v="3"/>
    <x v="1"/>
    <n v="1645.96"/>
    <n v="1142.53"/>
    <n v="10"/>
    <n v="16459.599999999999"/>
    <n v="11425.3"/>
    <n v="5034.2999999999993"/>
    <n v="0.30585797953777732"/>
    <x v="32"/>
  </r>
  <r>
    <d v="2023-02-18T00:00:00"/>
    <x v="0"/>
    <x v="0"/>
    <x v="0"/>
    <n v="543.36"/>
    <n v="298.69"/>
    <n v="7"/>
    <n v="3803.52"/>
    <n v="2090.83"/>
    <n v="1712.69"/>
    <n v="0.45029078327444055"/>
    <x v="27"/>
  </r>
  <r>
    <d v="2024-02-03T00:00:00"/>
    <x v="2"/>
    <x v="0"/>
    <x v="3"/>
    <n v="910.44"/>
    <n v="803.83"/>
    <n v="6"/>
    <n v="5462.64"/>
    <n v="4822.9800000000005"/>
    <n v="639.65999999999985"/>
    <n v="0.11709722771407229"/>
    <x v="34"/>
  </r>
  <r>
    <d v="2023-03-27T00:00:00"/>
    <x v="1"/>
    <x v="1"/>
    <x v="0"/>
    <n v="699.54"/>
    <n v="431.9"/>
    <n v="1"/>
    <n v="699.54"/>
    <n v="431.9"/>
    <n v="267.64"/>
    <n v="0.38259427623867115"/>
    <x v="19"/>
  </r>
  <r>
    <d v="2022-01-27T00:00:00"/>
    <x v="0"/>
    <x v="0"/>
    <x v="0"/>
    <n v="899.04"/>
    <n v="602.67999999999995"/>
    <n v="1"/>
    <n v="899.04"/>
    <n v="602.67999999999995"/>
    <n v="296.36"/>
    <n v="0.32964050542801215"/>
    <x v="9"/>
  </r>
  <r>
    <d v="2022-01-15T00:00:00"/>
    <x v="3"/>
    <x v="2"/>
    <x v="2"/>
    <n v="1967.6"/>
    <n v="1703.99"/>
    <n v="10"/>
    <n v="19676"/>
    <n v="17039.900000000001"/>
    <n v="2636.0999999999985"/>
    <n v="0.13397540150437073"/>
    <x v="9"/>
  </r>
  <r>
    <d v="2022-12-13T00:00:00"/>
    <x v="2"/>
    <x v="0"/>
    <x v="2"/>
    <n v="1494.1"/>
    <n v="1098.3399999999999"/>
    <n v="6"/>
    <n v="8964.5999999999985"/>
    <n v="6590.0399999999991"/>
    <n v="2374.5599999999995"/>
    <n v="0.2648818686834884"/>
    <x v="33"/>
  </r>
  <r>
    <d v="2022-12-05T00:00:00"/>
    <x v="3"/>
    <x v="2"/>
    <x v="1"/>
    <n v="1080.3900000000001"/>
    <n v="970.78"/>
    <n v="7"/>
    <n v="7562.7300000000005"/>
    <n v="6795.46"/>
    <n v="767.27000000000044"/>
    <n v="0.10145410453632489"/>
    <x v="33"/>
  </r>
  <r>
    <d v="2022-01-10T00:00:00"/>
    <x v="0"/>
    <x v="0"/>
    <x v="3"/>
    <n v="66.58"/>
    <n v="34.729999999999997"/>
    <n v="4"/>
    <n v="266.32"/>
    <n v="138.91999999999999"/>
    <n v="127.4"/>
    <n v="0.47837188344848308"/>
    <x v="9"/>
  </r>
  <r>
    <d v="2022-11-29T00:00:00"/>
    <x v="5"/>
    <x v="3"/>
    <x v="2"/>
    <n v="1578.35"/>
    <n v="1122.3499999999999"/>
    <n v="5"/>
    <n v="7891.75"/>
    <n v="5611.75"/>
    <n v="2280"/>
    <n v="0.28890930402002091"/>
    <x v="1"/>
  </r>
  <r>
    <d v="2024-05-17T00:00:00"/>
    <x v="3"/>
    <x v="2"/>
    <x v="0"/>
    <n v="785.25"/>
    <n v="449.38"/>
    <n v="2"/>
    <n v="1570.5"/>
    <n v="898.76"/>
    <n v="671.74"/>
    <n v="0.42772365488697867"/>
    <x v="3"/>
  </r>
  <r>
    <d v="2023-07-07T00:00:00"/>
    <x v="6"/>
    <x v="3"/>
    <x v="2"/>
    <n v="1865.2"/>
    <n v="1124.99"/>
    <n v="2"/>
    <n v="3730.4"/>
    <n v="2249.98"/>
    <n v="1480.42"/>
    <n v="0.39685288440917865"/>
    <x v="11"/>
  </r>
  <r>
    <d v="2023-11-29T00:00:00"/>
    <x v="0"/>
    <x v="0"/>
    <x v="3"/>
    <n v="353.09"/>
    <n v="317.26"/>
    <n v="7"/>
    <n v="2471.6299999999997"/>
    <n v="2220.8199999999997"/>
    <n v="250.80999999999995"/>
    <n v="0.10147554447874479"/>
    <x v="10"/>
  </r>
  <r>
    <d v="2024-09-13T00:00:00"/>
    <x v="9"/>
    <x v="3"/>
    <x v="3"/>
    <n v="327.51"/>
    <n v="259.06"/>
    <n v="5"/>
    <n v="1637.55"/>
    <n v="1295.3"/>
    <n v="342.25"/>
    <n v="0.20900125187017191"/>
    <x v="16"/>
  </r>
  <r>
    <d v="2023-09-26T00:00:00"/>
    <x v="2"/>
    <x v="0"/>
    <x v="1"/>
    <n v="1657.13"/>
    <n v="1115.04"/>
    <n v="6"/>
    <n v="9942.7800000000007"/>
    <n v="6690.24"/>
    <n v="3252.5400000000009"/>
    <n v="0.32712581390717693"/>
    <x v="24"/>
  </r>
  <r>
    <d v="2024-03-13T00:00:00"/>
    <x v="9"/>
    <x v="3"/>
    <x v="2"/>
    <n v="1572.27"/>
    <n v="1341.18"/>
    <n v="8"/>
    <n v="12578.16"/>
    <n v="10729.44"/>
    <n v="1848.7199999999993"/>
    <n v="0.146978572382606"/>
    <x v="29"/>
  </r>
  <r>
    <d v="2024-04-09T00:00:00"/>
    <x v="7"/>
    <x v="0"/>
    <x v="3"/>
    <n v="1047.72"/>
    <n v="539.55999999999995"/>
    <n v="6"/>
    <n v="6286.32"/>
    <n v="3237.3599999999997"/>
    <n v="3048.96"/>
    <n v="0.48501508036498303"/>
    <x v="22"/>
  </r>
  <r>
    <d v="2022-07-04T00:00:00"/>
    <x v="2"/>
    <x v="0"/>
    <x v="0"/>
    <n v="939.83"/>
    <n v="740.91"/>
    <n v="1"/>
    <n v="939.83"/>
    <n v="740.91"/>
    <n v="198.92000000000007"/>
    <n v="0.21165529936265076"/>
    <x v="8"/>
  </r>
  <r>
    <d v="2023-03-23T00:00:00"/>
    <x v="9"/>
    <x v="3"/>
    <x v="3"/>
    <n v="72.48"/>
    <n v="64.540000000000006"/>
    <n v="2"/>
    <n v="144.96"/>
    <n v="129.08000000000001"/>
    <n v="15.879999999999995"/>
    <n v="0.10954746136865338"/>
    <x v="19"/>
  </r>
  <r>
    <d v="2023-02-28T00:00:00"/>
    <x v="3"/>
    <x v="2"/>
    <x v="2"/>
    <n v="430.27"/>
    <n v="282.62"/>
    <n v="5"/>
    <n v="2151.35"/>
    <n v="1413.1"/>
    <n v="738.25"/>
    <n v="0.34315662258581819"/>
    <x v="27"/>
  </r>
  <r>
    <d v="2024-01-12T00:00:00"/>
    <x v="6"/>
    <x v="3"/>
    <x v="2"/>
    <n v="1922.4"/>
    <n v="1709.52"/>
    <n v="7"/>
    <n v="13456.800000000001"/>
    <n v="11966.64"/>
    <n v="1490.1600000000017"/>
    <n v="0.11073657927590523"/>
    <x v="26"/>
  </r>
  <r>
    <d v="2022-03-16T00:00:00"/>
    <x v="0"/>
    <x v="0"/>
    <x v="1"/>
    <n v="1250"/>
    <n v="801.6"/>
    <n v="8"/>
    <n v="10000"/>
    <n v="6412.8"/>
    <n v="3587.2"/>
    <n v="0.35871999999999998"/>
    <x v="7"/>
  </r>
  <r>
    <d v="2022-04-23T00:00:00"/>
    <x v="2"/>
    <x v="0"/>
    <x v="2"/>
    <n v="1852"/>
    <n v="1189.29"/>
    <n v="5"/>
    <n v="9260"/>
    <n v="5946.45"/>
    <n v="3313.55"/>
    <n v="0.35783477321814255"/>
    <x v="32"/>
  </r>
  <r>
    <d v="2024-01-24T00:00:00"/>
    <x v="2"/>
    <x v="0"/>
    <x v="0"/>
    <n v="1208.06"/>
    <n v="614.9"/>
    <n v="10"/>
    <n v="12080.599999999999"/>
    <n v="6149"/>
    <n v="5931.5999999999985"/>
    <n v="0.49100210254457555"/>
    <x v="26"/>
  </r>
  <r>
    <d v="2024-07-05T00:00:00"/>
    <x v="4"/>
    <x v="2"/>
    <x v="1"/>
    <n v="401.54"/>
    <n v="217.35"/>
    <n v="2"/>
    <n v="803.08"/>
    <n v="434.7"/>
    <n v="368.38000000000005"/>
    <n v="0.45870897046371473"/>
    <x v="28"/>
  </r>
  <r>
    <d v="2022-11-21T00:00:00"/>
    <x v="8"/>
    <x v="1"/>
    <x v="2"/>
    <n v="194.24"/>
    <n v="152.05000000000001"/>
    <n v="9"/>
    <n v="1748.16"/>
    <n v="1368.45"/>
    <n v="379.71000000000004"/>
    <n v="0.21720551894563428"/>
    <x v="1"/>
  </r>
  <r>
    <d v="2023-04-20T00:00:00"/>
    <x v="9"/>
    <x v="3"/>
    <x v="2"/>
    <n v="1525.28"/>
    <n v="885.33"/>
    <n v="8"/>
    <n v="12202.24"/>
    <n v="7082.64"/>
    <n v="5119.5999999999995"/>
    <n v="0.41956230987097448"/>
    <x v="6"/>
  </r>
  <r>
    <d v="2022-05-11T00:00:00"/>
    <x v="10"/>
    <x v="2"/>
    <x v="3"/>
    <n v="513.36"/>
    <n v="441.97"/>
    <n v="4"/>
    <n v="2053.44"/>
    <n v="1767.88"/>
    <n v="285.55999999999995"/>
    <n v="0.13906420445691131"/>
    <x v="35"/>
  </r>
  <r>
    <d v="2024-05-30T00:00:00"/>
    <x v="0"/>
    <x v="0"/>
    <x v="3"/>
    <n v="1363.37"/>
    <n v="773.41"/>
    <n v="1"/>
    <n v="1363.37"/>
    <n v="773.41"/>
    <n v="589.95999999999992"/>
    <n v="0.43272185833632831"/>
    <x v="3"/>
  </r>
  <r>
    <d v="2022-09-23T00:00:00"/>
    <x v="3"/>
    <x v="2"/>
    <x v="1"/>
    <n v="250.98"/>
    <n v="168.86"/>
    <n v="2"/>
    <n v="501.96"/>
    <n v="337.72"/>
    <n v="164.23999999999995"/>
    <n v="0.32719738624591593"/>
    <x v="12"/>
  </r>
  <r>
    <d v="2022-03-15T00:00:00"/>
    <x v="4"/>
    <x v="2"/>
    <x v="0"/>
    <n v="1980.89"/>
    <n v="1581.53"/>
    <n v="1"/>
    <n v="1980.89"/>
    <n v="1581.53"/>
    <n v="399.36000000000013"/>
    <n v="0.20160634866146029"/>
    <x v="7"/>
  </r>
  <r>
    <d v="2023-02-09T00:00:00"/>
    <x v="1"/>
    <x v="1"/>
    <x v="1"/>
    <n v="1798.33"/>
    <n v="1266.73"/>
    <n v="2"/>
    <n v="3596.66"/>
    <n v="2533.46"/>
    <n v="1063.1999999999998"/>
    <n v="0.29560759148765797"/>
    <x v="27"/>
  </r>
  <r>
    <d v="2024-02-29T00:00:00"/>
    <x v="8"/>
    <x v="1"/>
    <x v="3"/>
    <n v="1027.97"/>
    <n v="597.1"/>
    <n v="5"/>
    <n v="5139.8500000000004"/>
    <n v="2985.5"/>
    <n v="2154.3500000000004"/>
    <n v="0.41914647314610354"/>
    <x v="34"/>
  </r>
  <r>
    <d v="2024-02-16T00:00:00"/>
    <x v="10"/>
    <x v="2"/>
    <x v="1"/>
    <n v="1568.43"/>
    <n v="1191.48"/>
    <n v="4"/>
    <n v="6273.72"/>
    <n v="4765.92"/>
    <n v="1507.8000000000002"/>
    <n v="0.24033587727855246"/>
    <x v="34"/>
  </r>
  <r>
    <d v="2024-08-24T00:00:00"/>
    <x v="1"/>
    <x v="1"/>
    <x v="3"/>
    <n v="1299.76"/>
    <n v="1091.8699999999999"/>
    <n v="1"/>
    <n v="1299.76"/>
    <n v="1091.8699999999999"/>
    <n v="207.8900000000001"/>
    <n v="0.1599449129069983"/>
    <x v="21"/>
  </r>
  <r>
    <d v="2023-03-18T00:00:00"/>
    <x v="10"/>
    <x v="2"/>
    <x v="1"/>
    <n v="1201.08"/>
    <n v="985.91"/>
    <n v="4"/>
    <n v="4804.32"/>
    <n v="3943.64"/>
    <n v="860.67999999999984"/>
    <n v="0.17914710094248507"/>
    <x v="19"/>
  </r>
  <r>
    <d v="2024-01-28T00:00:00"/>
    <x v="6"/>
    <x v="3"/>
    <x v="0"/>
    <n v="1263.1400000000001"/>
    <n v="922.28"/>
    <n v="5"/>
    <n v="6315.7000000000007"/>
    <n v="4611.3999999999996"/>
    <n v="1704.3000000000011"/>
    <n v="0.26985132289374114"/>
    <x v="26"/>
  </r>
  <r>
    <d v="2024-09-08T00:00:00"/>
    <x v="0"/>
    <x v="0"/>
    <x v="2"/>
    <n v="1764.07"/>
    <n v="1472.3"/>
    <n v="3"/>
    <n v="5292.21"/>
    <n v="4416.8999999999996"/>
    <n v="875.3100000000004"/>
    <n v="0.16539593100047056"/>
    <x v="16"/>
  </r>
  <r>
    <d v="2023-06-01T00:00:00"/>
    <x v="5"/>
    <x v="3"/>
    <x v="1"/>
    <n v="877.86"/>
    <n v="623.57000000000005"/>
    <n v="9"/>
    <n v="7900.74"/>
    <n v="5612.13"/>
    <n v="2288.6099999999997"/>
    <n v="0.28967033467751119"/>
    <x v="0"/>
  </r>
  <r>
    <d v="2022-10-30T00:00:00"/>
    <x v="6"/>
    <x v="3"/>
    <x v="0"/>
    <n v="1719.61"/>
    <n v="970.7"/>
    <n v="6"/>
    <n v="10317.66"/>
    <n v="5824.2000000000007"/>
    <n v="4493.4599999999991"/>
    <n v="0.43551154040741791"/>
    <x v="25"/>
  </r>
  <r>
    <d v="2022-06-01T00:00:00"/>
    <x v="2"/>
    <x v="0"/>
    <x v="1"/>
    <n v="1776.83"/>
    <n v="1391.93"/>
    <n v="10"/>
    <n v="17768.3"/>
    <n v="13919.300000000001"/>
    <n v="3848.9999999999982"/>
    <n v="0.21662173646325189"/>
    <x v="18"/>
  </r>
  <r>
    <d v="2024-04-30T00:00:00"/>
    <x v="10"/>
    <x v="2"/>
    <x v="3"/>
    <n v="100.8"/>
    <n v="76.41"/>
    <n v="9"/>
    <n v="907.19999999999993"/>
    <n v="687.68999999999994"/>
    <n v="219.51"/>
    <n v="0.24196428571428572"/>
    <x v="22"/>
  </r>
  <r>
    <d v="2022-08-11T00:00:00"/>
    <x v="4"/>
    <x v="2"/>
    <x v="0"/>
    <n v="373.14"/>
    <n v="262.64999999999998"/>
    <n v="6"/>
    <n v="2238.84"/>
    <n v="1575.8999999999999"/>
    <n v="662.94000000000028"/>
    <n v="0.29610869914777305"/>
    <x v="15"/>
  </r>
  <r>
    <d v="2024-11-21T00:00:00"/>
    <x v="1"/>
    <x v="1"/>
    <x v="2"/>
    <n v="1183.81"/>
    <n v="810.91"/>
    <n v="7"/>
    <n v="8286.67"/>
    <n v="5676.37"/>
    <n v="2610.3000000000002"/>
    <n v="0.31499987329047735"/>
    <x v="2"/>
  </r>
  <r>
    <d v="2022-06-26T00:00:00"/>
    <x v="4"/>
    <x v="2"/>
    <x v="1"/>
    <n v="292.02"/>
    <n v="209.53"/>
    <n v="4"/>
    <n v="1168.08"/>
    <n v="838.12"/>
    <n v="329.95999999999992"/>
    <n v="0.28248065201013622"/>
    <x v="18"/>
  </r>
  <r>
    <d v="2023-02-07T00:00:00"/>
    <x v="8"/>
    <x v="1"/>
    <x v="1"/>
    <n v="505.07"/>
    <n v="399.03"/>
    <n v="1"/>
    <n v="505.07"/>
    <n v="399.03"/>
    <n v="106.04000000000002"/>
    <n v="0.20995109588769878"/>
    <x v="27"/>
  </r>
  <r>
    <d v="2022-07-11T00:00:00"/>
    <x v="4"/>
    <x v="2"/>
    <x v="1"/>
    <n v="200.94"/>
    <n v="146.13999999999999"/>
    <n v="3"/>
    <n v="602.81999999999994"/>
    <n v="438.41999999999996"/>
    <n v="164.39999999999998"/>
    <n v="0.2727182243455758"/>
    <x v="8"/>
  </r>
  <r>
    <d v="2022-06-08T00:00:00"/>
    <x v="9"/>
    <x v="3"/>
    <x v="0"/>
    <n v="1055.6600000000001"/>
    <n v="586.95000000000005"/>
    <n v="8"/>
    <n v="8445.2800000000007"/>
    <n v="4695.6000000000004"/>
    <n v="3749.6800000000003"/>
    <n v="0.44399712028494021"/>
    <x v="18"/>
  </r>
  <r>
    <d v="2022-01-24T00:00:00"/>
    <x v="5"/>
    <x v="3"/>
    <x v="2"/>
    <n v="620.29"/>
    <n v="429.91"/>
    <n v="2"/>
    <n v="1240.58"/>
    <n v="859.82"/>
    <n v="380.75999999999988"/>
    <n v="0.30692095632687927"/>
    <x v="9"/>
  </r>
  <r>
    <d v="2022-09-02T00:00:00"/>
    <x v="7"/>
    <x v="0"/>
    <x v="2"/>
    <n v="1919.91"/>
    <n v="1500.24"/>
    <n v="5"/>
    <n v="9599.5500000000011"/>
    <n v="7501.2"/>
    <n v="2098.3500000000013"/>
    <n v="0.21858837132990619"/>
    <x v="12"/>
  </r>
  <r>
    <d v="2022-10-13T00:00:00"/>
    <x v="3"/>
    <x v="2"/>
    <x v="3"/>
    <n v="125.19"/>
    <n v="84.07"/>
    <n v="2"/>
    <n v="250.38"/>
    <n v="168.14"/>
    <n v="82.240000000000009"/>
    <n v="0.328460739675693"/>
    <x v="25"/>
  </r>
  <r>
    <d v="2024-10-11T00:00:00"/>
    <x v="8"/>
    <x v="1"/>
    <x v="0"/>
    <n v="1272.28"/>
    <n v="765.35"/>
    <n v="2"/>
    <n v="2544.56"/>
    <n v="1530.7"/>
    <n v="1013.8599999999999"/>
    <n v="0.39844216681862482"/>
    <x v="17"/>
  </r>
  <r>
    <d v="2024-03-03T00:00:00"/>
    <x v="3"/>
    <x v="2"/>
    <x v="0"/>
    <n v="1376.36"/>
    <n v="747.01"/>
    <n v="3"/>
    <n v="4129.08"/>
    <n v="2241.0299999999997"/>
    <n v="1888.0500000000002"/>
    <n v="0.4572568223429917"/>
    <x v="29"/>
  </r>
  <r>
    <d v="2022-07-19T00:00:00"/>
    <x v="9"/>
    <x v="3"/>
    <x v="0"/>
    <n v="648.92999999999995"/>
    <n v="528.6"/>
    <n v="6"/>
    <n v="3893.58"/>
    <n v="3171.6000000000004"/>
    <n v="721.97999999999956"/>
    <n v="0.18542832046599778"/>
    <x v="8"/>
  </r>
  <r>
    <d v="2024-09-18T00:00:00"/>
    <x v="5"/>
    <x v="3"/>
    <x v="3"/>
    <n v="1581.08"/>
    <n v="1199.71"/>
    <n v="6"/>
    <n v="9486.48"/>
    <n v="7198.26"/>
    <n v="2288.2199999999993"/>
    <n v="0.24120854099729294"/>
    <x v="16"/>
  </r>
  <r>
    <d v="2024-11-02T00:00:00"/>
    <x v="9"/>
    <x v="3"/>
    <x v="1"/>
    <n v="1910.82"/>
    <n v="983.86"/>
    <n v="7"/>
    <n v="13375.74"/>
    <n v="6887.02"/>
    <n v="6488.7199999999993"/>
    <n v="0.48511110413330399"/>
    <x v="2"/>
  </r>
  <r>
    <d v="2023-10-14T00:00:00"/>
    <x v="3"/>
    <x v="2"/>
    <x v="2"/>
    <n v="999.75"/>
    <n v="639.63"/>
    <n v="10"/>
    <n v="9997.5"/>
    <n v="6396.3"/>
    <n v="3601.2"/>
    <n v="0.36021005251312826"/>
    <x v="5"/>
  </r>
  <r>
    <d v="2024-12-21T00:00:00"/>
    <x v="1"/>
    <x v="1"/>
    <x v="3"/>
    <n v="811.67"/>
    <n v="670.38"/>
    <n v="7"/>
    <n v="5681.69"/>
    <n v="4692.66"/>
    <n v="989.02999999999975"/>
    <n v="0.17407320709155194"/>
    <x v="23"/>
  </r>
  <r>
    <d v="2024-04-10T00:00:00"/>
    <x v="4"/>
    <x v="2"/>
    <x v="1"/>
    <n v="1751.2"/>
    <n v="1004.01"/>
    <n v="3"/>
    <n v="5253.6"/>
    <n v="3012.0299999999997"/>
    <n v="2241.5700000000006"/>
    <n v="0.42667313841936966"/>
    <x v="22"/>
  </r>
  <r>
    <d v="2022-06-08T00:00:00"/>
    <x v="6"/>
    <x v="3"/>
    <x v="0"/>
    <n v="1586.43"/>
    <n v="848.82"/>
    <n v="9"/>
    <n v="14277.87"/>
    <n v="7639.38"/>
    <n v="6638.4900000000007"/>
    <n v="0.4649496038274617"/>
    <x v="18"/>
  </r>
  <r>
    <d v="2024-01-13T00:00:00"/>
    <x v="0"/>
    <x v="0"/>
    <x v="1"/>
    <n v="795.83"/>
    <n v="707.84"/>
    <n v="7"/>
    <n v="5570.81"/>
    <n v="4954.88"/>
    <n v="615.93000000000029"/>
    <n v="0.11056381387984876"/>
    <x v="26"/>
  </r>
  <r>
    <d v="2023-11-12T00:00:00"/>
    <x v="5"/>
    <x v="3"/>
    <x v="0"/>
    <n v="588.55999999999995"/>
    <n v="460.34"/>
    <n v="10"/>
    <n v="5885.5999999999995"/>
    <n v="4603.3999999999996"/>
    <n v="1282.1999999999998"/>
    <n v="0.21785374473290742"/>
    <x v="10"/>
  </r>
  <r>
    <d v="2022-03-07T00:00:00"/>
    <x v="2"/>
    <x v="0"/>
    <x v="3"/>
    <n v="1033.74"/>
    <n v="545.76"/>
    <n v="2"/>
    <n v="2067.48"/>
    <n v="1091.52"/>
    <n v="975.96"/>
    <n v="0.47205293400661674"/>
    <x v="7"/>
  </r>
  <r>
    <d v="2024-05-03T00:00:00"/>
    <x v="1"/>
    <x v="1"/>
    <x v="0"/>
    <n v="1325.4"/>
    <n v="1103.7"/>
    <n v="1"/>
    <n v="1325.4"/>
    <n v="1103.7"/>
    <n v="221.70000000000005"/>
    <n v="0.16727025803531012"/>
    <x v="3"/>
  </r>
  <r>
    <d v="2023-06-07T00:00:00"/>
    <x v="1"/>
    <x v="1"/>
    <x v="2"/>
    <n v="731.06"/>
    <n v="611.14"/>
    <n v="2"/>
    <n v="1462.12"/>
    <n v="1222.28"/>
    <n v="239.83999999999992"/>
    <n v="0.16403578365660818"/>
    <x v="0"/>
  </r>
  <r>
    <d v="2024-12-03T00:00:00"/>
    <x v="0"/>
    <x v="0"/>
    <x v="1"/>
    <n v="534.1"/>
    <n v="478.24"/>
    <n v="3"/>
    <n v="1602.3000000000002"/>
    <n v="1434.72"/>
    <n v="167.58000000000015"/>
    <n v="0.10458715596330284"/>
    <x v="23"/>
  </r>
  <r>
    <d v="2023-04-13T00:00:00"/>
    <x v="7"/>
    <x v="0"/>
    <x v="0"/>
    <n v="220.67"/>
    <n v="156.79"/>
    <n v="2"/>
    <n v="441.34"/>
    <n v="313.58"/>
    <n v="127.75999999999999"/>
    <n v="0.28948203199347444"/>
    <x v="6"/>
  </r>
  <r>
    <d v="2022-09-02T00:00:00"/>
    <x v="8"/>
    <x v="1"/>
    <x v="0"/>
    <n v="747.26"/>
    <n v="404.16"/>
    <n v="10"/>
    <n v="7472.6"/>
    <n v="4041.6000000000004"/>
    <n v="3431"/>
    <n v="0.45914407301340898"/>
    <x v="12"/>
  </r>
  <r>
    <d v="2024-07-13T00:00:00"/>
    <x v="1"/>
    <x v="1"/>
    <x v="0"/>
    <n v="1784.13"/>
    <n v="1242.8"/>
    <n v="3"/>
    <n v="5352.39"/>
    <n v="3728.3999999999996"/>
    <n v="1623.9900000000007"/>
    <n v="0.30341398889094418"/>
    <x v="28"/>
  </r>
  <r>
    <d v="2022-01-02T00:00:00"/>
    <x v="7"/>
    <x v="0"/>
    <x v="1"/>
    <n v="1724.56"/>
    <n v="1230.97"/>
    <n v="6"/>
    <n v="10347.36"/>
    <n v="7385.82"/>
    <n v="2961.5400000000009"/>
    <n v="0.28621213526928613"/>
    <x v="9"/>
  </r>
  <r>
    <d v="2022-05-20T00:00:00"/>
    <x v="8"/>
    <x v="1"/>
    <x v="3"/>
    <n v="1802.3"/>
    <n v="1195.3900000000001"/>
    <n v="5"/>
    <n v="9011.5"/>
    <n v="5976.9500000000007"/>
    <n v="3034.5499999999993"/>
    <n v="0.33674194085335396"/>
    <x v="35"/>
  </r>
  <r>
    <d v="2024-12-11T00:00:00"/>
    <x v="0"/>
    <x v="0"/>
    <x v="3"/>
    <n v="1266.9100000000001"/>
    <n v="691.71"/>
    <n v="7"/>
    <n v="8868.3700000000008"/>
    <n v="4841.97"/>
    <n v="4026.4000000000005"/>
    <n v="0.45401804390209249"/>
    <x v="23"/>
  </r>
  <r>
    <d v="2023-11-30T00:00:00"/>
    <x v="4"/>
    <x v="2"/>
    <x v="2"/>
    <n v="1814.87"/>
    <n v="1241.6400000000001"/>
    <n v="7"/>
    <n v="12704.09"/>
    <n v="8691.4800000000014"/>
    <n v="4012.6099999999988"/>
    <n v="0.31585182409759366"/>
    <x v="10"/>
  </r>
  <r>
    <d v="2022-08-01T00:00:00"/>
    <x v="3"/>
    <x v="2"/>
    <x v="1"/>
    <n v="1555.93"/>
    <n v="1111.3900000000001"/>
    <n v="2"/>
    <n v="3111.86"/>
    <n v="2222.7800000000002"/>
    <n v="889.07999999999993"/>
    <n v="0.28570694054359769"/>
    <x v="15"/>
  </r>
  <r>
    <d v="2024-02-27T00:00:00"/>
    <x v="7"/>
    <x v="0"/>
    <x v="2"/>
    <n v="1202.3900000000001"/>
    <n v="978.34"/>
    <n v="5"/>
    <n v="6011.9500000000007"/>
    <n v="4891.7"/>
    <n v="1120.2500000000009"/>
    <n v="0.18633721171999115"/>
    <x v="34"/>
  </r>
  <r>
    <d v="2024-03-17T00:00:00"/>
    <x v="4"/>
    <x v="2"/>
    <x v="0"/>
    <n v="445.74"/>
    <n v="341.37"/>
    <n v="7"/>
    <n v="3120.1800000000003"/>
    <n v="2389.59"/>
    <n v="730.59000000000015"/>
    <n v="0.23414995288733345"/>
    <x v="29"/>
  </r>
  <r>
    <d v="2022-07-03T00:00:00"/>
    <x v="10"/>
    <x v="2"/>
    <x v="2"/>
    <n v="1081.19"/>
    <n v="888.62"/>
    <n v="2"/>
    <n v="2162.38"/>
    <n v="1777.24"/>
    <n v="385.1400000000001"/>
    <n v="0.17810930548747217"/>
    <x v="8"/>
  </r>
  <r>
    <d v="2023-08-11T00:00:00"/>
    <x v="2"/>
    <x v="0"/>
    <x v="2"/>
    <n v="1534.14"/>
    <n v="1334.36"/>
    <n v="7"/>
    <n v="10738.980000000001"/>
    <n v="9340.5199999999986"/>
    <n v="1398.4600000000028"/>
    <n v="0.13022279583349652"/>
    <x v="14"/>
  </r>
  <r>
    <d v="2023-02-13T00:00:00"/>
    <x v="7"/>
    <x v="0"/>
    <x v="0"/>
    <n v="1420.22"/>
    <n v="1013.24"/>
    <n v="8"/>
    <n v="11361.76"/>
    <n v="8105.92"/>
    <n v="3255.84"/>
    <n v="0.28656123699145203"/>
    <x v="27"/>
  </r>
  <r>
    <d v="2023-02-05T00:00:00"/>
    <x v="1"/>
    <x v="1"/>
    <x v="3"/>
    <n v="567.22"/>
    <n v="375.58"/>
    <n v="6"/>
    <n v="3403.32"/>
    <n v="2253.48"/>
    <n v="1149.8400000000001"/>
    <n v="0.33785832657522658"/>
    <x v="27"/>
  </r>
  <r>
    <d v="2023-05-24T00:00:00"/>
    <x v="7"/>
    <x v="0"/>
    <x v="2"/>
    <n v="430.89"/>
    <n v="257.77999999999997"/>
    <n v="8"/>
    <n v="3447.12"/>
    <n v="2062.2399999999998"/>
    <n v="1384.88"/>
    <n v="0.4017498665552694"/>
    <x v="31"/>
  </r>
  <r>
    <d v="2023-09-06T00:00:00"/>
    <x v="3"/>
    <x v="2"/>
    <x v="2"/>
    <n v="97.69"/>
    <n v="50.29"/>
    <n v="2"/>
    <n v="195.38"/>
    <n v="100.58"/>
    <n v="94.8"/>
    <n v="0.48520831200737025"/>
    <x v="24"/>
  </r>
  <r>
    <d v="2023-05-17T00:00:00"/>
    <x v="0"/>
    <x v="0"/>
    <x v="1"/>
    <n v="611.16999999999996"/>
    <n v="450.25"/>
    <n v="2"/>
    <n v="1222.3399999999999"/>
    <n v="900.5"/>
    <n v="321.83999999999992"/>
    <n v="0.26329826398547046"/>
    <x v="31"/>
  </r>
  <r>
    <d v="2022-12-03T00:00:00"/>
    <x v="8"/>
    <x v="1"/>
    <x v="2"/>
    <n v="155.08000000000001"/>
    <n v="97.09"/>
    <n v="3"/>
    <n v="465.24"/>
    <n v="291.27"/>
    <n v="173.97000000000003"/>
    <n v="0.37393603301521799"/>
    <x v="33"/>
  </r>
  <r>
    <d v="2022-01-17T00:00:00"/>
    <x v="7"/>
    <x v="0"/>
    <x v="2"/>
    <n v="1876.34"/>
    <n v="1205.51"/>
    <n v="8"/>
    <n v="15010.72"/>
    <n v="9644.08"/>
    <n v="5366.6399999999994"/>
    <n v="0.35752049202170177"/>
    <x v="9"/>
  </r>
  <r>
    <d v="2024-06-27T00:00:00"/>
    <x v="4"/>
    <x v="2"/>
    <x v="2"/>
    <n v="64.150000000000006"/>
    <n v="47.63"/>
    <n v="7"/>
    <n v="449.05000000000007"/>
    <n v="333.41"/>
    <n v="115.64000000000004"/>
    <n v="0.2575214341387374"/>
    <x v="4"/>
  </r>
  <r>
    <d v="2024-10-11T00:00:00"/>
    <x v="1"/>
    <x v="1"/>
    <x v="0"/>
    <n v="1666.69"/>
    <n v="1084.42"/>
    <n v="6"/>
    <n v="10000.14"/>
    <n v="6506.52"/>
    <n v="3493.619999999999"/>
    <n v="0.3493571090004739"/>
    <x v="17"/>
  </r>
  <r>
    <d v="2023-01-29T00:00:00"/>
    <x v="8"/>
    <x v="1"/>
    <x v="0"/>
    <n v="1884.65"/>
    <n v="1562.73"/>
    <n v="4"/>
    <n v="7538.6"/>
    <n v="6250.92"/>
    <n v="1287.6800000000003"/>
    <n v="0.17081155652243124"/>
    <x v="13"/>
  </r>
  <r>
    <d v="2024-11-25T00:00:00"/>
    <x v="3"/>
    <x v="2"/>
    <x v="1"/>
    <n v="602.08000000000004"/>
    <n v="339.51"/>
    <n v="5"/>
    <n v="3010.4"/>
    <n v="1697.55"/>
    <n v="1312.8500000000001"/>
    <n v="0.43610483656656923"/>
    <x v="2"/>
  </r>
  <r>
    <d v="2022-08-06T00:00:00"/>
    <x v="10"/>
    <x v="2"/>
    <x v="3"/>
    <n v="230.48"/>
    <n v="171.61"/>
    <n v="8"/>
    <n v="1843.84"/>
    <n v="1372.88"/>
    <n v="470.95999999999981"/>
    <n v="0.25542346407497385"/>
    <x v="15"/>
  </r>
  <r>
    <d v="2024-09-16T00:00:00"/>
    <x v="5"/>
    <x v="3"/>
    <x v="3"/>
    <n v="562.14"/>
    <n v="338.33"/>
    <n v="3"/>
    <n v="1686.42"/>
    <n v="1014.99"/>
    <n v="671.43000000000006"/>
    <n v="0.39813925356672719"/>
    <x v="16"/>
  </r>
  <r>
    <d v="2022-12-01T00:00:00"/>
    <x v="5"/>
    <x v="3"/>
    <x v="2"/>
    <n v="21.08"/>
    <n v="15.58"/>
    <n v="6"/>
    <n v="126.47999999999999"/>
    <n v="93.48"/>
    <n v="32.999999999999986"/>
    <n v="0.26091081593927884"/>
    <x v="33"/>
  </r>
  <r>
    <d v="2024-03-11T00:00:00"/>
    <x v="0"/>
    <x v="0"/>
    <x v="3"/>
    <n v="1412.23"/>
    <n v="1194.3499999999999"/>
    <n v="8"/>
    <n v="11297.84"/>
    <n v="9554.7999999999993"/>
    <n v="1743.0400000000009"/>
    <n v="0.15428081828030851"/>
    <x v="29"/>
  </r>
  <r>
    <d v="2024-08-28T00:00:00"/>
    <x v="6"/>
    <x v="3"/>
    <x v="2"/>
    <n v="1789.14"/>
    <n v="1024.52"/>
    <n v="2"/>
    <n v="3578.28"/>
    <n v="2049.04"/>
    <n v="1529.2400000000002"/>
    <n v="0.42736733849782582"/>
    <x v="21"/>
  </r>
  <r>
    <d v="2023-12-30T00:00:00"/>
    <x v="4"/>
    <x v="2"/>
    <x v="2"/>
    <n v="100.11"/>
    <n v="80.11"/>
    <n v="4"/>
    <n v="400.44"/>
    <n v="320.44"/>
    <n v="80"/>
    <n v="0.19978024173409251"/>
    <x v="30"/>
  </r>
  <r>
    <d v="2023-10-11T00:00:00"/>
    <x v="8"/>
    <x v="1"/>
    <x v="0"/>
    <n v="1581.96"/>
    <n v="1257.95"/>
    <n v="8"/>
    <n v="12655.68"/>
    <n v="10063.6"/>
    <n v="2592.08"/>
    <n v="0.20481554527295254"/>
    <x v="5"/>
  </r>
  <r>
    <d v="2024-02-09T00:00:00"/>
    <x v="10"/>
    <x v="2"/>
    <x v="0"/>
    <n v="356.79"/>
    <n v="294.25"/>
    <n v="8"/>
    <n v="2854.32"/>
    <n v="2354"/>
    <n v="500.32000000000016"/>
    <n v="0.17528518175957852"/>
    <x v="34"/>
  </r>
  <r>
    <d v="2024-02-08T00:00:00"/>
    <x v="8"/>
    <x v="1"/>
    <x v="2"/>
    <n v="969.2"/>
    <n v="823.03"/>
    <n v="7"/>
    <n v="6784.4000000000005"/>
    <n v="5761.21"/>
    <n v="1023.1900000000005"/>
    <n v="0.15081510524143629"/>
    <x v="34"/>
  </r>
  <r>
    <d v="2023-12-08T00:00:00"/>
    <x v="1"/>
    <x v="1"/>
    <x v="2"/>
    <n v="146.97999999999999"/>
    <n v="83.29"/>
    <n v="10"/>
    <n v="1469.8"/>
    <n v="832.90000000000009"/>
    <n v="636.89999999999986"/>
    <n v="0.43332426180432704"/>
    <x v="30"/>
  </r>
  <r>
    <d v="2023-05-24T00:00:00"/>
    <x v="4"/>
    <x v="2"/>
    <x v="1"/>
    <n v="1311.81"/>
    <n v="1125.1199999999999"/>
    <n v="3"/>
    <n v="3935.43"/>
    <n v="3375.3599999999997"/>
    <n v="560.07000000000016"/>
    <n v="0.1423148169323302"/>
    <x v="31"/>
  </r>
  <r>
    <d v="2023-05-05T00:00:00"/>
    <x v="4"/>
    <x v="2"/>
    <x v="0"/>
    <n v="56.05"/>
    <n v="46.58"/>
    <n v="3"/>
    <n v="168.14999999999998"/>
    <n v="139.74"/>
    <n v="28.409999999999968"/>
    <n v="0.16895628902765372"/>
    <x v="31"/>
  </r>
  <r>
    <d v="2022-06-20T00:00:00"/>
    <x v="1"/>
    <x v="1"/>
    <x v="1"/>
    <n v="1365.33"/>
    <n v="1127.52"/>
    <n v="1"/>
    <n v="1365.33"/>
    <n v="1127.52"/>
    <n v="237.80999999999995"/>
    <n v="0.17417767133220538"/>
    <x v="18"/>
  </r>
  <r>
    <d v="2024-12-16T00:00:00"/>
    <x v="6"/>
    <x v="3"/>
    <x v="0"/>
    <n v="1263.7"/>
    <n v="761.47"/>
    <n v="6"/>
    <n v="7582.2000000000007"/>
    <n v="4568.82"/>
    <n v="3013.380000000001"/>
    <n v="0.397428187069716"/>
    <x v="23"/>
  </r>
  <r>
    <d v="2023-11-22T00:00:00"/>
    <x v="7"/>
    <x v="0"/>
    <x v="0"/>
    <n v="1884.14"/>
    <n v="1556.86"/>
    <n v="2"/>
    <n v="3768.28"/>
    <n v="3113.72"/>
    <n v="654.5600000000004"/>
    <n v="0.17370259110257208"/>
    <x v="10"/>
  </r>
  <r>
    <d v="2023-03-21T00:00:00"/>
    <x v="1"/>
    <x v="1"/>
    <x v="0"/>
    <n v="622.52"/>
    <n v="397.39"/>
    <n v="2"/>
    <n v="1245.04"/>
    <n v="794.78"/>
    <n v="450.26"/>
    <n v="0.3616429994217053"/>
    <x v="19"/>
  </r>
  <r>
    <d v="2024-05-22T00:00:00"/>
    <x v="2"/>
    <x v="0"/>
    <x v="1"/>
    <n v="1583.13"/>
    <n v="1009.16"/>
    <n v="7"/>
    <n v="11081.91"/>
    <n v="7064.12"/>
    <n v="4017.79"/>
    <n v="0.36255392797811931"/>
    <x v="3"/>
  </r>
  <r>
    <d v="2023-02-20T00:00:00"/>
    <x v="8"/>
    <x v="1"/>
    <x v="1"/>
    <n v="1328.52"/>
    <n v="760.62"/>
    <n v="5"/>
    <n v="6642.6"/>
    <n v="3803.1"/>
    <n v="2839.5000000000005"/>
    <n v="0.42746816005780874"/>
    <x v="27"/>
  </r>
  <r>
    <d v="2024-05-03T00:00:00"/>
    <x v="6"/>
    <x v="3"/>
    <x v="3"/>
    <n v="364.54"/>
    <n v="250.33"/>
    <n v="1"/>
    <n v="364.54"/>
    <n v="250.33"/>
    <n v="114.21000000000001"/>
    <n v="0.31329895210402153"/>
    <x v="3"/>
  </r>
  <r>
    <d v="2023-01-30T00:00:00"/>
    <x v="10"/>
    <x v="2"/>
    <x v="0"/>
    <n v="1635.87"/>
    <n v="978.34"/>
    <n v="7"/>
    <n v="11451.09"/>
    <n v="6848.38"/>
    <n v="4602.71"/>
    <n v="0.40194514234016149"/>
    <x v="13"/>
  </r>
  <r>
    <d v="2023-12-15T00:00:00"/>
    <x v="4"/>
    <x v="2"/>
    <x v="1"/>
    <n v="923.88"/>
    <n v="583.82000000000005"/>
    <n v="10"/>
    <n v="9238.7999999999993"/>
    <n v="5838.2000000000007"/>
    <n v="3400.5999999999985"/>
    <n v="0.36807810538165114"/>
    <x v="30"/>
  </r>
  <r>
    <d v="2023-10-18T00:00:00"/>
    <x v="8"/>
    <x v="1"/>
    <x v="3"/>
    <n v="1407.97"/>
    <n v="787.37"/>
    <n v="2"/>
    <n v="2815.94"/>
    <n v="1574.74"/>
    <n v="1241.2"/>
    <n v="0.44077643699794739"/>
    <x v="5"/>
  </r>
  <r>
    <d v="2024-06-02T00:00:00"/>
    <x v="6"/>
    <x v="3"/>
    <x v="3"/>
    <n v="1996.06"/>
    <n v="1588.37"/>
    <n v="6"/>
    <n v="11976.36"/>
    <n v="9530.2199999999993"/>
    <n v="2446.1400000000012"/>
    <n v="0.2042473673136079"/>
    <x v="4"/>
  </r>
  <r>
    <d v="2024-09-26T00:00:00"/>
    <x v="10"/>
    <x v="2"/>
    <x v="1"/>
    <n v="1005.39"/>
    <n v="608.57000000000005"/>
    <n v="6"/>
    <n v="6032.34"/>
    <n v="3651.42"/>
    <n v="2380.92"/>
    <n v="0.39469260684908342"/>
    <x v="16"/>
  </r>
  <r>
    <d v="2024-11-04T00:00:00"/>
    <x v="10"/>
    <x v="2"/>
    <x v="1"/>
    <n v="36.619999999999997"/>
    <n v="32.22"/>
    <n v="2"/>
    <n v="73.239999999999995"/>
    <n v="64.44"/>
    <n v="8.7999999999999972"/>
    <n v="0.12015292190060073"/>
    <x v="2"/>
  </r>
  <r>
    <d v="2024-01-13T00:00:00"/>
    <x v="1"/>
    <x v="1"/>
    <x v="3"/>
    <n v="733.99"/>
    <n v="575.16999999999996"/>
    <n v="1"/>
    <n v="733.99"/>
    <n v="575.16999999999996"/>
    <n v="158.82000000000005"/>
    <n v="0.21637896974073223"/>
    <x v="26"/>
  </r>
  <r>
    <d v="2022-04-11T00:00:00"/>
    <x v="7"/>
    <x v="0"/>
    <x v="1"/>
    <n v="1438.98"/>
    <n v="771.82"/>
    <n v="6"/>
    <n v="8633.880000000001"/>
    <n v="4630.92"/>
    <n v="4002.9600000000009"/>
    <n v="0.4636339629459757"/>
    <x v="32"/>
  </r>
  <r>
    <d v="2022-11-11T00:00:00"/>
    <x v="7"/>
    <x v="0"/>
    <x v="3"/>
    <n v="279.12"/>
    <n v="142.25"/>
    <n v="9"/>
    <n v="2512.08"/>
    <n v="1280.25"/>
    <n v="1231.83"/>
    <n v="0.49036256807108053"/>
    <x v="1"/>
  </r>
  <r>
    <d v="2022-10-23T00:00:00"/>
    <x v="5"/>
    <x v="3"/>
    <x v="2"/>
    <n v="260.48"/>
    <n v="167.55"/>
    <n v="8"/>
    <n v="2083.84"/>
    <n v="1340.4"/>
    <n v="743.44"/>
    <n v="0.35676443488943488"/>
    <x v="25"/>
  </r>
  <r>
    <d v="2023-12-14T00:00:00"/>
    <x v="4"/>
    <x v="2"/>
    <x v="2"/>
    <n v="972.02"/>
    <n v="672.93"/>
    <n v="9"/>
    <n v="8748.18"/>
    <n v="6056.37"/>
    <n v="2691.8100000000004"/>
    <n v="0.30769943005287959"/>
    <x v="30"/>
  </r>
  <r>
    <d v="2022-10-04T00:00:00"/>
    <x v="7"/>
    <x v="0"/>
    <x v="0"/>
    <n v="1325.8"/>
    <n v="1027.05"/>
    <n v="1"/>
    <n v="1325.8"/>
    <n v="1027.05"/>
    <n v="298.75"/>
    <n v="0.22533564640217227"/>
    <x v="25"/>
  </r>
  <r>
    <d v="2023-06-01T00:00:00"/>
    <x v="4"/>
    <x v="2"/>
    <x v="0"/>
    <n v="670.34"/>
    <n v="526.79"/>
    <n v="7"/>
    <n v="4692.38"/>
    <n v="3687.5299999999997"/>
    <n v="1004.8500000000004"/>
    <n v="0.21414506071545791"/>
    <x v="0"/>
  </r>
  <r>
    <d v="2023-12-28T00:00:00"/>
    <x v="7"/>
    <x v="0"/>
    <x v="0"/>
    <n v="871.65"/>
    <n v="672.46"/>
    <n v="10"/>
    <n v="8716.5"/>
    <n v="6724.6"/>
    <n v="1991.8999999999996"/>
    <n v="0.22852062180921237"/>
    <x v="30"/>
  </r>
  <r>
    <d v="2023-06-08T00:00:00"/>
    <x v="3"/>
    <x v="2"/>
    <x v="2"/>
    <n v="1846.57"/>
    <n v="1056.54"/>
    <n v="4"/>
    <n v="7386.28"/>
    <n v="4226.16"/>
    <n v="3160.12"/>
    <n v="0.42783647519454987"/>
    <x v="0"/>
  </r>
  <r>
    <d v="2022-10-08T00:00:00"/>
    <x v="5"/>
    <x v="3"/>
    <x v="2"/>
    <n v="1852.67"/>
    <n v="1093.5999999999999"/>
    <n v="1"/>
    <n v="1852.67"/>
    <n v="1093.5999999999999"/>
    <n v="759.07000000000016"/>
    <n v="0.40971678712344894"/>
    <x v="25"/>
  </r>
  <r>
    <d v="2022-06-26T00:00:00"/>
    <x v="2"/>
    <x v="0"/>
    <x v="1"/>
    <n v="87.06"/>
    <n v="49.29"/>
    <n v="6"/>
    <n v="522.36"/>
    <n v="295.74"/>
    <n v="226.62"/>
    <n v="0.43383873190902827"/>
    <x v="18"/>
  </r>
  <r>
    <d v="2023-11-04T00:00:00"/>
    <x v="9"/>
    <x v="3"/>
    <x v="2"/>
    <n v="1487.59"/>
    <n v="795.91"/>
    <n v="7"/>
    <n v="10413.129999999999"/>
    <n v="5571.37"/>
    <n v="4841.7599999999993"/>
    <n v="0.46496682553660618"/>
    <x v="10"/>
  </r>
  <r>
    <d v="2022-05-16T00:00:00"/>
    <x v="8"/>
    <x v="1"/>
    <x v="1"/>
    <n v="610.92999999999995"/>
    <n v="367.33"/>
    <n v="8"/>
    <n v="4887.4399999999996"/>
    <n v="2938.64"/>
    <n v="1948.7999999999997"/>
    <n v="0.39873635277364017"/>
    <x v="35"/>
  </r>
  <r>
    <d v="2024-11-08T00:00:00"/>
    <x v="9"/>
    <x v="3"/>
    <x v="2"/>
    <n v="1568.61"/>
    <n v="1186.31"/>
    <n v="7"/>
    <n v="10980.269999999999"/>
    <n v="8304.17"/>
    <n v="2676.0999999999985"/>
    <n v="0.24371896137344518"/>
    <x v="2"/>
  </r>
  <r>
    <d v="2022-07-30T00:00:00"/>
    <x v="3"/>
    <x v="2"/>
    <x v="3"/>
    <n v="570.44000000000005"/>
    <n v="312.64"/>
    <n v="9"/>
    <n v="5133.9600000000009"/>
    <n v="2813.7599999999998"/>
    <n v="2320.2000000000012"/>
    <n v="0.45193184208681031"/>
    <x v="8"/>
  </r>
  <r>
    <d v="2024-01-23T00:00:00"/>
    <x v="9"/>
    <x v="3"/>
    <x v="2"/>
    <n v="1393.04"/>
    <n v="856.05"/>
    <n v="4"/>
    <n v="5572.16"/>
    <n v="3424.2"/>
    <n v="2147.96"/>
    <n v="0.38548067535749153"/>
    <x v="26"/>
  </r>
  <r>
    <d v="2023-04-17T00:00:00"/>
    <x v="5"/>
    <x v="3"/>
    <x v="1"/>
    <n v="1999.31"/>
    <n v="1726.35"/>
    <n v="5"/>
    <n v="9996.5499999999993"/>
    <n v="8631.75"/>
    <n v="1364.7999999999993"/>
    <n v="0.13652710185013822"/>
    <x v="6"/>
  </r>
  <r>
    <d v="2024-08-03T00:00:00"/>
    <x v="9"/>
    <x v="3"/>
    <x v="3"/>
    <n v="1815.24"/>
    <n v="908.95"/>
    <n v="4"/>
    <n v="7260.96"/>
    <n v="3635.8"/>
    <n v="3625.16"/>
    <n v="0.49926731451488504"/>
    <x v="21"/>
  </r>
  <r>
    <d v="2022-05-12T00:00:00"/>
    <x v="1"/>
    <x v="1"/>
    <x v="1"/>
    <n v="209.95"/>
    <n v="165.01"/>
    <n v="6"/>
    <n v="1259.6999999999998"/>
    <n v="990.06"/>
    <n v="269.63999999999987"/>
    <n v="0.21405096451536074"/>
    <x v="35"/>
  </r>
  <r>
    <d v="2023-05-06T00:00:00"/>
    <x v="10"/>
    <x v="2"/>
    <x v="0"/>
    <n v="597.20000000000005"/>
    <n v="437.79"/>
    <n v="1"/>
    <n v="597.20000000000005"/>
    <n v="437.79"/>
    <n v="159.41000000000003"/>
    <n v="0.26692900200937714"/>
    <x v="31"/>
  </r>
  <r>
    <d v="2022-03-16T00:00:00"/>
    <x v="5"/>
    <x v="3"/>
    <x v="1"/>
    <n v="782.14"/>
    <n v="489.77"/>
    <n v="2"/>
    <n v="1564.28"/>
    <n v="979.54"/>
    <n v="584.74"/>
    <n v="0.37380775820185647"/>
    <x v="7"/>
  </r>
  <r>
    <d v="2024-04-23T00:00:00"/>
    <x v="1"/>
    <x v="1"/>
    <x v="0"/>
    <n v="1183.45"/>
    <n v="858.15"/>
    <n v="2"/>
    <n v="2366.9"/>
    <n v="1716.3"/>
    <n v="650.60000000000014"/>
    <n v="0.27487430816680053"/>
    <x v="22"/>
  </r>
  <r>
    <d v="2023-11-23T00:00:00"/>
    <x v="10"/>
    <x v="2"/>
    <x v="3"/>
    <n v="223.95"/>
    <n v="129.56"/>
    <n v="1"/>
    <n v="223.95"/>
    <n v="129.56"/>
    <n v="94.389999999999986"/>
    <n v="0.42147800848403655"/>
    <x v="10"/>
  </r>
  <r>
    <d v="2023-05-27T00:00:00"/>
    <x v="5"/>
    <x v="3"/>
    <x v="3"/>
    <n v="1961.31"/>
    <n v="1425.04"/>
    <n v="4"/>
    <n v="7845.24"/>
    <n v="5700.16"/>
    <n v="2145.08"/>
    <n v="0.27342439491972204"/>
    <x v="31"/>
  </r>
  <r>
    <d v="2024-01-12T00:00:00"/>
    <x v="5"/>
    <x v="3"/>
    <x v="1"/>
    <n v="352.81"/>
    <n v="243.31"/>
    <n v="10"/>
    <n v="3528.1"/>
    <n v="2433.1"/>
    <n v="1095"/>
    <n v="0.31036535245599617"/>
    <x v="26"/>
  </r>
  <r>
    <d v="2023-11-01T00:00:00"/>
    <x v="3"/>
    <x v="2"/>
    <x v="1"/>
    <n v="1580.01"/>
    <n v="1179.3499999999999"/>
    <n v="2"/>
    <n v="3160.02"/>
    <n v="2358.6999999999998"/>
    <n v="801.32000000000016"/>
    <n v="0.25358067354004094"/>
    <x v="10"/>
  </r>
  <r>
    <d v="2024-12-11T00:00:00"/>
    <x v="1"/>
    <x v="1"/>
    <x v="0"/>
    <n v="1909.89"/>
    <n v="1398.86"/>
    <n v="4"/>
    <n v="7639.56"/>
    <n v="5595.44"/>
    <n v="2044.1200000000008"/>
    <n v="0.26757038363465968"/>
    <x v="23"/>
  </r>
  <r>
    <d v="2022-09-13T00:00:00"/>
    <x v="9"/>
    <x v="3"/>
    <x v="2"/>
    <n v="382.38"/>
    <n v="200.63"/>
    <n v="10"/>
    <n v="3823.8"/>
    <n v="2006.3"/>
    <n v="1817.5000000000002"/>
    <n v="0.47531251634499716"/>
    <x v="12"/>
  </r>
  <r>
    <d v="2022-05-17T00:00:00"/>
    <x v="6"/>
    <x v="3"/>
    <x v="0"/>
    <n v="300.76"/>
    <n v="241.33"/>
    <n v="6"/>
    <n v="1804.56"/>
    <n v="1447.98"/>
    <n v="356.57999999999993"/>
    <n v="0.19759941481579993"/>
    <x v="35"/>
  </r>
  <r>
    <d v="2023-07-20T00:00:00"/>
    <x v="10"/>
    <x v="2"/>
    <x v="3"/>
    <n v="624.39"/>
    <n v="387.52"/>
    <n v="9"/>
    <n v="5619.51"/>
    <n v="3487.68"/>
    <n v="2131.8300000000004"/>
    <n v="0.37936225756338193"/>
    <x v="11"/>
  </r>
  <r>
    <d v="2024-10-30T00:00:00"/>
    <x v="9"/>
    <x v="3"/>
    <x v="0"/>
    <n v="155.63"/>
    <n v="134.94"/>
    <n v="8"/>
    <n v="1245.04"/>
    <n v="1079.52"/>
    <n v="165.51999999999998"/>
    <n v="0.13294351988691125"/>
    <x v="17"/>
  </r>
  <r>
    <d v="2022-02-20T00:00:00"/>
    <x v="2"/>
    <x v="0"/>
    <x v="3"/>
    <n v="506.62"/>
    <n v="422.97"/>
    <n v="2"/>
    <n v="1013.24"/>
    <n v="845.94"/>
    <n v="167.29999999999995"/>
    <n v="0.16511389206900631"/>
    <x v="20"/>
  </r>
  <r>
    <d v="2024-04-03T00:00:00"/>
    <x v="8"/>
    <x v="1"/>
    <x v="2"/>
    <n v="403.35"/>
    <n v="306.74"/>
    <n v="1"/>
    <n v="403.35"/>
    <n v="306.74"/>
    <n v="96.610000000000014"/>
    <n v="0.2395190281393331"/>
    <x v="22"/>
  </r>
  <r>
    <d v="2024-05-08T00:00:00"/>
    <x v="4"/>
    <x v="2"/>
    <x v="3"/>
    <n v="1033.49"/>
    <n v="621.91"/>
    <n v="9"/>
    <n v="9301.41"/>
    <n v="5597.19"/>
    <n v="3704.2200000000003"/>
    <n v="0.39824284705222113"/>
    <x v="3"/>
  </r>
  <r>
    <d v="2024-03-19T00:00:00"/>
    <x v="1"/>
    <x v="1"/>
    <x v="3"/>
    <n v="768.62"/>
    <n v="633.67999999999995"/>
    <n v="4"/>
    <n v="3074.48"/>
    <n v="2534.7199999999998"/>
    <n v="539.76000000000022"/>
    <n v="0.17556139574822416"/>
    <x v="29"/>
  </r>
  <r>
    <d v="2023-05-17T00:00:00"/>
    <x v="4"/>
    <x v="2"/>
    <x v="0"/>
    <n v="1673.59"/>
    <n v="1396.39"/>
    <n v="7"/>
    <n v="11715.13"/>
    <n v="9774.7300000000014"/>
    <n v="1940.3999999999978"/>
    <n v="0.16563196481814524"/>
    <x v="31"/>
  </r>
  <r>
    <d v="2023-09-26T00:00:00"/>
    <x v="7"/>
    <x v="0"/>
    <x v="3"/>
    <n v="1740.4"/>
    <n v="1184.8599999999999"/>
    <n v="8"/>
    <n v="13923.2"/>
    <n v="9478.8799999999992"/>
    <n v="4444.3200000000015"/>
    <n v="0.31920248218800285"/>
    <x v="24"/>
  </r>
  <r>
    <d v="2022-02-05T00:00:00"/>
    <x v="9"/>
    <x v="3"/>
    <x v="1"/>
    <n v="882.57"/>
    <n v="698.7"/>
    <n v="3"/>
    <n v="2647.71"/>
    <n v="2096.1000000000004"/>
    <n v="551.60999999999967"/>
    <n v="0.20833474965158558"/>
    <x v="20"/>
  </r>
  <r>
    <d v="2022-08-04T00:00:00"/>
    <x v="7"/>
    <x v="0"/>
    <x v="3"/>
    <n v="802.16"/>
    <n v="490.1"/>
    <n v="5"/>
    <n v="4010.7999999999997"/>
    <n v="2450.5"/>
    <n v="1560.2999999999997"/>
    <n v="0.38902463348957811"/>
    <x v="15"/>
  </r>
  <r>
    <d v="2022-05-18T00:00:00"/>
    <x v="1"/>
    <x v="1"/>
    <x v="1"/>
    <n v="1744.14"/>
    <n v="1492.96"/>
    <n v="6"/>
    <n v="10464.84"/>
    <n v="8957.76"/>
    <n v="1507.08"/>
    <n v="0.14401366862751844"/>
    <x v="35"/>
  </r>
  <r>
    <d v="2024-08-19T00:00:00"/>
    <x v="6"/>
    <x v="3"/>
    <x v="3"/>
    <n v="992.75"/>
    <n v="687.88"/>
    <n v="8"/>
    <n v="7942"/>
    <n v="5503.04"/>
    <n v="2438.96"/>
    <n v="0.3070964492571141"/>
    <x v="21"/>
  </r>
  <r>
    <d v="2024-12-11T00:00:00"/>
    <x v="4"/>
    <x v="2"/>
    <x v="2"/>
    <n v="1136.8"/>
    <n v="790.86"/>
    <n v="4"/>
    <n v="4547.2"/>
    <n v="3163.44"/>
    <n v="1383.7599999999998"/>
    <n v="0.30431034482758618"/>
    <x v="23"/>
  </r>
  <r>
    <d v="2023-12-08T00:00:00"/>
    <x v="5"/>
    <x v="3"/>
    <x v="1"/>
    <n v="303.69"/>
    <n v="241.09"/>
    <n v="8"/>
    <n v="2429.52"/>
    <n v="1928.72"/>
    <n v="500.79999999999995"/>
    <n v="0.20613125226382165"/>
    <x v="30"/>
  </r>
  <r>
    <d v="2023-09-01T00:00:00"/>
    <x v="4"/>
    <x v="2"/>
    <x v="3"/>
    <n v="881.58"/>
    <n v="560.09"/>
    <n v="10"/>
    <n v="8815.8000000000011"/>
    <n v="5600.9000000000005"/>
    <n v="3214.9000000000005"/>
    <n v="0.36467478844801382"/>
    <x v="24"/>
  </r>
  <r>
    <d v="2024-01-03T00:00:00"/>
    <x v="8"/>
    <x v="1"/>
    <x v="3"/>
    <n v="586.94000000000005"/>
    <n v="436.33"/>
    <n v="1"/>
    <n v="586.94000000000005"/>
    <n v="436.33"/>
    <n v="150.61000000000007"/>
    <n v="0.25660203768698686"/>
    <x v="26"/>
  </r>
  <r>
    <d v="2023-09-22T00:00:00"/>
    <x v="4"/>
    <x v="2"/>
    <x v="3"/>
    <n v="52.76"/>
    <n v="31.58"/>
    <n v="6"/>
    <n v="316.56"/>
    <n v="189.48"/>
    <n v="127.08000000000001"/>
    <n v="0.40144048521607284"/>
    <x v="24"/>
  </r>
  <r>
    <d v="2023-05-07T00:00:00"/>
    <x v="4"/>
    <x v="2"/>
    <x v="2"/>
    <n v="1539.44"/>
    <n v="1208.1199999999999"/>
    <n v="4"/>
    <n v="6157.76"/>
    <n v="4832.4799999999996"/>
    <n v="1325.2800000000007"/>
    <n v="0.215221119368082"/>
    <x v="31"/>
  </r>
  <r>
    <d v="2024-12-10T00:00:00"/>
    <x v="6"/>
    <x v="3"/>
    <x v="1"/>
    <n v="1066.5899999999999"/>
    <n v="549.62"/>
    <n v="3"/>
    <n v="3199.7699999999995"/>
    <n v="1648.8600000000001"/>
    <n v="1550.9099999999994"/>
    <n v="0.48469421239651589"/>
    <x v="23"/>
  </r>
  <r>
    <d v="2022-07-29T00:00:00"/>
    <x v="7"/>
    <x v="0"/>
    <x v="0"/>
    <n v="1712.39"/>
    <n v="989.18"/>
    <n v="2"/>
    <n v="3424.78"/>
    <n v="1978.36"/>
    <n v="1446.4200000000003"/>
    <n v="0.42233953713815198"/>
    <x v="8"/>
  </r>
  <r>
    <d v="2023-07-05T00:00:00"/>
    <x v="7"/>
    <x v="0"/>
    <x v="1"/>
    <n v="497.18"/>
    <n v="293.36"/>
    <n v="2"/>
    <n v="994.36"/>
    <n v="586.72"/>
    <n v="407.64"/>
    <n v="0.40995213001327485"/>
    <x v="11"/>
  </r>
  <r>
    <d v="2023-02-21T00:00:00"/>
    <x v="10"/>
    <x v="2"/>
    <x v="0"/>
    <n v="1632.12"/>
    <n v="1201.31"/>
    <n v="10"/>
    <n v="16321.199999999999"/>
    <n v="12013.099999999999"/>
    <n v="4308.1000000000004"/>
    <n v="0.26395730706075538"/>
    <x v="27"/>
  </r>
  <r>
    <d v="2022-07-12T00:00:00"/>
    <x v="2"/>
    <x v="0"/>
    <x v="3"/>
    <n v="777.35"/>
    <n v="538.97"/>
    <n v="1"/>
    <n v="777.35"/>
    <n v="538.97"/>
    <n v="238.38"/>
    <n v="0.30665723290667007"/>
    <x v="8"/>
  </r>
  <r>
    <d v="2023-09-04T00:00:00"/>
    <x v="3"/>
    <x v="2"/>
    <x v="2"/>
    <n v="377.94"/>
    <n v="203.57"/>
    <n v="2"/>
    <n v="755.88"/>
    <n v="407.14"/>
    <n v="348.74"/>
    <n v="0.4613695295549558"/>
    <x v="24"/>
  </r>
  <r>
    <d v="2022-01-05T00:00:00"/>
    <x v="4"/>
    <x v="2"/>
    <x v="1"/>
    <n v="1415.29"/>
    <n v="1159.69"/>
    <n v="2"/>
    <n v="2830.58"/>
    <n v="2319.38"/>
    <n v="511.19999999999982"/>
    <n v="0.18059902917423279"/>
    <x v="9"/>
  </r>
  <r>
    <d v="2024-10-02T00:00:00"/>
    <x v="4"/>
    <x v="2"/>
    <x v="0"/>
    <n v="531.96"/>
    <n v="285.26"/>
    <n v="6"/>
    <n v="3191.76"/>
    <n v="1711.56"/>
    <n v="1480.2000000000003"/>
    <n v="0.46375667343409283"/>
    <x v="17"/>
  </r>
  <r>
    <d v="2024-06-11T00:00:00"/>
    <x v="8"/>
    <x v="1"/>
    <x v="2"/>
    <n v="1931.88"/>
    <n v="1440.66"/>
    <n v="6"/>
    <n v="11591.28"/>
    <n v="8643.9600000000009"/>
    <n v="2947.3199999999997"/>
    <n v="0.25427045158084349"/>
    <x v="4"/>
  </r>
  <r>
    <d v="2023-04-01T00:00:00"/>
    <x v="8"/>
    <x v="1"/>
    <x v="3"/>
    <n v="1333.47"/>
    <n v="803.54"/>
    <n v="7"/>
    <n v="9334.2900000000009"/>
    <n v="5624.78"/>
    <n v="3709.5100000000011"/>
    <n v="0.39740676580650491"/>
    <x v="6"/>
  </r>
  <r>
    <d v="2023-07-22T00:00:00"/>
    <x v="2"/>
    <x v="0"/>
    <x v="0"/>
    <n v="1869.74"/>
    <n v="970.72"/>
    <n v="4"/>
    <n v="7478.96"/>
    <n v="3882.88"/>
    <n v="3596.08"/>
    <n v="0.48082621113095936"/>
    <x v="11"/>
  </r>
  <r>
    <d v="2024-11-30T00:00:00"/>
    <x v="10"/>
    <x v="2"/>
    <x v="1"/>
    <n v="203.3"/>
    <n v="169.81"/>
    <n v="7"/>
    <n v="1423.1000000000001"/>
    <n v="1188.67"/>
    <n v="234.43000000000006"/>
    <n v="0.16473192326610922"/>
    <x v="2"/>
  </r>
  <r>
    <d v="2024-05-21T00:00:00"/>
    <x v="0"/>
    <x v="0"/>
    <x v="0"/>
    <n v="1684.05"/>
    <n v="1278.53"/>
    <n v="7"/>
    <n v="11788.35"/>
    <n v="8949.7099999999991"/>
    <n v="2838.6400000000012"/>
    <n v="0.24080045129301397"/>
    <x v="3"/>
  </r>
  <r>
    <d v="2023-07-22T00:00:00"/>
    <x v="1"/>
    <x v="1"/>
    <x v="3"/>
    <n v="858.75"/>
    <n v="698.56"/>
    <n v="3"/>
    <n v="2576.25"/>
    <n v="2095.6799999999998"/>
    <n v="480.57000000000016"/>
    <n v="0.18653857350800587"/>
    <x v="11"/>
  </r>
  <r>
    <d v="2023-10-16T00:00:00"/>
    <x v="3"/>
    <x v="2"/>
    <x v="0"/>
    <n v="1375.45"/>
    <n v="1090.3900000000001"/>
    <n v="3"/>
    <n v="4126.3500000000004"/>
    <n v="3271.17"/>
    <n v="855.18000000000029"/>
    <n v="0.20724853684248795"/>
    <x v="5"/>
  </r>
  <r>
    <d v="2022-10-19T00:00:00"/>
    <x v="4"/>
    <x v="2"/>
    <x v="3"/>
    <n v="457.03"/>
    <n v="368.31"/>
    <n v="3"/>
    <n v="1371.09"/>
    <n v="1104.93"/>
    <n v="266.15999999999985"/>
    <n v="0.19412292409688633"/>
    <x v="25"/>
  </r>
  <r>
    <d v="2023-02-16T00:00:00"/>
    <x v="8"/>
    <x v="1"/>
    <x v="0"/>
    <n v="499.11"/>
    <n v="414.02"/>
    <n v="10"/>
    <n v="4991.1000000000004"/>
    <n v="4140.2"/>
    <n v="850.90000000000055"/>
    <n v="0.17048346055979655"/>
    <x v="27"/>
  </r>
  <r>
    <d v="2024-08-02T00:00:00"/>
    <x v="1"/>
    <x v="1"/>
    <x v="3"/>
    <n v="1396.51"/>
    <n v="1053.72"/>
    <n v="9"/>
    <n v="12568.59"/>
    <n v="9483.48"/>
    <n v="3085.1100000000006"/>
    <n v="0.2454619014543398"/>
    <x v="21"/>
  </r>
  <r>
    <d v="2024-10-24T00:00:00"/>
    <x v="3"/>
    <x v="2"/>
    <x v="1"/>
    <n v="1563.08"/>
    <n v="1284.51"/>
    <n v="7"/>
    <n v="10941.56"/>
    <n v="8991.57"/>
    <n v="1949.9899999999998"/>
    <n v="0.17821864523888731"/>
    <x v="17"/>
  </r>
  <r>
    <d v="2024-04-25T00:00:00"/>
    <x v="0"/>
    <x v="0"/>
    <x v="3"/>
    <n v="958.7"/>
    <n v="839.27"/>
    <n v="8"/>
    <n v="7669.6"/>
    <n v="6714.16"/>
    <n v="955.44000000000051"/>
    <n v="0.12457494523834366"/>
    <x v="22"/>
  </r>
  <r>
    <d v="2022-11-25T00:00:00"/>
    <x v="10"/>
    <x v="2"/>
    <x v="0"/>
    <n v="415.44"/>
    <n v="285.33999999999997"/>
    <n v="9"/>
    <n v="3738.96"/>
    <n v="2568.06"/>
    <n v="1170.9000000000001"/>
    <n v="0.31316194877720011"/>
    <x v="1"/>
  </r>
  <r>
    <d v="2023-08-21T00:00:00"/>
    <x v="7"/>
    <x v="0"/>
    <x v="3"/>
    <n v="1903.89"/>
    <n v="1402.61"/>
    <n v="9"/>
    <n v="17135.010000000002"/>
    <n v="12623.49"/>
    <n v="4511.5200000000023"/>
    <n v="0.26329252215201521"/>
    <x v="14"/>
  </r>
  <r>
    <d v="2024-07-16T00:00:00"/>
    <x v="1"/>
    <x v="1"/>
    <x v="0"/>
    <n v="297.68"/>
    <n v="215.99"/>
    <n v="10"/>
    <n v="2976.8"/>
    <n v="2159.9"/>
    <n v="816.90000000000009"/>
    <n v="0.27442219833378123"/>
    <x v="28"/>
  </r>
  <r>
    <d v="2024-05-05T00:00:00"/>
    <x v="4"/>
    <x v="2"/>
    <x v="2"/>
    <n v="1460.05"/>
    <n v="1014.73"/>
    <n v="9"/>
    <n v="13140.449999999999"/>
    <n v="9132.57"/>
    <n v="4007.8799999999992"/>
    <n v="0.30500325331324268"/>
    <x v="3"/>
  </r>
  <r>
    <d v="2022-09-14T00:00:00"/>
    <x v="5"/>
    <x v="3"/>
    <x v="0"/>
    <n v="1819.95"/>
    <n v="1502.51"/>
    <n v="3"/>
    <n v="5459.85"/>
    <n v="4507.53"/>
    <n v="952.32000000000062"/>
    <n v="0.17442237424105067"/>
    <x v="12"/>
  </r>
  <r>
    <d v="2023-07-03T00:00:00"/>
    <x v="5"/>
    <x v="3"/>
    <x v="2"/>
    <n v="1332.11"/>
    <n v="1180.75"/>
    <n v="4"/>
    <n v="5328.44"/>
    <n v="4723"/>
    <n v="605.4399999999996"/>
    <n v="0.11362425024960394"/>
    <x v="11"/>
  </r>
  <r>
    <d v="2022-07-27T00:00:00"/>
    <x v="1"/>
    <x v="1"/>
    <x v="2"/>
    <n v="488.27"/>
    <n v="318.19"/>
    <n v="9"/>
    <n v="4394.43"/>
    <n v="2863.71"/>
    <n v="1530.7200000000003"/>
    <n v="0.34833186556618267"/>
    <x v="8"/>
  </r>
  <r>
    <d v="2022-07-29T00:00:00"/>
    <x v="8"/>
    <x v="1"/>
    <x v="0"/>
    <n v="1310.05"/>
    <n v="675.69"/>
    <n v="10"/>
    <n v="13100.5"/>
    <n v="6756.9000000000005"/>
    <n v="6343.5999999999995"/>
    <n v="0.48422579290866757"/>
    <x v="8"/>
  </r>
  <r>
    <d v="2022-06-19T00:00:00"/>
    <x v="1"/>
    <x v="1"/>
    <x v="3"/>
    <n v="1018.84"/>
    <n v="757.45"/>
    <n v="10"/>
    <n v="10188.4"/>
    <n v="7574.5"/>
    <n v="2613.8999999999996"/>
    <n v="0.25655647599230497"/>
    <x v="18"/>
  </r>
  <r>
    <d v="2024-03-15T00:00:00"/>
    <x v="6"/>
    <x v="3"/>
    <x v="0"/>
    <n v="356.56"/>
    <n v="186.18"/>
    <n v="3"/>
    <n v="1069.68"/>
    <n v="558.54"/>
    <n v="511.1400000000001"/>
    <n v="0.47784384114875483"/>
    <x v="29"/>
  </r>
  <r>
    <d v="2023-11-10T00:00:00"/>
    <x v="1"/>
    <x v="1"/>
    <x v="1"/>
    <n v="1767.29"/>
    <n v="1509.51"/>
    <n v="3"/>
    <n v="5301.87"/>
    <n v="4528.53"/>
    <n v="773.34000000000015"/>
    <n v="0.14586174312082345"/>
    <x v="10"/>
  </r>
  <r>
    <d v="2022-12-11T00:00:00"/>
    <x v="3"/>
    <x v="2"/>
    <x v="0"/>
    <n v="963.14"/>
    <n v="489.27"/>
    <n v="2"/>
    <n v="1926.28"/>
    <n v="978.54"/>
    <n v="947.74"/>
    <n v="0.49200531594576075"/>
    <x v="33"/>
  </r>
  <r>
    <d v="2022-02-14T00:00:00"/>
    <x v="9"/>
    <x v="3"/>
    <x v="1"/>
    <n v="254.36"/>
    <n v="151.08000000000001"/>
    <n v="10"/>
    <n v="2543.6000000000004"/>
    <n v="1510.8000000000002"/>
    <n v="1032.8000000000002"/>
    <n v="0.40603868532788173"/>
    <x v="20"/>
  </r>
  <r>
    <d v="2022-01-11T00:00:00"/>
    <x v="4"/>
    <x v="2"/>
    <x v="1"/>
    <n v="637.39"/>
    <n v="449.01"/>
    <n v="2"/>
    <n v="1274.78"/>
    <n v="898.02"/>
    <n v="376.76"/>
    <n v="0.29554903591207893"/>
    <x v="9"/>
  </r>
  <r>
    <d v="2023-07-27T00:00:00"/>
    <x v="3"/>
    <x v="2"/>
    <x v="3"/>
    <n v="969.67"/>
    <n v="511.05"/>
    <n v="3"/>
    <n v="2909.0099999999998"/>
    <n v="1533.15"/>
    <n v="1375.8599999999997"/>
    <n v="0.47296502933987844"/>
    <x v="11"/>
  </r>
  <r>
    <d v="2023-06-06T00:00:00"/>
    <x v="9"/>
    <x v="3"/>
    <x v="3"/>
    <n v="1722.28"/>
    <n v="1174.06"/>
    <n v="8"/>
    <n v="13778.24"/>
    <n v="9392.48"/>
    <n v="4385.76"/>
    <n v="0.31831061151496853"/>
    <x v="0"/>
  </r>
  <r>
    <d v="2024-03-02T00:00:00"/>
    <x v="8"/>
    <x v="1"/>
    <x v="2"/>
    <n v="787.5"/>
    <n v="493.97"/>
    <n v="6"/>
    <n v="4725"/>
    <n v="2963.82"/>
    <n v="1761.1799999999998"/>
    <n v="0.37273650793650792"/>
    <x v="29"/>
  </r>
  <r>
    <d v="2022-10-27T00:00:00"/>
    <x v="6"/>
    <x v="3"/>
    <x v="2"/>
    <n v="1589.2"/>
    <n v="1025.2"/>
    <n v="10"/>
    <n v="15892"/>
    <n v="10252"/>
    <n v="5640"/>
    <n v="0.3548955449282658"/>
    <x v="25"/>
  </r>
  <r>
    <d v="2024-05-30T00:00:00"/>
    <x v="8"/>
    <x v="1"/>
    <x v="2"/>
    <n v="467.54"/>
    <n v="409.15"/>
    <n v="6"/>
    <n v="2805.2400000000002"/>
    <n v="2454.8999999999996"/>
    <n v="350.3400000000006"/>
    <n v="0.12488771014244791"/>
    <x v="3"/>
  </r>
  <r>
    <d v="2023-07-12T00:00:00"/>
    <x v="9"/>
    <x v="3"/>
    <x v="2"/>
    <n v="968.48"/>
    <n v="754.5"/>
    <n v="5"/>
    <n v="4842.3999999999996"/>
    <n v="3772.5"/>
    <n v="1069.8999999999996"/>
    <n v="0.22094415992070043"/>
    <x v="11"/>
  </r>
  <r>
    <d v="2023-09-27T00:00:00"/>
    <x v="4"/>
    <x v="2"/>
    <x v="1"/>
    <n v="1681.42"/>
    <n v="1111.73"/>
    <n v="8"/>
    <n v="13451.36"/>
    <n v="8893.84"/>
    <n v="4557.5200000000004"/>
    <n v="0.33881481129045687"/>
    <x v="24"/>
  </r>
  <r>
    <d v="2023-07-14T00:00:00"/>
    <x v="8"/>
    <x v="1"/>
    <x v="3"/>
    <n v="757.84"/>
    <n v="510.38"/>
    <n v="8"/>
    <n v="6062.72"/>
    <n v="4083.04"/>
    <n v="1979.6800000000003"/>
    <n v="0.32653330518315216"/>
    <x v="11"/>
  </r>
  <r>
    <d v="2023-11-06T00:00:00"/>
    <x v="10"/>
    <x v="2"/>
    <x v="0"/>
    <n v="1528.94"/>
    <n v="981.68"/>
    <n v="4"/>
    <n v="6115.76"/>
    <n v="3926.72"/>
    <n v="2189.0400000000004"/>
    <n v="0.35793425510484395"/>
    <x v="10"/>
  </r>
  <r>
    <d v="2024-04-24T00:00:00"/>
    <x v="1"/>
    <x v="1"/>
    <x v="2"/>
    <n v="1571.6"/>
    <n v="1279.44"/>
    <n v="10"/>
    <n v="15716"/>
    <n v="12794.400000000001"/>
    <n v="2921.5999999999985"/>
    <n v="0.18589972003054203"/>
    <x v="22"/>
  </r>
  <r>
    <d v="2024-03-08T00:00:00"/>
    <x v="6"/>
    <x v="3"/>
    <x v="3"/>
    <n v="145.33000000000001"/>
    <n v="93.01"/>
    <n v="3"/>
    <n v="435.99"/>
    <n v="279.03000000000003"/>
    <n v="156.95999999999998"/>
    <n v="0.36000825707011624"/>
    <x v="29"/>
  </r>
  <r>
    <d v="2024-03-01T00:00:00"/>
    <x v="1"/>
    <x v="1"/>
    <x v="2"/>
    <n v="1282.27"/>
    <n v="978.24"/>
    <n v="5"/>
    <n v="6411.35"/>
    <n v="4891.2"/>
    <n v="1520.1500000000005"/>
    <n v="0.2371029502366897"/>
    <x v="29"/>
  </r>
  <r>
    <d v="2024-11-11T00:00:00"/>
    <x v="0"/>
    <x v="0"/>
    <x v="0"/>
    <n v="1097.7"/>
    <n v="764.36"/>
    <n v="6"/>
    <n v="6586.2000000000007"/>
    <n v="4586.16"/>
    <n v="2000.0400000000009"/>
    <n v="0.30367131274483022"/>
    <x v="2"/>
  </r>
  <r>
    <d v="2023-08-22T00:00:00"/>
    <x v="0"/>
    <x v="0"/>
    <x v="1"/>
    <n v="513.67999999999995"/>
    <n v="290.24"/>
    <n v="6"/>
    <n v="3082.08"/>
    <n v="1741.44"/>
    <n v="1340.6399999999999"/>
    <n v="0.4349789752375019"/>
    <x v="14"/>
  </r>
  <r>
    <d v="2023-12-03T00:00:00"/>
    <x v="7"/>
    <x v="0"/>
    <x v="1"/>
    <n v="777.87"/>
    <n v="560.77"/>
    <n v="8"/>
    <n v="6222.96"/>
    <n v="4486.16"/>
    <n v="1736.8000000000002"/>
    <n v="0.27909547867895668"/>
    <x v="30"/>
  </r>
  <r>
    <d v="2022-04-19T00:00:00"/>
    <x v="2"/>
    <x v="0"/>
    <x v="0"/>
    <n v="904.89"/>
    <n v="765.41"/>
    <n v="6"/>
    <n v="5429.34"/>
    <n v="4592.46"/>
    <n v="836.88000000000011"/>
    <n v="0.15414028224425069"/>
    <x v="32"/>
  </r>
  <r>
    <d v="2022-06-26T00:00:00"/>
    <x v="5"/>
    <x v="3"/>
    <x v="2"/>
    <n v="1544.6"/>
    <n v="870.44"/>
    <n v="7"/>
    <n v="10812.199999999999"/>
    <n v="6093.08"/>
    <n v="4719.119999999999"/>
    <n v="0.43646251456687812"/>
    <x v="18"/>
  </r>
  <r>
    <d v="2022-07-26T00:00:00"/>
    <x v="10"/>
    <x v="2"/>
    <x v="1"/>
    <n v="107.79"/>
    <n v="86.03"/>
    <n v="5"/>
    <n v="538.95000000000005"/>
    <n v="430.15"/>
    <n v="108.80000000000007"/>
    <n v="0.20187401428703972"/>
    <x v="8"/>
  </r>
  <r>
    <d v="2024-11-17T00:00:00"/>
    <x v="2"/>
    <x v="0"/>
    <x v="0"/>
    <n v="809.62"/>
    <n v="585.53"/>
    <n v="10"/>
    <n v="8096.2"/>
    <n v="5855.2999999999993"/>
    <n v="2240.9000000000005"/>
    <n v="0.27678417035152303"/>
    <x v="2"/>
  </r>
  <r>
    <d v="2022-01-06T00:00:00"/>
    <x v="7"/>
    <x v="0"/>
    <x v="2"/>
    <n v="1902.55"/>
    <n v="1165.4000000000001"/>
    <n v="3"/>
    <n v="5707.65"/>
    <n v="3496.2000000000003"/>
    <n v="2211.4499999999994"/>
    <n v="0.38745368058658108"/>
    <x v="9"/>
  </r>
  <r>
    <d v="2022-09-23T00:00:00"/>
    <x v="1"/>
    <x v="1"/>
    <x v="3"/>
    <n v="192.32"/>
    <n v="160.21"/>
    <n v="10"/>
    <n v="1923.1999999999998"/>
    <n v="1602.1000000000001"/>
    <n v="321.09999999999968"/>
    <n v="0.1669613144758734"/>
    <x v="12"/>
  </r>
  <r>
    <d v="2024-04-05T00:00:00"/>
    <x v="1"/>
    <x v="1"/>
    <x v="3"/>
    <n v="1412.38"/>
    <n v="765.44"/>
    <n v="2"/>
    <n v="2824.76"/>
    <n v="1530.88"/>
    <n v="1293.8800000000001"/>
    <n v="0.45804953341168808"/>
    <x v="22"/>
  </r>
  <r>
    <d v="2022-03-14T00:00:00"/>
    <x v="10"/>
    <x v="2"/>
    <x v="2"/>
    <n v="1480.72"/>
    <n v="741.95"/>
    <n v="1"/>
    <n v="1480.72"/>
    <n v="741.95"/>
    <n v="738.77"/>
    <n v="0.49892619806580579"/>
    <x v="7"/>
  </r>
  <r>
    <d v="2024-04-16T00:00:00"/>
    <x v="6"/>
    <x v="3"/>
    <x v="2"/>
    <n v="1357.05"/>
    <n v="793.27"/>
    <n v="8"/>
    <n v="10856.4"/>
    <n v="6346.16"/>
    <n v="4510.24"/>
    <n v="0.41544526730776316"/>
    <x v="22"/>
  </r>
  <r>
    <d v="2023-08-22T00:00:00"/>
    <x v="10"/>
    <x v="2"/>
    <x v="3"/>
    <n v="917.65"/>
    <n v="479.78"/>
    <n v="6"/>
    <n v="5505.9"/>
    <n v="2878.68"/>
    <n v="2627.22"/>
    <n v="0.47716449626764018"/>
    <x v="14"/>
  </r>
  <r>
    <d v="2024-12-20T00:00:00"/>
    <x v="10"/>
    <x v="2"/>
    <x v="1"/>
    <n v="766.3"/>
    <n v="639.21"/>
    <n v="6"/>
    <n v="4597.7999999999993"/>
    <n v="3835.26"/>
    <n v="762.53999999999905"/>
    <n v="0.16584888424898847"/>
    <x v="23"/>
  </r>
  <r>
    <d v="2022-12-24T00:00:00"/>
    <x v="10"/>
    <x v="2"/>
    <x v="2"/>
    <n v="255.97"/>
    <n v="167.42"/>
    <n v="7"/>
    <n v="1791.79"/>
    <n v="1171.9399999999998"/>
    <n v="619.85000000000014"/>
    <n v="0.3459389772238935"/>
    <x v="33"/>
  </r>
  <r>
    <d v="2023-01-21T00:00:00"/>
    <x v="10"/>
    <x v="2"/>
    <x v="1"/>
    <n v="340.33"/>
    <n v="286.17"/>
    <n v="10"/>
    <n v="3403.2999999999997"/>
    <n v="2861.7000000000003"/>
    <n v="541.59999999999945"/>
    <n v="0.15913965856668513"/>
    <x v="13"/>
  </r>
  <r>
    <d v="2024-11-08T00:00:00"/>
    <x v="2"/>
    <x v="0"/>
    <x v="0"/>
    <n v="1044.26"/>
    <n v="558.48"/>
    <n v="8"/>
    <n v="8354.08"/>
    <n v="4467.84"/>
    <n v="3886.24"/>
    <n v="0.46519066132955394"/>
    <x v="2"/>
  </r>
  <r>
    <d v="2023-06-27T00:00:00"/>
    <x v="5"/>
    <x v="3"/>
    <x v="3"/>
    <n v="1028.78"/>
    <n v="916.71"/>
    <n v="7"/>
    <n v="7201.46"/>
    <n v="6416.97"/>
    <n v="784.48999999999978"/>
    <n v="0.10893485487664999"/>
    <x v="0"/>
  </r>
  <r>
    <d v="2024-12-13T00:00:00"/>
    <x v="4"/>
    <x v="2"/>
    <x v="3"/>
    <n v="782.61"/>
    <n v="514.71"/>
    <n v="7"/>
    <n v="5478.27"/>
    <n v="3602.9700000000003"/>
    <n v="1875.3000000000002"/>
    <n v="0.34231609613983977"/>
    <x v="23"/>
  </r>
  <r>
    <d v="2024-08-18T00:00:00"/>
    <x v="9"/>
    <x v="3"/>
    <x v="3"/>
    <n v="1021.44"/>
    <n v="543.16"/>
    <n v="6"/>
    <n v="6128.64"/>
    <n v="3258.96"/>
    <n v="2869.6800000000003"/>
    <n v="0.46824091478696744"/>
    <x v="21"/>
  </r>
  <r>
    <d v="2024-03-03T00:00:00"/>
    <x v="5"/>
    <x v="3"/>
    <x v="0"/>
    <n v="1861.58"/>
    <n v="1090.08"/>
    <n v="1"/>
    <n v="1861.58"/>
    <n v="1090.08"/>
    <n v="771.5"/>
    <n v="0.41443290108402542"/>
    <x v="29"/>
  </r>
  <r>
    <d v="2024-10-16T00:00:00"/>
    <x v="1"/>
    <x v="1"/>
    <x v="2"/>
    <n v="1913.58"/>
    <n v="1430.58"/>
    <n v="4"/>
    <n v="7654.32"/>
    <n v="5722.32"/>
    <n v="1932"/>
    <n v="0.25240648418148182"/>
    <x v="17"/>
  </r>
  <r>
    <d v="2022-12-23T00:00:00"/>
    <x v="6"/>
    <x v="3"/>
    <x v="3"/>
    <n v="1499.61"/>
    <n v="1039.69"/>
    <n v="3"/>
    <n v="4498.83"/>
    <n v="3119.07"/>
    <n v="1379.7599999999998"/>
    <n v="0.30669307353245173"/>
    <x v="33"/>
  </r>
  <r>
    <d v="2022-10-08T00:00:00"/>
    <x v="0"/>
    <x v="0"/>
    <x v="3"/>
    <n v="591.75"/>
    <n v="307.8"/>
    <n v="3"/>
    <n v="1775.25"/>
    <n v="923.40000000000009"/>
    <n v="851.84999999999991"/>
    <n v="0.47984790874524708"/>
    <x v="25"/>
  </r>
  <r>
    <d v="2024-12-16T00:00:00"/>
    <x v="6"/>
    <x v="3"/>
    <x v="2"/>
    <n v="1416.23"/>
    <n v="906.75"/>
    <n v="9"/>
    <n v="12746.07"/>
    <n v="8160.75"/>
    <n v="4585.32"/>
    <n v="0.35974382692076851"/>
    <x v="23"/>
  </r>
  <r>
    <d v="2022-08-12T00:00:00"/>
    <x v="8"/>
    <x v="1"/>
    <x v="2"/>
    <n v="1222.98"/>
    <n v="1026.92"/>
    <n v="5"/>
    <n v="6114.9"/>
    <n v="5134.6000000000004"/>
    <n v="980.29999999999927"/>
    <n v="0.16031333300626327"/>
    <x v="15"/>
  </r>
  <r>
    <d v="2024-02-11T00:00:00"/>
    <x v="3"/>
    <x v="2"/>
    <x v="1"/>
    <n v="369.62"/>
    <n v="244.52"/>
    <n v="9"/>
    <n v="3326.58"/>
    <n v="2200.6800000000003"/>
    <n v="1125.8999999999996"/>
    <n v="0.33845571127103502"/>
    <x v="34"/>
  </r>
  <r>
    <d v="2023-10-26T00:00:00"/>
    <x v="2"/>
    <x v="0"/>
    <x v="2"/>
    <n v="1018.25"/>
    <n v="670.85"/>
    <n v="7"/>
    <n v="7127.75"/>
    <n v="4695.95"/>
    <n v="2431.8000000000002"/>
    <n v="0.34117358212619692"/>
    <x v="5"/>
  </r>
  <r>
    <d v="2023-06-03T00:00:00"/>
    <x v="5"/>
    <x v="3"/>
    <x v="0"/>
    <n v="366.45"/>
    <n v="265.06"/>
    <n v="10"/>
    <n v="3664.5"/>
    <n v="2650.6"/>
    <n v="1013.9000000000001"/>
    <n v="0.27668167553554374"/>
    <x v="0"/>
  </r>
  <r>
    <d v="2022-11-28T00:00:00"/>
    <x v="5"/>
    <x v="3"/>
    <x v="2"/>
    <n v="355.41"/>
    <n v="264.48"/>
    <n v="8"/>
    <n v="2843.28"/>
    <n v="2115.84"/>
    <n v="727.44"/>
    <n v="0.25584536169494387"/>
    <x v="1"/>
  </r>
  <r>
    <d v="2023-03-12T00:00:00"/>
    <x v="0"/>
    <x v="0"/>
    <x v="1"/>
    <n v="709.95"/>
    <n v="608.67999999999995"/>
    <n v="6"/>
    <n v="4259.7000000000007"/>
    <n v="3652.08"/>
    <n v="607.6200000000008"/>
    <n v="0.14264384815832118"/>
    <x v="19"/>
  </r>
  <r>
    <d v="2022-11-22T00:00:00"/>
    <x v="5"/>
    <x v="3"/>
    <x v="2"/>
    <n v="965.89"/>
    <n v="709.54"/>
    <n v="3"/>
    <n v="2897.67"/>
    <n v="2128.62"/>
    <n v="769.05000000000018"/>
    <n v="0.26540289266893752"/>
    <x v="1"/>
  </r>
  <r>
    <d v="2024-01-01T00:00:00"/>
    <x v="0"/>
    <x v="0"/>
    <x v="1"/>
    <n v="364.86"/>
    <n v="199.09"/>
    <n v="3"/>
    <n v="1094.58"/>
    <n v="597.27"/>
    <n v="497.30999999999995"/>
    <n v="0.45433865044126515"/>
    <x v="26"/>
  </r>
  <r>
    <d v="2024-03-25T00:00:00"/>
    <x v="1"/>
    <x v="1"/>
    <x v="1"/>
    <n v="465.37"/>
    <n v="391.33"/>
    <n v="2"/>
    <n v="930.74"/>
    <n v="782.66"/>
    <n v="148.08000000000004"/>
    <n v="0.15909921138019215"/>
    <x v="29"/>
  </r>
  <r>
    <d v="2022-10-23T00:00:00"/>
    <x v="7"/>
    <x v="0"/>
    <x v="3"/>
    <n v="989.63"/>
    <n v="619.75"/>
    <n v="5"/>
    <n v="4948.1499999999996"/>
    <n v="3098.75"/>
    <n v="1849.3999999999996"/>
    <n v="0.37375584814526636"/>
    <x v="25"/>
  </r>
  <r>
    <d v="2022-10-02T00:00:00"/>
    <x v="7"/>
    <x v="0"/>
    <x v="3"/>
    <n v="92.54"/>
    <n v="49.69"/>
    <n v="2"/>
    <n v="185.08"/>
    <n v="99.38"/>
    <n v="85.700000000000017"/>
    <n v="0.46304300842878759"/>
    <x v="25"/>
  </r>
  <r>
    <d v="2024-02-17T00:00:00"/>
    <x v="5"/>
    <x v="3"/>
    <x v="3"/>
    <n v="1129.98"/>
    <n v="1013.29"/>
    <n v="10"/>
    <n v="11299.8"/>
    <n v="10132.9"/>
    <n v="1166.8999999999996"/>
    <n v="0.10326731446574273"/>
    <x v="34"/>
  </r>
  <r>
    <d v="2024-08-30T00:00:00"/>
    <x v="5"/>
    <x v="3"/>
    <x v="0"/>
    <n v="992.53"/>
    <n v="856.32"/>
    <n v="5"/>
    <n v="4962.6499999999996"/>
    <n v="4281.6000000000004"/>
    <n v="681.04999999999927"/>
    <n v="0.13723514654468869"/>
    <x v="21"/>
  </r>
  <r>
    <d v="2024-01-15T00:00:00"/>
    <x v="8"/>
    <x v="1"/>
    <x v="0"/>
    <n v="1437.09"/>
    <n v="767.9"/>
    <n v="7"/>
    <n v="10059.629999999999"/>
    <n v="5375.3"/>
    <n v="4684.329999999999"/>
    <n v="0.46565629153358518"/>
    <x v="26"/>
  </r>
  <r>
    <d v="2023-12-15T00:00:00"/>
    <x v="0"/>
    <x v="0"/>
    <x v="0"/>
    <n v="1923.73"/>
    <n v="1275.19"/>
    <n v="6"/>
    <n v="11542.380000000001"/>
    <n v="7651.14"/>
    <n v="3891.2400000000007"/>
    <n v="0.33712631190447728"/>
    <x v="30"/>
  </r>
  <r>
    <d v="2023-04-13T00:00:00"/>
    <x v="9"/>
    <x v="3"/>
    <x v="1"/>
    <n v="1720.67"/>
    <n v="1337.74"/>
    <n v="4"/>
    <n v="6882.68"/>
    <n v="5350.96"/>
    <n v="1531.7200000000003"/>
    <n v="0.22254703109835125"/>
    <x v="6"/>
  </r>
  <r>
    <d v="2022-09-06T00:00:00"/>
    <x v="6"/>
    <x v="3"/>
    <x v="2"/>
    <n v="476.47"/>
    <n v="375.88"/>
    <n v="1"/>
    <n v="476.47"/>
    <n v="375.88"/>
    <n v="100.59000000000003"/>
    <n v="0.21111507545071048"/>
    <x v="12"/>
  </r>
  <r>
    <d v="2022-11-18T00:00:00"/>
    <x v="9"/>
    <x v="3"/>
    <x v="2"/>
    <n v="828.66"/>
    <n v="654.05999999999995"/>
    <n v="3"/>
    <n v="2485.98"/>
    <n v="1962.1799999999998"/>
    <n v="523.80000000000018"/>
    <n v="0.21070161465498524"/>
    <x v="1"/>
  </r>
  <r>
    <d v="2023-12-31T00:00:00"/>
    <x v="2"/>
    <x v="0"/>
    <x v="2"/>
    <n v="683.9"/>
    <n v="364.47"/>
    <n v="10"/>
    <n v="6839"/>
    <n v="3644.7000000000003"/>
    <n v="3194.2999999999997"/>
    <n v="0.46707120924111706"/>
    <x v="30"/>
  </r>
  <r>
    <d v="2023-02-17T00:00:00"/>
    <x v="10"/>
    <x v="2"/>
    <x v="0"/>
    <n v="197.3"/>
    <n v="132.43"/>
    <n v="4"/>
    <n v="789.2"/>
    <n v="529.72"/>
    <n v="259.48"/>
    <n v="0.32878864673086672"/>
    <x v="27"/>
  </r>
  <r>
    <d v="2023-11-04T00:00:00"/>
    <x v="1"/>
    <x v="1"/>
    <x v="2"/>
    <n v="429.45"/>
    <n v="291.83999999999997"/>
    <n v="10"/>
    <n v="4294.5"/>
    <n v="2918.3999999999996"/>
    <n v="1376.1000000000004"/>
    <n v="0.3204331121201538"/>
    <x v="10"/>
  </r>
  <r>
    <d v="2023-04-10T00:00:00"/>
    <x v="3"/>
    <x v="2"/>
    <x v="3"/>
    <n v="395.62"/>
    <n v="311.23"/>
    <n v="3"/>
    <n v="1186.8600000000001"/>
    <n v="933.69"/>
    <n v="253.17000000000007"/>
    <n v="0.21331075274253075"/>
    <x v="6"/>
  </r>
  <r>
    <d v="2024-12-22T00:00:00"/>
    <x v="8"/>
    <x v="1"/>
    <x v="1"/>
    <n v="296.99"/>
    <n v="189.84"/>
    <n v="6"/>
    <n v="1781.94"/>
    <n v="1139.04"/>
    <n v="642.90000000000009"/>
    <n v="0.3607865584699822"/>
    <x v="23"/>
  </r>
  <r>
    <d v="2023-03-07T00:00:00"/>
    <x v="8"/>
    <x v="1"/>
    <x v="1"/>
    <n v="110.52"/>
    <n v="92.69"/>
    <n v="1"/>
    <n v="110.52"/>
    <n v="92.69"/>
    <n v="17.829999999999998"/>
    <n v="0.1613282663771263"/>
    <x v="19"/>
  </r>
  <r>
    <d v="2023-05-28T00:00:00"/>
    <x v="0"/>
    <x v="0"/>
    <x v="3"/>
    <n v="1208.32"/>
    <n v="850.84"/>
    <n v="5"/>
    <n v="6041.5999999999995"/>
    <n v="4254.2"/>
    <n v="1787.3999999999996"/>
    <n v="0.29584878177966101"/>
    <x v="31"/>
  </r>
  <r>
    <d v="2023-10-03T00:00:00"/>
    <x v="4"/>
    <x v="2"/>
    <x v="3"/>
    <n v="1366.57"/>
    <n v="760.61"/>
    <n v="10"/>
    <n v="13665.699999999999"/>
    <n v="7606.1"/>
    <n v="6059.5999999999985"/>
    <n v="0.44341672947598726"/>
    <x v="5"/>
  </r>
  <r>
    <d v="2023-10-11T00:00:00"/>
    <x v="3"/>
    <x v="2"/>
    <x v="3"/>
    <n v="1292.47"/>
    <n v="1008.37"/>
    <n v="2"/>
    <n v="2584.94"/>
    <n v="2016.74"/>
    <n v="568.20000000000005"/>
    <n v="0.21981167841419919"/>
    <x v="5"/>
  </r>
  <r>
    <d v="2024-10-17T00:00:00"/>
    <x v="0"/>
    <x v="0"/>
    <x v="3"/>
    <n v="431.99"/>
    <n v="373.02"/>
    <n v="7"/>
    <n v="3023.9300000000003"/>
    <n v="2611.14"/>
    <n v="412.79000000000042"/>
    <n v="0.13650778953216522"/>
    <x v="17"/>
  </r>
  <r>
    <d v="2023-11-07T00:00:00"/>
    <x v="4"/>
    <x v="2"/>
    <x v="2"/>
    <n v="1090.48"/>
    <n v="610.67999999999995"/>
    <n v="6"/>
    <n v="6542.88"/>
    <n v="3664.08"/>
    <n v="2878.8"/>
    <n v="0.43998972929352215"/>
    <x v="10"/>
  </r>
  <r>
    <d v="2022-03-05T00:00:00"/>
    <x v="6"/>
    <x v="3"/>
    <x v="0"/>
    <n v="794.6"/>
    <n v="586.48"/>
    <n v="2"/>
    <n v="1589.2"/>
    <n v="1172.96"/>
    <n v="416.24"/>
    <n v="0.26191794613642083"/>
    <x v="7"/>
  </r>
  <r>
    <d v="2023-12-13T00:00:00"/>
    <x v="9"/>
    <x v="3"/>
    <x v="2"/>
    <n v="606.96"/>
    <n v="485.2"/>
    <n v="10"/>
    <n v="6069.6"/>
    <n v="4852"/>
    <n v="1217.6000000000004"/>
    <n v="0.20060630025042842"/>
    <x v="30"/>
  </r>
  <r>
    <d v="2024-03-30T00:00:00"/>
    <x v="10"/>
    <x v="2"/>
    <x v="2"/>
    <n v="495.37"/>
    <n v="365.29"/>
    <n v="5"/>
    <n v="2476.85"/>
    <n v="1826.45"/>
    <n v="650.39999999999986"/>
    <n v="0.2625915981993257"/>
    <x v="29"/>
  </r>
  <r>
    <d v="2022-10-15T00:00:00"/>
    <x v="6"/>
    <x v="3"/>
    <x v="0"/>
    <n v="1461.31"/>
    <n v="1173.83"/>
    <n v="1"/>
    <n v="1461.31"/>
    <n v="1173.83"/>
    <n v="287.48"/>
    <n v="0.19672759373438903"/>
    <x v="25"/>
  </r>
  <r>
    <d v="2023-02-12T00:00:00"/>
    <x v="0"/>
    <x v="0"/>
    <x v="0"/>
    <n v="257.98"/>
    <n v="132.71"/>
    <n v="9"/>
    <n v="2321.8200000000002"/>
    <n v="1194.3900000000001"/>
    <n v="1127.43"/>
    <n v="0.48558027754089461"/>
    <x v="27"/>
  </r>
  <r>
    <d v="2022-06-30T00:00:00"/>
    <x v="5"/>
    <x v="3"/>
    <x v="2"/>
    <n v="1472.23"/>
    <n v="767.14"/>
    <n v="4"/>
    <n v="5888.92"/>
    <n v="3068.56"/>
    <n v="2820.36"/>
    <n v="0.47892652642589817"/>
    <x v="18"/>
  </r>
  <r>
    <d v="2022-04-07T00:00:00"/>
    <x v="0"/>
    <x v="0"/>
    <x v="3"/>
    <n v="1775.86"/>
    <n v="1588.25"/>
    <n v="4"/>
    <n v="7103.44"/>
    <n v="6353"/>
    <n v="750.4399999999996"/>
    <n v="0.10564458910049211"/>
    <x v="32"/>
  </r>
  <r>
    <d v="2022-06-07T00:00:00"/>
    <x v="1"/>
    <x v="1"/>
    <x v="0"/>
    <n v="1425.77"/>
    <n v="1243.18"/>
    <n v="2"/>
    <n v="2851.54"/>
    <n v="2486.36"/>
    <n v="365.17999999999984"/>
    <n v="0.1280641337663157"/>
    <x v="18"/>
  </r>
  <r>
    <d v="2024-10-28T00:00:00"/>
    <x v="6"/>
    <x v="3"/>
    <x v="0"/>
    <n v="857.76"/>
    <n v="468.72"/>
    <n v="6"/>
    <n v="5146.5599999999995"/>
    <n v="2812.32"/>
    <n v="2334.2399999999993"/>
    <n v="0.45355344152210397"/>
    <x v="17"/>
  </r>
  <r>
    <d v="2023-03-08T00:00:00"/>
    <x v="6"/>
    <x v="3"/>
    <x v="1"/>
    <n v="868.88"/>
    <n v="713.61"/>
    <n v="7"/>
    <n v="6082.16"/>
    <n v="4995.2700000000004"/>
    <n v="1086.8899999999994"/>
    <n v="0.17870131663751027"/>
    <x v="19"/>
  </r>
  <r>
    <d v="2024-11-06T00:00:00"/>
    <x v="2"/>
    <x v="0"/>
    <x v="3"/>
    <n v="1028.1300000000001"/>
    <n v="680.13"/>
    <n v="8"/>
    <n v="8225.0400000000009"/>
    <n v="5441.04"/>
    <n v="2784.0000000000009"/>
    <n v="0.33847859706457362"/>
    <x v="2"/>
  </r>
  <r>
    <d v="2024-12-06T00:00:00"/>
    <x v="0"/>
    <x v="0"/>
    <x v="0"/>
    <n v="366.73"/>
    <n v="313.64999999999998"/>
    <n v="3"/>
    <n v="1100.19"/>
    <n v="940.94999999999993"/>
    <n v="159.24000000000012"/>
    <n v="0.14473863605377263"/>
    <x v="23"/>
  </r>
  <r>
    <d v="2024-04-18T00:00:00"/>
    <x v="8"/>
    <x v="1"/>
    <x v="3"/>
    <n v="1675.73"/>
    <n v="1055.52"/>
    <n v="5"/>
    <n v="8378.65"/>
    <n v="5277.6"/>
    <n v="3101.0499999999993"/>
    <n v="0.37011332374547207"/>
    <x v="22"/>
  </r>
  <r>
    <d v="2022-07-25T00:00:00"/>
    <x v="2"/>
    <x v="0"/>
    <x v="2"/>
    <n v="820.06"/>
    <n v="643.55999999999995"/>
    <n v="8"/>
    <n v="6560.48"/>
    <n v="5148.4799999999996"/>
    <n v="1412"/>
    <n v="0.21522815403750947"/>
    <x v="8"/>
  </r>
  <r>
    <d v="2022-04-24T00:00:00"/>
    <x v="10"/>
    <x v="2"/>
    <x v="3"/>
    <n v="497.3"/>
    <n v="434.13"/>
    <n v="3"/>
    <n v="1491.9"/>
    <n v="1302.3899999999999"/>
    <n v="189.51000000000022"/>
    <n v="0.12702594007641277"/>
    <x v="32"/>
  </r>
  <r>
    <d v="2023-04-28T00:00:00"/>
    <x v="3"/>
    <x v="2"/>
    <x v="1"/>
    <n v="130.9"/>
    <n v="73.98"/>
    <n v="6"/>
    <n v="785.40000000000009"/>
    <n v="443.88"/>
    <n v="341.5200000000001"/>
    <n v="0.43483575248281137"/>
    <x v="6"/>
  </r>
  <r>
    <d v="2023-12-12T00:00:00"/>
    <x v="7"/>
    <x v="0"/>
    <x v="2"/>
    <n v="1093.58"/>
    <n v="699.51"/>
    <n v="3"/>
    <n v="3280.74"/>
    <n v="2098.5299999999997"/>
    <n v="1182.21"/>
    <n v="0.36034857989356062"/>
    <x v="30"/>
  </r>
  <r>
    <d v="2023-09-17T00:00:00"/>
    <x v="8"/>
    <x v="1"/>
    <x v="1"/>
    <n v="295.72000000000003"/>
    <n v="231.58"/>
    <n v="8"/>
    <n v="2365.7600000000002"/>
    <n v="1852.64"/>
    <n v="513.12000000000012"/>
    <n v="0.21689435952928449"/>
    <x v="24"/>
  </r>
  <r>
    <d v="2023-11-26T00:00:00"/>
    <x v="5"/>
    <x v="3"/>
    <x v="2"/>
    <n v="596.84"/>
    <n v="506.73"/>
    <n v="6"/>
    <n v="3581.04"/>
    <n v="3040.38"/>
    <n v="540.65999999999985"/>
    <n v="0.15097848669660208"/>
    <x v="10"/>
  </r>
  <r>
    <d v="2024-03-29T00:00:00"/>
    <x v="4"/>
    <x v="2"/>
    <x v="1"/>
    <n v="1618.94"/>
    <n v="818.05"/>
    <n v="4"/>
    <n v="6475.76"/>
    <n v="3272.2"/>
    <n v="3203.5600000000004"/>
    <n v="0.49470023595686069"/>
    <x v="29"/>
  </r>
  <r>
    <d v="2024-12-18T00:00:00"/>
    <x v="3"/>
    <x v="2"/>
    <x v="1"/>
    <n v="580.71"/>
    <n v="320.18"/>
    <n v="7"/>
    <n v="4064.9700000000003"/>
    <n v="2241.2600000000002"/>
    <n v="1823.71"/>
    <n v="0.4486404573711491"/>
    <x v="23"/>
  </r>
  <r>
    <d v="2022-06-15T00:00:00"/>
    <x v="6"/>
    <x v="3"/>
    <x v="3"/>
    <n v="258.3"/>
    <n v="229.75"/>
    <n v="7"/>
    <n v="1808.1000000000001"/>
    <n v="1608.25"/>
    <n v="199.85000000000014"/>
    <n v="0.11053039101819596"/>
    <x v="18"/>
  </r>
  <r>
    <d v="2022-11-13T00:00:00"/>
    <x v="1"/>
    <x v="1"/>
    <x v="1"/>
    <n v="1764.26"/>
    <n v="966.19"/>
    <n v="5"/>
    <n v="8821.2999999999993"/>
    <n v="4830.9500000000007"/>
    <n v="3990.3499999999985"/>
    <n v="0.4523539614342556"/>
    <x v="1"/>
  </r>
  <r>
    <d v="2024-10-22T00:00:00"/>
    <x v="10"/>
    <x v="2"/>
    <x v="3"/>
    <n v="151.74"/>
    <n v="87.68"/>
    <n v="6"/>
    <n v="910.44"/>
    <n v="526.08000000000004"/>
    <n v="384.36"/>
    <n v="0.42216950046131541"/>
    <x v="17"/>
  </r>
  <r>
    <d v="2023-07-31T00:00:00"/>
    <x v="9"/>
    <x v="3"/>
    <x v="3"/>
    <n v="857.71"/>
    <n v="731.13"/>
    <n v="10"/>
    <n v="8577.1"/>
    <n v="7311.3"/>
    <n v="1265.8000000000002"/>
    <n v="0.14757901854939318"/>
    <x v="11"/>
  </r>
  <r>
    <d v="2024-02-26T00:00:00"/>
    <x v="5"/>
    <x v="3"/>
    <x v="1"/>
    <n v="1104.31"/>
    <n v="928.96"/>
    <n v="5"/>
    <n v="5521.5499999999993"/>
    <n v="4644.8"/>
    <n v="876.74999999999909"/>
    <n v="0.15878693482808254"/>
    <x v="34"/>
  </r>
  <r>
    <d v="2023-03-08T00:00:00"/>
    <x v="8"/>
    <x v="1"/>
    <x v="0"/>
    <n v="1184"/>
    <n v="1027.8800000000001"/>
    <n v="5"/>
    <n v="5920"/>
    <n v="5139.4000000000005"/>
    <n v="780.59999999999945"/>
    <n v="0.13185810810810802"/>
    <x v="19"/>
  </r>
  <r>
    <d v="2023-06-01T00:00:00"/>
    <x v="8"/>
    <x v="1"/>
    <x v="3"/>
    <n v="495.24"/>
    <n v="337.88"/>
    <n v="2"/>
    <n v="990.48"/>
    <n v="675.76"/>
    <n v="314.72000000000003"/>
    <n v="0.31774493175026253"/>
    <x v="0"/>
  </r>
  <r>
    <d v="2024-08-28T00:00:00"/>
    <x v="0"/>
    <x v="0"/>
    <x v="2"/>
    <n v="914.12"/>
    <n v="720"/>
    <n v="3"/>
    <n v="2742.36"/>
    <n v="2160"/>
    <n v="582.36000000000013"/>
    <n v="0.21235723974970466"/>
    <x v="21"/>
  </r>
  <r>
    <d v="2024-09-14T00:00:00"/>
    <x v="5"/>
    <x v="3"/>
    <x v="3"/>
    <n v="1679.93"/>
    <n v="896.42"/>
    <n v="4"/>
    <n v="6719.72"/>
    <n v="3585.68"/>
    <n v="3134.0400000000004"/>
    <n v="0.46639443310137929"/>
    <x v="16"/>
  </r>
  <r>
    <d v="2024-03-26T00:00:00"/>
    <x v="1"/>
    <x v="1"/>
    <x v="2"/>
    <n v="250.02"/>
    <n v="153.77000000000001"/>
    <n v="2"/>
    <n v="500.04"/>
    <n v="307.54000000000002"/>
    <n v="192.5"/>
    <n v="0.3849692024638029"/>
    <x v="29"/>
  </r>
  <r>
    <d v="2023-08-18T00:00:00"/>
    <x v="3"/>
    <x v="2"/>
    <x v="0"/>
    <n v="1064.3399999999999"/>
    <n v="754.69"/>
    <n v="9"/>
    <n v="9579.06"/>
    <n v="6792.2100000000009"/>
    <n v="2786.8499999999985"/>
    <n v="0.29093146926733926"/>
    <x v="14"/>
  </r>
  <r>
    <d v="2022-03-22T00:00:00"/>
    <x v="3"/>
    <x v="2"/>
    <x v="0"/>
    <n v="909.52"/>
    <n v="808.92"/>
    <n v="3"/>
    <n v="2728.56"/>
    <n v="2426.7599999999998"/>
    <n v="301.80000000000018"/>
    <n v="0.11060779312164665"/>
    <x v="7"/>
  </r>
  <r>
    <d v="2024-10-04T00:00:00"/>
    <x v="7"/>
    <x v="0"/>
    <x v="1"/>
    <n v="1171.55"/>
    <n v="708.24"/>
    <n v="4"/>
    <n v="4686.2"/>
    <n v="2832.96"/>
    <n v="1853.2399999999998"/>
    <n v="0.3954675429985916"/>
    <x v="17"/>
  </r>
  <r>
    <d v="2023-07-22T00:00:00"/>
    <x v="2"/>
    <x v="0"/>
    <x v="3"/>
    <n v="1138.5999999999999"/>
    <n v="740.16"/>
    <n v="5"/>
    <n v="5693"/>
    <n v="3700.7999999999997"/>
    <n v="1992.2000000000003"/>
    <n v="0.34993852099069039"/>
    <x v="11"/>
  </r>
  <r>
    <d v="2022-09-30T00:00:00"/>
    <x v="10"/>
    <x v="2"/>
    <x v="2"/>
    <n v="1001.45"/>
    <n v="694.69"/>
    <n v="4"/>
    <n v="4005.8"/>
    <n v="2778.76"/>
    <n v="1227.04"/>
    <n v="0.30631584202905782"/>
    <x v="12"/>
  </r>
  <r>
    <d v="2022-01-14T00:00:00"/>
    <x v="4"/>
    <x v="2"/>
    <x v="0"/>
    <n v="1870.78"/>
    <n v="1280.54"/>
    <n v="3"/>
    <n v="5612.34"/>
    <n v="3841.62"/>
    <n v="1770.7200000000003"/>
    <n v="0.31550476271929362"/>
    <x v="9"/>
  </r>
  <r>
    <d v="2023-12-31T00:00:00"/>
    <x v="4"/>
    <x v="2"/>
    <x v="0"/>
    <n v="410.78"/>
    <n v="282.32"/>
    <n v="2"/>
    <n v="821.56"/>
    <n v="564.64"/>
    <n v="256.91999999999996"/>
    <n v="0.31272213837090412"/>
    <x v="30"/>
  </r>
  <r>
    <d v="2022-10-18T00:00:00"/>
    <x v="5"/>
    <x v="3"/>
    <x v="2"/>
    <n v="383.85"/>
    <n v="305.02999999999997"/>
    <n v="8"/>
    <n v="3070.8"/>
    <n v="2440.2399999999998"/>
    <n v="630.5600000000004"/>
    <n v="0.20534062784942048"/>
    <x v="25"/>
  </r>
  <r>
    <d v="2022-05-16T00:00:00"/>
    <x v="5"/>
    <x v="3"/>
    <x v="2"/>
    <n v="1744.32"/>
    <n v="1351.05"/>
    <n v="2"/>
    <n v="3488.64"/>
    <n v="2702.1"/>
    <n v="786.54"/>
    <n v="0.22545748486516234"/>
    <x v="35"/>
  </r>
  <r>
    <d v="2024-12-02T00:00:00"/>
    <x v="2"/>
    <x v="0"/>
    <x v="2"/>
    <n v="1345.71"/>
    <n v="911.21"/>
    <n v="7"/>
    <n v="9419.9700000000012"/>
    <n v="6378.47"/>
    <n v="3041.5000000000009"/>
    <n v="0.32287788602299161"/>
    <x v="23"/>
  </r>
  <r>
    <d v="2024-10-23T00:00:00"/>
    <x v="3"/>
    <x v="2"/>
    <x v="1"/>
    <n v="299.18"/>
    <n v="151.66999999999999"/>
    <n v="7"/>
    <n v="2094.2600000000002"/>
    <n v="1061.6899999999998"/>
    <n v="1032.5700000000004"/>
    <n v="0.49304766361387808"/>
    <x v="17"/>
  </r>
  <r>
    <d v="2022-10-15T00:00:00"/>
    <x v="4"/>
    <x v="2"/>
    <x v="1"/>
    <n v="716.08"/>
    <n v="625.69000000000005"/>
    <n v="8"/>
    <n v="5728.64"/>
    <n v="5005.5200000000004"/>
    <n v="723.11999999999989"/>
    <n v="0.12622891297061778"/>
    <x v="25"/>
  </r>
  <r>
    <d v="2022-08-25T00:00:00"/>
    <x v="5"/>
    <x v="3"/>
    <x v="1"/>
    <n v="1586.97"/>
    <n v="1111.6199999999999"/>
    <n v="4"/>
    <n v="6347.88"/>
    <n v="4446.4799999999996"/>
    <n v="1901.4000000000005"/>
    <n v="0.29953307245883676"/>
    <x v="15"/>
  </r>
  <r>
    <d v="2024-11-26T00:00:00"/>
    <x v="6"/>
    <x v="3"/>
    <x v="0"/>
    <n v="808.05"/>
    <n v="639.17999999999995"/>
    <n v="6"/>
    <n v="4848.2999999999993"/>
    <n v="3835.08"/>
    <n v="1013.2199999999993"/>
    <n v="0.20898459253759039"/>
    <x v="2"/>
  </r>
  <r>
    <d v="2022-11-17T00:00:00"/>
    <x v="2"/>
    <x v="0"/>
    <x v="0"/>
    <n v="1967.71"/>
    <n v="1262.1400000000001"/>
    <n v="3"/>
    <n v="5903.13"/>
    <n v="3786.42"/>
    <n v="2116.71"/>
    <n v="0.35857418013833336"/>
    <x v="1"/>
  </r>
  <r>
    <d v="2023-04-08T00:00:00"/>
    <x v="2"/>
    <x v="0"/>
    <x v="0"/>
    <n v="1328.9"/>
    <n v="973.82"/>
    <n v="8"/>
    <n v="10631.2"/>
    <n v="7790.56"/>
    <n v="2840.6400000000003"/>
    <n v="0.26719843479569572"/>
    <x v="6"/>
  </r>
  <r>
    <d v="2022-05-20T00:00:00"/>
    <x v="7"/>
    <x v="0"/>
    <x v="0"/>
    <n v="447.35"/>
    <n v="226.78"/>
    <n v="9"/>
    <n v="4026.15"/>
    <n v="2041.02"/>
    <n v="1985.13"/>
    <n v="0.4930591259640103"/>
    <x v="35"/>
  </r>
  <r>
    <d v="2024-09-10T00:00:00"/>
    <x v="3"/>
    <x v="2"/>
    <x v="1"/>
    <n v="690.03"/>
    <n v="527.38"/>
    <n v="1"/>
    <n v="690.03"/>
    <n v="527.38"/>
    <n v="162.64999999999998"/>
    <n v="0.23571438922945376"/>
    <x v="16"/>
  </r>
  <r>
    <d v="2023-05-27T00:00:00"/>
    <x v="4"/>
    <x v="2"/>
    <x v="0"/>
    <n v="1942.75"/>
    <n v="1404.79"/>
    <n v="10"/>
    <n v="19427.5"/>
    <n v="14047.9"/>
    <n v="5379.6"/>
    <n v="0.27690644704671213"/>
    <x v="31"/>
  </r>
  <r>
    <d v="2024-08-05T00:00:00"/>
    <x v="9"/>
    <x v="3"/>
    <x v="0"/>
    <n v="336.06"/>
    <n v="294.54000000000002"/>
    <n v="5"/>
    <n v="1680.3"/>
    <n v="1472.7"/>
    <n v="207.59999999999991"/>
    <n v="0.12354936618460984"/>
    <x v="21"/>
  </r>
  <r>
    <d v="2023-12-01T00:00:00"/>
    <x v="8"/>
    <x v="1"/>
    <x v="3"/>
    <n v="1326.12"/>
    <n v="765.92"/>
    <n v="2"/>
    <n v="2652.24"/>
    <n v="1531.84"/>
    <n v="1120.3999999999999"/>
    <n v="0.42243537538081016"/>
    <x v="30"/>
  </r>
  <r>
    <d v="2024-03-26T00:00:00"/>
    <x v="1"/>
    <x v="1"/>
    <x v="3"/>
    <n v="184.55"/>
    <n v="150.97999999999999"/>
    <n v="8"/>
    <n v="1476.4"/>
    <n v="1207.8399999999999"/>
    <n v="268.56000000000017"/>
    <n v="0.18190192359794105"/>
    <x v="29"/>
  </r>
  <r>
    <d v="2022-03-05T00:00:00"/>
    <x v="8"/>
    <x v="1"/>
    <x v="2"/>
    <n v="369.48"/>
    <n v="222.85"/>
    <n v="7"/>
    <n v="2586.36"/>
    <n v="1559.95"/>
    <n v="1026.4100000000001"/>
    <n v="0.39685503951499407"/>
    <x v="7"/>
  </r>
  <r>
    <d v="2023-12-27T00:00:00"/>
    <x v="2"/>
    <x v="0"/>
    <x v="1"/>
    <n v="624.49"/>
    <n v="414.06"/>
    <n v="1"/>
    <n v="624.49"/>
    <n v="414.06"/>
    <n v="210.43"/>
    <n v="0.3369629617768099"/>
    <x v="30"/>
  </r>
  <r>
    <d v="2022-10-31T00:00:00"/>
    <x v="4"/>
    <x v="2"/>
    <x v="3"/>
    <n v="904.03"/>
    <n v="753.77"/>
    <n v="8"/>
    <n v="7232.24"/>
    <n v="6030.16"/>
    <n v="1202.08"/>
    <n v="0.16621129829762285"/>
    <x v="25"/>
  </r>
  <r>
    <d v="2023-03-19T00:00:00"/>
    <x v="3"/>
    <x v="2"/>
    <x v="2"/>
    <n v="1807.47"/>
    <n v="961.6"/>
    <n v="9"/>
    <n v="16267.23"/>
    <n v="8654.4"/>
    <n v="7612.83"/>
    <n v="0.46798563738263982"/>
    <x v="19"/>
  </r>
  <r>
    <d v="2022-08-22T00:00:00"/>
    <x v="5"/>
    <x v="3"/>
    <x v="2"/>
    <n v="628.02"/>
    <n v="445.95"/>
    <n v="5"/>
    <n v="3140.1"/>
    <n v="2229.75"/>
    <n v="910.34999999999991"/>
    <n v="0.28991114932645456"/>
    <x v="15"/>
  </r>
  <r>
    <d v="2024-02-19T00:00:00"/>
    <x v="3"/>
    <x v="2"/>
    <x v="3"/>
    <n v="1341.5"/>
    <n v="902.23"/>
    <n v="9"/>
    <n v="12073.5"/>
    <n v="8120.07"/>
    <n v="3953.4300000000003"/>
    <n v="0.32744688781215059"/>
    <x v="34"/>
  </r>
  <r>
    <d v="2024-02-16T00:00:00"/>
    <x v="4"/>
    <x v="2"/>
    <x v="0"/>
    <n v="1608.32"/>
    <n v="1250.02"/>
    <n v="2"/>
    <n v="3216.64"/>
    <n v="2500.04"/>
    <n v="716.59999999999991"/>
    <n v="0.22277904894548348"/>
    <x v="34"/>
  </r>
  <r>
    <d v="2023-02-08T00:00:00"/>
    <x v="8"/>
    <x v="1"/>
    <x v="3"/>
    <n v="1945.21"/>
    <n v="1148.0999999999999"/>
    <n v="2"/>
    <n v="3890.42"/>
    <n v="2296.1999999999998"/>
    <n v="1594.2200000000003"/>
    <n v="0.4097809491006113"/>
    <x v="27"/>
  </r>
  <r>
    <d v="2023-02-19T00:00:00"/>
    <x v="5"/>
    <x v="3"/>
    <x v="1"/>
    <n v="1697.38"/>
    <n v="1227.42"/>
    <n v="3"/>
    <n v="5092.1400000000003"/>
    <n v="3682.26"/>
    <n v="1409.88"/>
    <n v="0.27687377016342835"/>
    <x v="27"/>
  </r>
  <r>
    <d v="2024-04-23T00:00:00"/>
    <x v="7"/>
    <x v="0"/>
    <x v="1"/>
    <n v="388.3"/>
    <n v="321.54000000000002"/>
    <n v="3"/>
    <n v="1164.9000000000001"/>
    <n v="964.62000000000012"/>
    <n v="200.27999999999997"/>
    <n v="0.17192892093741949"/>
    <x v="22"/>
  </r>
  <r>
    <d v="2023-03-31T00:00:00"/>
    <x v="1"/>
    <x v="1"/>
    <x v="0"/>
    <n v="1591.53"/>
    <n v="1313.07"/>
    <n v="7"/>
    <n v="11140.71"/>
    <n v="9191.49"/>
    <n v="1949.2199999999993"/>
    <n v="0.17496371416184422"/>
    <x v="19"/>
  </r>
  <r>
    <d v="2024-11-13T00:00:00"/>
    <x v="2"/>
    <x v="0"/>
    <x v="1"/>
    <n v="463.16"/>
    <n v="400.39"/>
    <n v="4"/>
    <n v="1852.64"/>
    <n v="1601.56"/>
    <n v="251.08000000000015"/>
    <n v="0.13552552033854398"/>
    <x v="2"/>
  </r>
  <r>
    <d v="2023-12-19T00:00:00"/>
    <x v="2"/>
    <x v="0"/>
    <x v="2"/>
    <n v="1555.38"/>
    <n v="1318.83"/>
    <n v="5"/>
    <n v="7776.9000000000005"/>
    <n v="6594.15"/>
    <n v="1182.7500000000009"/>
    <n v="0.15208502102380136"/>
    <x v="30"/>
  </r>
  <r>
    <d v="2023-03-13T00:00:00"/>
    <x v="3"/>
    <x v="2"/>
    <x v="1"/>
    <n v="693.47"/>
    <n v="358.16"/>
    <n v="1"/>
    <n v="693.47"/>
    <n v="358.16"/>
    <n v="335.31"/>
    <n v="0.48352488211458317"/>
    <x v="19"/>
  </r>
  <r>
    <d v="2023-04-19T00:00:00"/>
    <x v="5"/>
    <x v="3"/>
    <x v="0"/>
    <n v="370.16"/>
    <n v="216.94"/>
    <n v="2"/>
    <n v="740.32"/>
    <n v="433.88"/>
    <n v="306.44000000000005"/>
    <n v="0.41392911173546582"/>
    <x v="6"/>
  </r>
  <r>
    <d v="2022-07-17T00:00:00"/>
    <x v="0"/>
    <x v="0"/>
    <x v="2"/>
    <n v="1915.76"/>
    <n v="1131.58"/>
    <n v="3"/>
    <n v="5747.28"/>
    <n v="3394.74"/>
    <n v="2352.54"/>
    <n v="0.40933102267507415"/>
    <x v="8"/>
  </r>
  <r>
    <d v="2022-06-11T00:00:00"/>
    <x v="5"/>
    <x v="3"/>
    <x v="3"/>
    <n v="1885.14"/>
    <n v="1658.38"/>
    <n v="2"/>
    <n v="3770.28"/>
    <n v="3316.76"/>
    <n v="453.52"/>
    <n v="0.12028814836033397"/>
    <x v="18"/>
  </r>
  <r>
    <d v="2022-10-30T00:00:00"/>
    <x v="6"/>
    <x v="3"/>
    <x v="0"/>
    <n v="1194.67"/>
    <n v="919.83"/>
    <n v="7"/>
    <n v="8362.69"/>
    <n v="6438.81"/>
    <n v="1923.88"/>
    <n v="0.23005516167644621"/>
    <x v="25"/>
  </r>
  <r>
    <d v="2024-06-04T00:00:00"/>
    <x v="1"/>
    <x v="1"/>
    <x v="0"/>
    <n v="1149.03"/>
    <n v="715.52"/>
    <n v="7"/>
    <n v="8043.21"/>
    <n v="5008.6399999999994"/>
    <n v="3034.5700000000006"/>
    <n v="0.37728344777769085"/>
    <x v="4"/>
  </r>
  <r>
    <d v="2022-11-10T00:00:00"/>
    <x v="3"/>
    <x v="2"/>
    <x v="2"/>
    <n v="807.16"/>
    <n v="470.29"/>
    <n v="7"/>
    <n v="5650.12"/>
    <n v="3292.03"/>
    <n v="2358.0899999999997"/>
    <n v="0.41735219782942656"/>
    <x v="1"/>
  </r>
  <r>
    <d v="2022-11-16T00:00:00"/>
    <x v="3"/>
    <x v="2"/>
    <x v="2"/>
    <n v="1388.77"/>
    <n v="828.47"/>
    <n v="9"/>
    <n v="12498.93"/>
    <n v="7456.2300000000005"/>
    <n v="5042.7"/>
    <n v="0.40345053536582731"/>
    <x v="1"/>
  </r>
  <r>
    <d v="2024-10-01T00:00:00"/>
    <x v="6"/>
    <x v="3"/>
    <x v="2"/>
    <n v="21.24"/>
    <n v="10.98"/>
    <n v="5"/>
    <n v="106.19999999999999"/>
    <n v="54.900000000000006"/>
    <n v="51.299999999999983"/>
    <n v="0.483050847457627"/>
    <x v="17"/>
  </r>
  <r>
    <d v="2022-09-01T00:00:00"/>
    <x v="5"/>
    <x v="3"/>
    <x v="0"/>
    <n v="327.27999999999997"/>
    <n v="180.58"/>
    <n v="9"/>
    <n v="2945.5199999999995"/>
    <n v="1625.22"/>
    <n v="1320.2999999999995"/>
    <n v="0.44824003911024191"/>
    <x v="12"/>
  </r>
  <r>
    <d v="2022-03-28T00:00:00"/>
    <x v="9"/>
    <x v="3"/>
    <x v="3"/>
    <n v="900.2"/>
    <n v="596.09"/>
    <n v="2"/>
    <n v="1800.4"/>
    <n v="1192.18"/>
    <n v="608.22"/>
    <n v="0.33782492779382362"/>
    <x v="7"/>
  </r>
  <r>
    <d v="2023-12-07T00:00:00"/>
    <x v="4"/>
    <x v="2"/>
    <x v="3"/>
    <n v="147.59"/>
    <n v="81.31"/>
    <n v="2"/>
    <n v="295.18"/>
    <n v="162.62"/>
    <n v="132.56"/>
    <n v="0.44908191611897824"/>
    <x v="30"/>
  </r>
  <r>
    <d v="2024-04-05T00:00:00"/>
    <x v="9"/>
    <x v="3"/>
    <x v="3"/>
    <n v="259.44"/>
    <n v="204.39"/>
    <n v="6"/>
    <n v="1556.6399999999999"/>
    <n v="1226.3399999999999"/>
    <n v="330.29999999999995"/>
    <n v="0.21218778908418129"/>
    <x v="22"/>
  </r>
  <r>
    <d v="2023-10-19T00:00:00"/>
    <x v="10"/>
    <x v="2"/>
    <x v="1"/>
    <n v="1663.78"/>
    <n v="1118.95"/>
    <n v="8"/>
    <n v="13310.24"/>
    <n v="8951.6"/>
    <n v="4358.6399999999994"/>
    <n v="0.32746516967387512"/>
    <x v="5"/>
  </r>
  <r>
    <d v="2023-06-06T00:00:00"/>
    <x v="1"/>
    <x v="1"/>
    <x v="2"/>
    <n v="879.13"/>
    <n v="505.02"/>
    <n v="4"/>
    <n v="3516.52"/>
    <n v="2020.08"/>
    <n v="1496.44"/>
    <n v="0.42554570996325913"/>
    <x v="0"/>
  </r>
  <r>
    <d v="2023-06-06T00:00:00"/>
    <x v="8"/>
    <x v="1"/>
    <x v="0"/>
    <n v="1804.16"/>
    <n v="1081.47"/>
    <n v="9"/>
    <n v="16237.44"/>
    <n v="9733.23"/>
    <n v="6504.2100000000009"/>
    <n v="0.40056868570415044"/>
    <x v="0"/>
  </r>
  <r>
    <d v="2022-04-20T00:00:00"/>
    <x v="4"/>
    <x v="2"/>
    <x v="3"/>
    <n v="322.22000000000003"/>
    <n v="170.51"/>
    <n v="6"/>
    <n v="1933.3200000000002"/>
    <n v="1023.06"/>
    <n v="910.26000000000022"/>
    <n v="0.47082738501644844"/>
    <x v="32"/>
  </r>
  <r>
    <d v="2022-02-13T00:00:00"/>
    <x v="2"/>
    <x v="0"/>
    <x v="0"/>
    <n v="1562.52"/>
    <n v="802.07"/>
    <n v="5"/>
    <n v="7812.6"/>
    <n v="4010.3500000000004"/>
    <n v="3802.25"/>
    <n v="0.48668177047333794"/>
    <x v="20"/>
  </r>
  <r>
    <d v="2023-07-22T00:00:00"/>
    <x v="1"/>
    <x v="1"/>
    <x v="1"/>
    <n v="504.29"/>
    <n v="377.89"/>
    <n v="2"/>
    <n v="1008.58"/>
    <n v="755.78"/>
    <n v="252.80000000000007"/>
    <n v="0.25064942790854472"/>
    <x v="11"/>
  </r>
  <r>
    <d v="2024-07-13T00:00:00"/>
    <x v="5"/>
    <x v="3"/>
    <x v="0"/>
    <n v="378.01"/>
    <n v="286.54000000000002"/>
    <n v="8"/>
    <n v="3024.08"/>
    <n v="2292.3200000000002"/>
    <n v="731.75999999999976"/>
    <n v="0.24197772545699842"/>
    <x v="28"/>
  </r>
  <r>
    <d v="2024-10-13T00:00:00"/>
    <x v="7"/>
    <x v="0"/>
    <x v="3"/>
    <n v="1461.31"/>
    <n v="1261.07"/>
    <n v="8"/>
    <n v="11690.48"/>
    <n v="10088.56"/>
    <n v="1601.92"/>
    <n v="0.13702773538811067"/>
    <x v="17"/>
  </r>
  <r>
    <d v="2024-10-27T00:00:00"/>
    <x v="6"/>
    <x v="3"/>
    <x v="2"/>
    <n v="712.09"/>
    <n v="552.78"/>
    <n v="10"/>
    <n v="7120.9000000000005"/>
    <n v="5527.7999999999993"/>
    <n v="1593.1000000000013"/>
    <n v="0.22372172056902936"/>
    <x v="17"/>
  </r>
  <r>
    <d v="2024-12-31T00:00:00"/>
    <x v="9"/>
    <x v="3"/>
    <x v="2"/>
    <n v="1419.7"/>
    <n v="776.01"/>
    <n v="2"/>
    <n v="2839.4"/>
    <n v="1552.02"/>
    <n v="1287.3800000000001"/>
    <n v="0.45339860533915616"/>
    <x v="23"/>
  </r>
  <r>
    <d v="2022-11-29T00:00:00"/>
    <x v="8"/>
    <x v="1"/>
    <x v="0"/>
    <n v="151.35"/>
    <n v="108.65"/>
    <n v="3"/>
    <n v="454.04999999999995"/>
    <n v="325.95000000000005"/>
    <n v="128.09999999999991"/>
    <n v="0.28212751899570515"/>
    <x v="1"/>
  </r>
  <r>
    <d v="2022-04-30T00:00:00"/>
    <x v="7"/>
    <x v="0"/>
    <x v="2"/>
    <n v="1594.09"/>
    <n v="1326.35"/>
    <n v="9"/>
    <n v="14346.81"/>
    <n v="11937.15"/>
    <n v="2409.66"/>
    <n v="0.16795789447270856"/>
    <x v="32"/>
  </r>
  <r>
    <d v="2023-10-25T00:00:00"/>
    <x v="2"/>
    <x v="0"/>
    <x v="3"/>
    <n v="306.27999999999997"/>
    <n v="251.68"/>
    <n v="2"/>
    <n v="612.55999999999995"/>
    <n v="503.36"/>
    <n v="109.19999999999993"/>
    <n v="0.17826825127334456"/>
    <x v="5"/>
  </r>
  <r>
    <d v="2022-04-27T00:00:00"/>
    <x v="5"/>
    <x v="3"/>
    <x v="2"/>
    <n v="415.22"/>
    <n v="305.02"/>
    <n v="10"/>
    <n v="4152.2000000000007"/>
    <n v="3050.2"/>
    <n v="1102.0000000000009"/>
    <n v="0.26540147391744151"/>
    <x v="32"/>
  </r>
  <r>
    <d v="2023-02-09T00:00:00"/>
    <x v="0"/>
    <x v="0"/>
    <x v="1"/>
    <n v="1746.78"/>
    <n v="1314.21"/>
    <n v="6"/>
    <n v="10480.68"/>
    <n v="7885.26"/>
    <n v="2595.42"/>
    <n v="0.24763851200494624"/>
    <x v="27"/>
  </r>
  <r>
    <d v="2022-05-18T00:00:00"/>
    <x v="8"/>
    <x v="1"/>
    <x v="1"/>
    <n v="65.27"/>
    <n v="48.59"/>
    <n v="7"/>
    <n v="456.89"/>
    <n v="340.13"/>
    <n v="116.75999999999999"/>
    <n v="0.25555385322506508"/>
    <x v="35"/>
  </r>
  <r>
    <d v="2024-11-29T00:00:00"/>
    <x v="5"/>
    <x v="3"/>
    <x v="1"/>
    <n v="1594.08"/>
    <n v="1372.72"/>
    <n v="2"/>
    <n v="3188.16"/>
    <n v="2745.44"/>
    <n v="442.7199999999998"/>
    <n v="0.1388637960453678"/>
    <x v="2"/>
  </r>
  <r>
    <d v="2023-08-24T00:00:00"/>
    <x v="8"/>
    <x v="1"/>
    <x v="0"/>
    <n v="1387.25"/>
    <n v="950.03"/>
    <n v="3"/>
    <n v="4161.75"/>
    <n v="2850.09"/>
    <n v="1311.6599999999999"/>
    <n v="0.31517030095512699"/>
    <x v="14"/>
  </r>
  <r>
    <d v="2023-12-18T00:00:00"/>
    <x v="8"/>
    <x v="1"/>
    <x v="2"/>
    <n v="219.87"/>
    <n v="193.82"/>
    <n v="10"/>
    <n v="2198.6999999999998"/>
    <n v="1938.1999999999998"/>
    <n v="260.5"/>
    <n v="0.11847910128712422"/>
    <x v="30"/>
  </r>
  <r>
    <d v="2022-11-02T00:00:00"/>
    <x v="0"/>
    <x v="0"/>
    <x v="0"/>
    <n v="1519.58"/>
    <n v="1063.75"/>
    <n v="4"/>
    <n v="6078.32"/>
    <n v="4255"/>
    <n v="1823.3199999999997"/>
    <n v="0.29997104463075319"/>
    <x v="1"/>
  </r>
  <r>
    <d v="2022-03-24T00:00:00"/>
    <x v="0"/>
    <x v="0"/>
    <x v="0"/>
    <n v="1970.32"/>
    <n v="1394.89"/>
    <n v="6"/>
    <n v="11821.92"/>
    <n v="8369.34"/>
    <n v="3452.58"/>
    <n v="0.29204900726785493"/>
    <x v="7"/>
  </r>
  <r>
    <d v="2024-09-12T00:00:00"/>
    <x v="5"/>
    <x v="3"/>
    <x v="2"/>
    <n v="855.1"/>
    <n v="607.79"/>
    <n v="4"/>
    <n v="3420.4"/>
    <n v="2431.16"/>
    <n v="989.24000000000024"/>
    <n v="0.28921763536428496"/>
    <x v="16"/>
  </r>
  <r>
    <d v="2022-10-10T00:00:00"/>
    <x v="4"/>
    <x v="2"/>
    <x v="3"/>
    <n v="693.07"/>
    <n v="395.61"/>
    <n v="6"/>
    <n v="4158.42"/>
    <n v="2373.66"/>
    <n v="1784.7600000000002"/>
    <n v="0.42919185652242925"/>
    <x v="25"/>
  </r>
  <r>
    <d v="2022-04-19T00:00:00"/>
    <x v="5"/>
    <x v="3"/>
    <x v="2"/>
    <n v="1771.1"/>
    <n v="1478.04"/>
    <n v="8"/>
    <n v="14168.8"/>
    <n v="11824.32"/>
    <n v="2344.4799999999996"/>
    <n v="0.16546778838010273"/>
    <x v="32"/>
  </r>
  <r>
    <d v="2023-05-15T00:00:00"/>
    <x v="1"/>
    <x v="1"/>
    <x v="2"/>
    <n v="1036.1500000000001"/>
    <n v="533.62"/>
    <n v="3"/>
    <n v="3108.4500000000003"/>
    <n v="1600.8600000000001"/>
    <n v="1507.5900000000001"/>
    <n v="0.48499734594412008"/>
    <x v="31"/>
  </r>
  <r>
    <d v="2024-11-15T00:00:00"/>
    <x v="0"/>
    <x v="0"/>
    <x v="1"/>
    <n v="20.58"/>
    <n v="12.28"/>
    <n v="10"/>
    <n v="205.79999999999998"/>
    <n v="122.8"/>
    <n v="82.999999999999986"/>
    <n v="0.40330417881438285"/>
    <x v="2"/>
  </r>
  <r>
    <d v="2024-01-22T00:00:00"/>
    <x v="8"/>
    <x v="1"/>
    <x v="0"/>
    <n v="1356.21"/>
    <n v="983.46"/>
    <n v="4"/>
    <n v="5424.84"/>
    <n v="3933.84"/>
    <n v="1491"/>
    <n v="0.27484681575862147"/>
    <x v="26"/>
  </r>
  <r>
    <d v="2022-12-24T00:00:00"/>
    <x v="4"/>
    <x v="2"/>
    <x v="2"/>
    <n v="857.54"/>
    <n v="748.31"/>
    <n v="3"/>
    <n v="2572.62"/>
    <n v="2244.9299999999998"/>
    <n v="327.69000000000005"/>
    <n v="0.12737598246145956"/>
    <x v="33"/>
  </r>
  <r>
    <d v="2022-01-25T00:00:00"/>
    <x v="1"/>
    <x v="1"/>
    <x v="3"/>
    <n v="1114.55"/>
    <n v="793.12"/>
    <n v="6"/>
    <n v="6687.2999999999993"/>
    <n v="4758.72"/>
    <n v="1928.579999999999"/>
    <n v="0.28839441927235193"/>
    <x v="9"/>
  </r>
  <r>
    <d v="2024-10-06T00:00:00"/>
    <x v="4"/>
    <x v="2"/>
    <x v="2"/>
    <n v="741.17"/>
    <n v="654.28"/>
    <n v="5"/>
    <n v="3705.85"/>
    <n v="3271.3999999999996"/>
    <n v="434.45000000000027"/>
    <n v="0.11723356315015457"/>
    <x v="17"/>
  </r>
  <r>
    <d v="2023-04-25T00:00:00"/>
    <x v="2"/>
    <x v="0"/>
    <x v="2"/>
    <n v="658.24"/>
    <n v="430.76"/>
    <n v="7"/>
    <n v="4607.68"/>
    <n v="3015.3199999999997"/>
    <n v="1592.3600000000006"/>
    <n v="0.34558823529411775"/>
    <x v="6"/>
  </r>
  <r>
    <d v="2024-03-05T00:00:00"/>
    <x v="2"/>
    <x v="0"/>
    <x v="3"/>
    <n v="1800.04"/>
    <n v="1575.48"/>
    <n v="9"/>
    <n v="16200.36"/>
    <n v="14179.32"/>
    <n v="2021.0400000000009"/>
    <n v="0.12475278327148291"/>
    <x v="29"/>
  </r>
  <r>
    <d v="2022-03-22T00:00:00"/>
    <x v="4"/>
    <x v="2"/>
    <x v="2"/>
    <n v="1245.6400000000001"/>
    <n v="656.55"/>
    <n v="2"/>
    <n v="2491.2800000000002"/>
    <n v="1313.1"/>
    <n v="1178.1800000000003"/>
    <n v="0.47292155036768257"/>
    <x v="7"/>
  </r>
  <r>
    <d v="2022-05-18T00:00:00"/>
    <x v="7"/>
    <x v="0"/>
    <x v="0"/>
    <n v="206.45"/>
    <n v="142.72999999999999"/>
    <n v="3"/>
    <n v="619.34999999999991"/>
    <n v="428.18999999999994"/>
    <n v="191.15999999999997"/>
    <n v="0.30864616129813516"/>
    <x v="35"/>
  </r>
  <r>
    <d v="2023-10-14T00:00:00"/>
    <x v="9"/>
    <x v="3"/>
    <x v="1"/>
    <n v="1312.97"/>
    <n v="1001.89"/>
    <n v="6"/>
    <n v="7877.82"/>
    <n v="6011.34"/>
    <n v="1866.4799999999996"/>
    <n v="0.236928490369163"/>
    <x v="5"/>
  </r>
  <r>
    <d v="2024-01-30T00:00:00"/>
    <x v="7"/>
    <x v="0"/>
    <x v="0"/>
    <n v="1429.75"/>
    <n v="1128.49"/>
    <n v="1"/>
    <n v="1429.75"/>
    <n v="1128.49"/>
    <n v="301.26"/>
    <n v="0.2107081657632453"/>
    <x v="26"/>
  </r>
  <r>
    <d v="2023-10-18T00:00:00"/>
    <x v="2"/>
    <x v="0"/>
    <x v="3"/>
    <n v="1322.85"/>
    <n v="989.81"/>
    <n v="3"/>
    <n v="3968.5499999999997"/>
    <n v="2969.43"/>
    <n v="999.11999999999989"/>
    <n v="0.25175945874437766"/>
    <x v="5"/>
  </r>
  <r>
    <d v="2024-09-20T00:00:00"/>
    <x v="5"/>
    <x v="3"/>
    <x v="1"/>
    <n v="127.72"/>
    <n v="114.25"/>
    <n v="4"/>
    <n v="510.88"/>
    <n v="457"/>
    <n v="53.879999999999995"/>
    <n v="0.10546507986219855"/>
    <x v="16"/>
  </r>
  <r>
    <d v="2024-04-02T00:00:00"/>
    <x v="6"/>
    <x v="3"/>
    <x v="1"/>
    <n v="326.77"/>
    <n v="249.49"/>
    <n v="8"/>
    <n v="2614.16"/>
    <n v="1995.92"/>
    <n v="618.23999999999978"/>
    <n v="0.23649661841662326"/>
    <x v="22"/>
  </r>
  <r>
    <d v="2023-08-23T00:00:00"/>
    <x v="4"/>
    <x v="2"/>
    <x v="3"/>
    <n v="1523.17"/>
    <n v="898.77"/>
    <n v="2"/>
    <n v="3046.34"/>
    <n v="1797.54"/>
    <n v="1248.8000000000002"/>
    <n v="0.40993454440410465"/>
    <x v="14"/>
  </r>
  <r>
    <d v="2024-12-16T00:00:00"/>
    <x v="4"/>
    <x v="2"/>
    <x v="2"/>
    <n v="1910.92"/>
    <n v="1417.72"/>
    <n v="10"/>
    <n v="19109.2"/>
    <n v="14177.2"/>
    <n v="4932"/>
    <n v="0.25809557699956043"/>
    <x v="23"/>
  </r>
  <r>
    <d v="2023-12-20T00:00:00"/>
    <x v="5"/>
    <x v="3"/>
    <x v="0"/>
    <n v="582.13"/>
    <n v="319.39"/>
    <n v="7"/>
    <n v="4074.91"/>
    <n v="2235.73"/>
    <n v="1839.1799999999998"/>
    <n v="0.45134248363767543"/>
    <x v="30"/>
  </r>
  <r>
    <d v="2023-02-01T00:00:00"/>
    <x v="5"/>
    <x v="3"/>
    <x v="1"/>
    <n v="1436.72"/>
    <n v="721.13"/>
    <n v="5"/>
    <n v="7183.6"/>
    <n v="3605.65"/>
    <n v="3577.9500000000003"/>
    <n v="0.49807199732724539"/>
    <x v="27"/>
  </r>
  <r>
    <d v="2024-08-15T00:00:00"/>
    <x v="2"/>
    <x v="0"/>
    <x v="2"/>
    <n v="1754.95"/>
    <n v="999.24"/>
    <n v="8"/>
    <n v="14039.6"/>
    <n v="7993.92"/>
    <n v="6045.68"/>
    <n v="0.4306162568734152"/>
    <x v="21"/>
  </r>
  <r>
    <d v="2024-04-22T00:00:00"/>
    <x v="4"/>
    <x v="2"/>
    <x v="3"/>
    <n v="711.09"/>
    <n v="501.03"/>
    <n v="4"/>
    <n v="2844.36"/>
    <n v="2004.12"/>
    <n v="840.24000000000024"/>
    <n v="0.29540564485508169"/>
    <x v="22"/>
  </r>
  <r>
    <d v="2022-03-21T00:00:00"/>
    <x v="3"/>
    <x v="2"/>
    <x v="2"/>
    <n v="1567.11"/>
    <n v="943.38"/>
    <n v="5"/>
    <n v="7835.5499999999993"/>
    <n v="4716.8999999999996"/>
    <n v="3118.6499999999996"/>
    <n v="0.39801290273178014"/>
    <x v="7"/>
  </r>
  <r>
    <d v="2024-08-09T00:00:00"/>
    <x v="9"/>
    <x v="3"/>
    <x v="0"/>
    <n v="396.61"/>
    <n v="297.48"/>
    <n v="1"/>
    <n v="396.61"/>
    <n v="297.48"/>
    <n v="99.13"/>
    <n v="0.24994326920652529"/>
    <x v="21"/>
  </r>
  <r>
    <d v="2023-03-13T00:00:00"/>
    <x v="1"/>
    <x v="1"/>
    <x v="0"/>
    <n v="101.67"/>
    <n v="56.31"/>
    <n v="1"/>
    <n v="101.67"/>
    <n v="56.31"/>
    <n v="45.36"/>
    <n v="0.44614930658011209"/>
    <x v="19"/>
  </r>
  <r>
    <d v="2023-02-06T00:00:00"/>
    <x v="7"/>
    <x v="0"/>
    <x v="3"/>
    <n v="1419.64"/>
    <n v="722.04"/>
    <n v="9"/>
    <n v="12776.76"/>
    <n v="6498.36"/>
    <n v="6278.4000000000005"/>
    <n v="0.49139218393395512"/>
    <x v="27"/>
  </r>
  <r>
    <d v="2024-04-23T00:00:00"/>
    <x v="2"/>
    <x v="0"/>
    <x v="1"/>
    <n v="1311.75"/>
    <n v="1008.82"/>
    <n v="10"/>
    <n v="13117.5"/>
    <n v="10088.200000000001"/>
    <n v="3029.2999999999993"/>
    <n v="0.23093577282256522"/>
    <x v="22"/>
  </r>
  <r>
    <d v="2023-11-07T00:00:00"/>
    <x v="9"/>
    <x v="3"/>
    <x v="1"/>
    <n v="1679.22"/>
    <n v="1485.17"/>
    <n v="7"/>
    <n v="11754.54"/>
    <n v="10396.19"/>
    <n v="1358.3500000000004"/>
    <n v="0.11555960505472782"/>
    <x v="10"/>
  </r>
  <r>
    <d v="2024-11-17T00:00:00"/>
    <x v="1"/>
    <x v="1"/>
    <x v="2"/>
    <n v="1860.27"/>
    <n v="1612.47"/>
    <n v="2"/>
    <n v="3720.54"/>
    <n v="3224.94"/>
    <n v="495.59999999999991"/>
    <n v="0.13320647002854422"/>
    <x v="2"/>
  </r>
  <r>
    <d v="2022-05-14T00:00:00"/>
    <x v="0"/>
    <x v="0"/>
    <x v="2"/>
    <n v="1582.6"/>
    <n v="1416.49"/>
    <n v="2"/>
    <n v="3165.2"/>
    <n v="2832.98"/>
    <n v="332.2199999999998"/>
    <n v="0.10496019208896747"/>
    <x v="35"/>
  </r>
  <r>
    <d v="2023-02-25T00:00:00"/>
    <x v="5"/>
    <x v="3"/>
    <x v="1"/>
    <n v="109.77"/>
    <n v="69.09"/>
    <n v="10"/>
    <n v="1097.7"/>
    <n v="690.90000000000009"/>
    <n v="406.79999999999995"/>
    <n v="0.37059305821262634"/>
    <x v="27"/>
  </r>
  <r>
    <d v="2023-01-26T00:00:00"/>
    <x v="1"/>
    <x v="1"/>
    <x v="3"/>
    <n v="310.26"/>
    <n v="166.85"/>
    <n v="6"/>
    <n v="1861.56"/>
    <n v="1001.0999999999999"/>
    <n v="860.46"/>
    <n v="0.46222523045187908"/>
    <x v="13"/>
  </r>
  <r>
    <d v="2023-09-18T00:00:00"/>
    <x v="6"/>
    <x v="3"/>
    <x v="2"/>
    <n v="875.88"/>
    <n v="511.88"/>
    <n v="9"/>
    <n v="7882.92"/>
    <n v="4606.92"/>
    <n v="3276"/>
    <n v="0.41558204320226516"/>
    <x v="24"/>
  </r>
  <r>
    <d v="2022-03-08T00:00:00"/>
    <x v="9"/>
    <x v="3"/>
    <x v="0"/>
    <n v="682.52"/>
    <n v="395.32"/>
    <n v="6"/>
    <n v="4095.12"/>
    <n v="2371.92"/>
    <n v="1723.1999999999998"/>
    <n v="0.42079352985993079"/>
    <x v="7"/>
  </r>
  <r>
    <d v="2023-10-28T00:00:00"/>
    <x v="1"/>
    <x v="1"/>
    <x v="3"/>
    <n v="1548.32"/>
    <n v="1136.53"/>
    <n v="1"/>
    <n v="1548.32"/>
    <n v="1136.53"/>
    <n v="411.78999999999996"/>
    <n v="0.26595923323344012"/>
    <x v="5"/>
  </r>
  <r>
    <d v="2022-08-06T00:00:00"/>
    <x v="4"/>
    <x v="2"/>
    <x v="2"/>
    <n v="673.68"/>
    <n v="454.26"/>
    <n v="10"/>
    <n v="6736.7999999999993"/>
    <n v="4542.6000000000004"/>
    <n v="2194.1999999999989"/>
    <n v="0.32570359814748828"/>
    <x v="15"/>
  </r>
  <r>
    <d v="2023-05-13T00:00:00"/>
    <x v="3"/>
    <x v="2"/>
    <x v="2"/>
    <n v="689.14"/>
    <n v="464.55"/>
    <n v="4"/>
    <n v="2756.56"/>
    <n v="1858.2"/>
    <n v="898.3599999999999"/>
    <n v="0.32589894651304524"/>
    <x v="31"/>
  </r>
  <r>
    <d v="2024-01-30T00:00:00"/>
    <x v="7"/>
    <x v="0"/>
    <x v="2"/>
    <n v="221.74"/>
    <n v="179.21"/>
    <n v="8"/>
    <n v="1773.92"/>
    <n v="1433.68"/>
    <n v="340.24"/>
    <n v="0.19180120862271127"/>
    <x v="26"/>
  </r>
  <r>
    <d v="2022-08-29T00:00:00"/>
    <x v="0"/>
    <x v="0"/>
    <x v="3"/>
    <n v="1969.75"/>
    <n v="1016.69"/>
    <n v="3"/>
    <n v="5909.25"/>
    <n v="3050.07"/>
    <n v="2859.18"/>
    <n v="0.48384820408681301"/>
    <x v="15"/>
  </r>
  <r>
    <d v="2022-08-04T00:00:00"/>
    <x v="1"/>
    <x v="1"/>
    <x v="1"/>
    <n v="466.18"/>
    <n v="407.42"/>
    <n v="5"/>
    <n v="2330.9"/>
    <n v="2037.1000000000001"/>
    <n v="293.79999999999995"/>
    <n v="0.12604573340769656"/>
    <x v="15"/>
  </r>
  <r>
    <d v="2024-06-06T00:00:00"/>
    <x v="9"/>
    <x v="3"/>
    <x v="2"/>
    <n v="864.05"/>
    <n v="565.85"/>
    <n v="5"/>
    <n v="4320.25"/>
    <n v="2829.25"/>
    <n v="1491"/>
    <n v="0.34511891672935596"/>
    <x v="4"/>
  </r>
  <r>
    <d v="2024-05-18T00:00:00"/>
    <x v="0"/>
    <x v="0"/>
    <x v="2"/>
    <n v="903.41"/>
    <n v="478.91"/>
    <n v="2"/>
    <n v="1806.82"/>
    <n v="957.82"/>
    <n v="848.99999999999989"/>
    <n v="0.46988631961125066"/>
    <x v="3"/>
  </r>
  <r>
    <d v="2022-09-29T00:00:00"/>
    <x v="9"/>
    <x v="3"/>
    <x v="1"/>
    <n v="52.16"/>
    <n v="33.15"/>
    <n v="2"/>
    <n v="104.32"/>
    <n v="66.3"/>
    <n v="38.019999999999996"/>
    <n v="0.36445552147239263"/>
    <x v="12"/>
  </r>
  <r>
    <d v="2024-04-07T00:00:00"/>
    <x v="5"/>
    <x v="3"/>
    <x v="0"/>
    <n v="1763.13"/>
    <n v="1352.47"/>
    <n v="5"/>
    <n v="8815.6500000000015"/>
    <n v="6762.35"/>
    <n v="2053.3000000000011"/>
    <n v="0.23291532672009446"/>
    <x v="22"/>
  </r>
  <r>
    <d v="2023-06-10T00:00:00"/>
    <x v="6"/>
    <x v="3"/>
    <x v="0"/>
    <n v="202.75"/>
    <n v="174.47"/>
    <n v="6"/>
    <n v="1216.5"/>
    <n v="1046.82"/>
    <n v="169.68000000000006"/>
    <n v="0.13948212083847109"/>
    <x v="0"/>
  </r>
  <r>
    <d v="2023-01-22T00:00:00"/>
    <x v="2"/>
    <x v="0"/>
    <x v="1"/>
    <n v="1129.1600000000001"/>
    <n v="981.3"/>
    <n v="1"/>
    <n v="1129.1600000000001"/>
    <n v="981.3"/>
    <n v="147.86000000000013"/>
    <n v="0.13094689857947511"/>
    <x v="13"/>
  </r>
  <r>
    <d v="2022-07-09T00:00:00"/>
    <x v="10"/>
    <x v="2"/>
    <x v="1"/>
    <n v="1033.0999999999999"/>
    <n v="721.29"/>
    <n v="5"/>
    <n v="5165.5"/>
    <n v="3606.45"/>
    <n v="1559.0500000000002"/>
    <n v="0.30181976575355729"/>
    <x v="8"/>
  </r>
  <r>
    <d v="2023-06-27T00:00:00"/>
    <x v="0"/>
    <x v="0"/>
    <x v="2"/>
    <n v="854.64"/>
    <n v="668.66"/>
    <n v="1"/>
    <n v="854.64"/>
    <n v="668.66"/>
    <n v="185.98000000000002"/>
    <n v="0.21761209398109149"/>
    <x v="0"/>
  </r>
  <r>
    <d v="2022-08-23T00:00:00"/>
    <x v="2"/>
    <x v="0"/>
    <x v="3"/>
    <n v="1230.94"/>
    <n v="1073.5"/>
    <n v="3"/>
    <n v="3692.82"/>
    <n v="3220.5"/>
    <n v="472.32000000000016"/>
    <n v="0.12790225356231827"/>
    <x v="15"/>
  </r>
  <r>
    <d v="2022-05-02T00:00:00"/>
    <x v="4"/>
    <x v="2"/>
    <x v="1"/>
    <n v="1352.58"/>
    <n v="1085.5999999999999"/>
    <n v="2"/>
    <n v="2705.16"/>
    <n v="2171.1999999999998"/>
    <n v="533.96"/>
    <n v="0.19738573688802144"/>
    <x v="35"/>
  </r>
  <r>
    <d v="2022-06-14T00:00:00"/>
    <x v="10"/>
    <x v="2"/>
    <x v="0"/>
    <n v="294.63"/>
    <n v="152.97"/>
    <n v="2"/>
    <n v="589.26"/>
    <n v="305.94"/>
    <n v="283.32"/>
    <n v="0.48080643518989918"/>
    <x v="18"/>
  </r>
  <r>
    <d v="2022-07-15T00:00:00"/>
    <x v="1"/>
    <x v="1"/>
    <x v="2"/>
    <n v="1180.1099999999999"/>
    <n v="1053.6400000000001"/>
    <n v="5"/>
    <n v="5900.5499999999993"/>
    <n v="5268.2000000000007"/>
    <n v="632.34999999999854"/>
    <n v="0.10716797586665626"/>
    <x v="8"/>
  </r>
  <r>
    <d v="2024-08-31T00:00:00"/>
    <x v="9"/>
    <x v="3"/>
    <x v="3"/>
    <n v="71.44"/>
    <n v="41.37"/>
    <n v="9"/>
    <n v="642.96"/>
    <n v="372.33"/>
    <n v="270.63000000000005"/>
    <n v="0.42091265397536398"/>
    <x v="21"/>
  </r>
  <r>
    <d v="2023-05-09T00:00:00"/>
    <x v="2"/>
    <x v="0"/>
    <x v="2"/>
    <n v="1530.1"/>
    <n v="1293.83"/>
    <n v="8"/>
    <n v="12240.8"/>
    <n v="10350.64"/>
    <n v="1890.1599999999999"/>
    <n v="0.15441474413437031"/>
    <x v="31"/>
  </r>
  <r>
    <d v="2023-06-11T00:00:00"/>
    <x v="0"/>
    <x v="0"/>
    <x v="3"/>
    <n v="251.51"/>
    <n v="208"/>
    <n v="1"/>
    <n v="251.51"/>
    <n v="208"/>
    <n v="43.509999999999991"/>
    <n v="0.17299510953838809"/>
    <x v="0"/>
  </r>
  <r>
    <d v="2023-06-23T00:00:00"/>
    <x v="3"/>
    <x v="2"/>
    <x v="2"/>
    <n v="673.45"/>
    <n v="439.64"/>
    <n v="7"/>
    <n v="4714.1500000000005"/>
    <n v="3077.48"/>
    <n v="1636.6700000000005"/>
    <n v="0.34718241888781654"/>
    <x v="0"/>
  </r>
  <r>
    <d v="2022-05-11T00:00:00"/>
    <x v="4"/>
    <x v="2"/>
    <x v="0"/>
    <n v="1702.84"/>
    <n v="1290.3900000000001"/>
    <n v="4"/>
    <n v="6811.36"/>
    <n v="5161.5600000000004"/>
    <n v="1649.7999999999993"/>
    <n v="0.24221300885579375"/>
    <x v="35"/>
  </r>
  <r>
    <d v="2023-08-03T00:00:00"/>
    <x v="5"/>
    <x v="3"/>
    <x v="0"/>
    <n v="452.17"/>
    <n v="335.1"/>
    <n v="1"/>
    <n v="452.17"/>
    <n v="335.1"/>
    <n v="117.07"/>
    <n v="0.25890704823407124"/>
    <x v="14"/>
  </r>
  <r>
    <d v="2024-03-24T00:00:00"/>
    <x v="0"/>
    <x v="0"/>
    <x v="0"/>
    <n v="1824.28"/>
    <n v="1622.36"/>
    <n v="5"/>
    <n v="9121.4"/>
    <n v="8111.7999999999993"/>
    <n v="1009.6000000000004"/>
    <n v="0.11068476330387883"/>
    <x v="29"/>
  </r>
  <r>
    <d v="2022-11-01T00:00:00"/>
    <x v="1"/>
    <x v="1"/>
    <x v="2"/>
    <n v="940.8"/>
    <n v="826.46"/>
    <n v="6"/>
    <n v="5644.7999999999993"/>
    <n v="4958.76"/>
    <n v="686.03999999999905"/>
    <n v="0.12153486394557808"/>
    <x v="1"/>
  </r>
  <r>
    <d v="2024-09-28T00:00:00"/>
    <x v="2"/>
    <x v="0"/>
    <x v="1"/>
    <n v="1588.04"/>
    <n v="1214.47"/>
    <n v="2"/>
    <n v="3176.08"/>
    <n v="2428.94"/>
    <n v="747.13999999999987"/>
    <n v="0.23523966650714084"/>
    <x v="16"/>
  </r>
  <r>
    <d v="2023-04-03T00:00:00"/>
    <x v="2"/>
    <x v="0"/>
    <x v="0"/>
    <n v="1565.78"/>
    <n v="918.84"/>
    <n v="5"/>
    <n v="7828.9"/>
    <n v="4594.2"/>
    <n v="3234.7"/>
    <n v="0.4131742645837857"/>
    <x v="6"/>
  </r>
  <r>
    <d v="2023-03-21T00:00:00"/>
    <x v="6"/>
    <x v="3"/>
    <x v="1"/>
    <n v="1409.56"/>
    <n v="766.08"/>
    <n v="4"/>
    <n v="5638.24"/>
    <n v="3064.32"/>
    <n v="2573.9199999999996"/>
    <n v="0.45651125173813101"/>
    <x v="19"/>
  </r>
  <r>
    <d v="2024-01-14T00:00:00"/>
    <x v="9"/>
    <x v="3"/>
    <x v="2"/>
    <n v="1155.4000000000001"/>
    <n v="648.33000000000004"/>
    <n v="6"/>
    <n v="6932.4000000000005"/>
    <n v="3889.9800000000005"/>
    <n v="3042.42"/>
    <n v="0.43886965553055218"/>
    <x v="26"/>
  </r>
  <r>
    <d v="2022-10-10T00:00:00"/>
    <x v="7"/>
    <x v="0"/>
    <x v="3"/>
    <n v="280.33999999999997"/>
    <n v="242.19"/>
    <n v="7"/>
    <n v="1962.3799999999999"/>
    <n v="1695.33"/>
    <n v="267.04999999999995"/>
    <n v="0.13608475422701005"/>
    <x v="25"/>
  </r>
  <r>
    <d v="2022-05-22T00:00:00"/>
    <x v="3"/>
    <x v="2"/>
    <x v="0"/>
    <n v="870.13"/>
    <n v="609.67999999999995"/>
    <n v="7"/>
    <n v="6090.91"/>
    <n v="4267.7599999999993"/>
    <n v="1823.1500000000005"/>
    <n v="0.29932308965327031"/>
    <x v="35"/>
  </r>
  <r>
    <d v="2024-11-27T00:00:00"/>
    <x v="6"/>
    <x v="3"/>
    <x v="1"/>
    <n v="1999.62"/>
    <n v="1026.07"/>
    <n v="6"/>
    <n v="11997.72"/>
    <n v="6156.42"/>
    <n v="5841.2999999999993"/>
    <n v="0.4868675048259169"/>
    <x v="2"/>
  </r>
  <r>
    <d v="2023-05-31T00:00:00"/>
    <x v="2"/>
    <x v="0"/>
    <x v="3"/>
    <n v="1959.06"/>
    <n v="1623.59"/>
    <n v="5"/>
    <n v="9795.2999999999993"/>
    <n v="8117.95"/>
    <n v="1677.3499999999995"/>
    <n v="0.17124028870989144"/>
    <x v="31"/>
  </r>
  <r>
    <d v="2023-11-02T00:00:00"/>
    <x v="9"/>
    <x v="3"/>
    <x v="0"/>
    <n v="1350.69"/>
    <n v="782.69"/>
    <n v="4"/>
    <n v="5402.76"/>
    <n v="3130.76"/>
    <n v="2272"/>
    <n v="0.42052580532912803"/>
    <x v="10"/>
  </r>
  <r>
    <d v="2024-08-31T00:00:00"/>
    <x v="5"/>
    <x v="3"/>
    <x v="0"/>
    <n v="72.239999999999995"/>
    <n v="49.78"/>
    <n v="5"/>
    <n v="361.2"/>
    <n v="248.9"/>
    <n v="112.29999999999998"/>
    <n v="0.31090808416389809"/>
    <x v="21"/>
  </r>
  <r>
    <d v="2024-06-27T00:00:00"/>
    <x v="1"/>
    <x v="1"/>
    <x v="3"/>
    <n v="1573.99"/>
    <n v="987.83"/>
    <n v="2"/>
    <n v="3147.98"/>
    <n v="1975.66"/>
    <n v="1172.32"/>
    <n v="0.37240389074898822"/>
    <x v="4"/>
  </r>
  <r>
    <d v="2023-06-02T00:00:00"/>
    <x v="3"/>
    <x v="2"/>
    <x v="3"/>
    <n v="382.42"/>
    <n v="327.77"/>
    <n v="3"/>
    <n v="1147.26"/>
    <n v="983.31"/>
    <n v="163.95000000000005"/>
    <n v="0.14290570576852679"/>
    <x v="0"/>
  </r>
  <r>
    <d v="2022-07-12T00:00:00"/>
    <x v="10"/>
    <x v="2"/>
    <x v="0"/>
    <n v="189.94"/>
    <n v="102.19"/>
    <n v="10"/>
    <n v="1899.4"/>
    <n v="1021.9"/>
    <n v="877.50000000000011"/>
    <n v="0.46198799620932929"/>
    <x v="8"/>
  </r>
  <r>
    <d v="2024-08-26T00:00:00"/>
    <x v="7"/>
    <x v="0"/>
    <x v="2"/>
    <n v="1572.1"/>
    <n v="1341.06"/>
    <n v="8"/>
    <n v="12576.8"/>
    <n v="10728.48"/>
    <n v="1848.3199999999997"/>
    <n v="0.14696266140830735"/>
    <x v="21"/>
  </r>
  <r>
    <d v="2022-08-05T00:00:00"/>
    <x v="6"/>
    <x v="3"/>
    <x v="3"/>
    <n v="563.97"/>
    <n v="488.52"/>
    <n v="9"/>
    <n v="5075.7300000000005"/>
    <n v="4396.68"/>
    <n v="679.05000000000018"/>
    <n v="0.13378371189956914"/>
    <x v="15"/>
  </r>
  <r>
    <d v="2023-10-27T00:00:00"/>
    <x v="0"/>
    <x v="0"/>
    <x v="1"/>
    <n v="1697.16"/>
    <n v="880.25"/>
    <n v="1"/>
    <n v="1697.16"/>
    <n v="880.25"/>
    <n v="816.91000000000008"/>
    <n v="0.48133941407999248"/>
    <x v="5"/>
  </r>
  <r>
    <d v="2023-02-11T00:00:00"/>
    <x v="10"/>
    <x v="2"/>
    <x v="1"/>
    <n v="1130.51"/>
    <n v="966.45"/>
    <n v="5"/>
    <n v="5652.55"/>
    <n v="4832.25"/>
    <n v="820.30000000000018"/>
    <n v="0.14512034391557796"/>
    <x v="27"/>
  </r>
  <r>
    <d v="2022-06-24T00:00:00"/>
    <x v="8"/>
    <x v="1"/>
    <x v="0"/>
    <n v="560.53"/>
    <n v="493.64"/>
    <n v="5"/>
    <n v="2802.6499999999996"/>
    <n v="2468.1999999999998"/>
    <n v="334.44999999999982"/>
    <n v="0.11933348794890546"/>
    <x v="18"/>
  </r>
  <r>
    <d v="2022-07-26T00:00:00"/>
    <x v="2"/>
    <x v="0"/>
    <x v="0"/>
    <n v="1717.31"/>
    <n v="1217.77"/>
    <n v="5"/>
    <n v="8586.5499999999993"/>
    <n v="6088.85"/>
    <n v="2497.6999999999989"/>
    <n v="0.29088516342419241"/>
    <x v="8"/>
  </r>
  <r>
    <d v="2023-12-28T00:00:00"/>
    <x v="1"/>
    <x v="1"/>
    <x v="1"/>
    <n v="519.5"/>
    <n v="262.72000000000003"/>
    <n v="1"/>
    <n v="519.5"/>
    <n v="262.72000000000003"/>
    <n v="256.77999999999997"/>
    <n v="0.49428296438883534"/>
    <x v="30"/>
  </r>
  <r>
    <d v="2022-01-05T00:00:00"/>
    <x v="9"/>
    <x v="3"/>
    <x v="3"/>
    <n v="1026.8800000000001"/>
    <n v="830.61"/>
    <n v="1"/>
    <n v="1026.8800000000001"/>
    <n v="830.61"/>
    <n v="196.2700000000001"/>
    <n v="0.19113236210657533"/>
    <x v="9"/>
  </r>
  <r>
    <d v="2023-07-05T00:00:00"/>
    <x v="1"/>
    <x v="1"/>
    <x v="0"/>
    <n v="1190.3900000000001"/>
    <n v="819.74"/>
    <n v="8"/>
    <n v="9523.1200000000008"/>
    <n v="6557.92"/>
    <n v="2965.2000000000007"/>
    <n v="0.31136854308251921"/>
    <x v="11"/>
  </r>
  <r>
    <d v="2022-05-06T00:00:00"/>
    <x v="3"/>
    <x v="2"/>
    <x v="0"/>
    <n v="1963.72"/>
    <n v="1477.72"/>
    <n v="3"/>
    <n v="5891.16"/>
    <n v="4433.16"/>
    <n v="1458"/>
    <n v="0.24748945878231113"/>
    <x v="35"/>
  </r>
  <r>
    <d v="2023-06-23T00:00:00"/>
    <x v="9"/>
    <x v="3"/>
    <x v="2"/>
    <n v="552.99"/>
    <n v="388.21"/>
    <n v="7"/>
    <n v="3870.9300000000003"/>
    <n v="2717.47"/>
    <n v="1153.4600000000005"/>
    <n v="0.29798007197236848"/>
    <x v="0"/>
  </r>
  <r>
    <d v="2024-01-21T00:00:00"/>
    <x v="1"/>
    <x v="1"/>
    <x v="0"/>
    <n v="832.11"/>
    <n v="672.82"/>
    <n v="5"/>
    <n v="4160.55"/>
    <n v="3364.1000000000004"/>
    <n v="796.44999999999982"/>
    <n v="0.1914290177981276"/>
    <x v="26"/>
  </r>
  <r>
    <d v="2023-07-26T00:00:00"/>
    <x v="4"/>
    <x v="2"/>
    <x v="3"/>
    <n v="532.20000000000005"/>
    <n v="371.3"/>
    <n v="6"/>
    <n v="3193.2000000000003"/>
    <n v="2227.8000000000002"/>
    <n v="965.40000000000009"/>
    <n v="0.30232995114618566"/>
    <x v="11"/>
  </r>
  <r>
    <d v="2023-09-10T00:00:00"/>
    <x v="7"/>
    <x v="0"/>
    <x v="1"/>
    <n v="1379.96"/>
    <n v="720.1"/>
    <n v="10"/>
    <n v="13799.6"/>
    <n v="7201"/>
    <n v="6598.6"/>
    <n v="0.47817328038493873"/>
    <x v="24"/>
  </r>
  <r>
    <d v="2022-02-15T00:00:00"/>
    <x v="0"/>
    <x v="0"/>
    <x v="1"/>
    <n v="176.41"/>
    <n v="105.7"/>
    <n v="2"/>
    <n v="352.82"/>
    <n v="211.4"/>
    <n v="141.41999999999999"/>
    <n v="0.40082761748200213"/>
    <x v="20"/>
  </r>
  <r>
    <d v="2024-10-17T00:00:00"/>
    <x v="9"/>
    <x v="3"/>
    <x v="2"/>
    <n v="1764.66"/>
    <n v="1000.16"/>
    <n v="6"/>
    <n v="10587.960000000001"/>
    <n v="6000.96"/>
    <n v="4587.0000000000009"/>
    <n v="0.43322793059286213"/>
    <x v="17"/>
  </r>
  <r>
    <d v="2024-07-17T00:00:00"/>
    <x v="2"/>
    <x v="0"/>
    <x v="0"/>
    <n v="469.29"/>
    <n v="385.73"/>
    <n v="4"/>
    <n v="1877.16"/>
    <n v="1542.92"/>
    <n v="334.24"/>
    <n v="0.17805621257644527"/>
    <x v="28"/>
  </r>
  <r>
    <d v="2022-08-20T00:00:00"/>
    <x v="8"/>
    <x v="1"/>
    <x v="3"/>
    <n v="201.66"/>
    <n v="155.80000000000001"/>
    <n v="6"/>
    <n v="1209.96"/>
    <n v="934.80000000000007"/>
    <n v="275.15999999999997"/>
    <n v="0.2274124764455023"/>
    <x v="15"/>
  </r>
  <r>
    <d v="2023-12-01T00:00:00"/>
    <x v="4"/>
    <x v="2"/>
    <x v="0"/>
    <n v="1940.59"/>
    <n v="1194.21"/>
    <n v="10"/>
    <n v="19405.899999999998"/>
    <n v="11942.1"/>
    <n v="7463.7999999999975"/>
    <n v="0.38461498822523038"/>
    <x v="30"/>
  </r>
  <r>
    <d v="2024-07-29T00:00:00"/>
    <x v="9"/>
    <x v="3"/>
    <x v="3"/>
    <n v="594.61"/>
    <n v="352.28"/>
    <n v="1"/>
    <n v="594.61"/>
    <n v="352.28"/>
    <n v="242.33000000000004"/>
    <n v="0.40754444089403147"/>
    <x v="28"/>
  </r>
  <r>
    <d v="2022-02-17T00:00:00"/>
    <x v="6"/>
    <x v="3"/>
    <x v="3"/>
    <n v="614.88"/>
    <n v="377.6"/>
    <n v="3"/>
    <n v="1844.6399999999999"/>
    <n v="1132.8000000000002"/>
    <n v="711.83999999999969"/>
    <n v="0.3858964350767628"/>
    <x v="20"/>
  </r>
  <r>
    <d v="2023-02-17T00:00:00"/>
    <x v="8"/>
    <x v="1"/>
    <x v="1"/>
    <n v="1300.8599999999999"/>
    <n v="756.12"/>
    <n v="7"/>
    <n v="9106.0199999999986"/>
    <n v="5292.84"/>
    <n v="3813.1799999999985"/>
    <n v="0.41875374752087069"/>
    <x v="27"/>
  </r>
  <r>
    <d v="2023-12-03T00:00:00"/>
    <x v="6"/>
    <x v="3"/>
    <x v="3"/>
    <n v="1093.57"/>
    <n v="782.85"/>
    <n v="9"/>
    <n v="9842.1299999999992"/>
    <n v="7045.6500000000005"/>
    <n v="2796.4799999999987"/>
    <n v="0.28413361741818072"/>
    <x v="30"/>
  </r>
  <r>
    <d v="2022-07-30T00:00:00"/>
    <x v="10"/>
    <x v="2"/>
    <x v="0"/>
    <n v="543.71"/>
    <n v="465.9"/>
    <n v="8"/>
    <n v="4349.68"/>
    <n v="3727.2"/>
    <n v="622.48000000000047"/>
    <n v="0.14310937816115218"/>
    <x v="8"/>
  </r>
  <r>
    <d v="2024-02-13T00:00:00"/>
    <x v="4"/>
    <x v="2"/>
    <x v="2"/>
    <n v="1467.11"/>
    <n v="1249.74"/>
    <n v="8"/>
    <n v="11736.88"/>
    <n v="9997.92"/>
    <n v="1738.9599999999991"/>
    <n v="0.14816203284007329"/>
    <x v="34"/>
  </r>
  <r>
    <d v="2022-01-09T00:00:00"/>
    <x v="9"/>
    <x v="3"/>
    <x v="1"/>
    <n v="1421.35"/>
    <n v="1065.58"/>
    <n v="7"/>
    <n v="9949.4499999999989"/>
    <n v="7459.0599999999995"/>
    <n v="2490.3899999999994"/>
    <n v="0.25030428817673334"/>
    <x v="9"/>
  </r>
  <r>
    <d v="2023-08-19T00:00:00"/>
    <x v="5"/>
    <x v="3"/>
    <x v="2"/>
    <n v="1467.71"/>
    <n v="845.31"/>
    <n v="9"/>
    <n v="13209.39"/>
    <n v="7607.7899999999991"/>
    <n v="5601.6"/>
    <n v="0.42406197409570018"/>
    <x v="14"/>
  </r>
  <r>
    <d v="2022-04-18T00:00:00"/>
    <x v="8"/>
    <x v="1"/>
    <x v="0"/>
    <n v="1271.26"/>
    <n v="1137.73"/>
    <n v="4"/>
    <n v="5085.04"/>
    <n v="4550.92"/>
    <n v="534.11999999999989"/>
    <n v="0.10503752182873682"/>
    <x v="32"/>
  </r>
  <r>
    <d v="2023-10-08T00:00:00"/>
    <x v="1"/>
    <x v="1"/>
    <x v="2"/>
    <n v="761.95"/>
    <n v="513.44000000000005"/>
    <n v="4"/>
    <n v="3047.8"/>
    <n v="2053.7600000000002"/>
    <n v="994.04"/>
    <n v="0.32615000984316556"/>
    <x v="5"/>
  </r>
  <r>
    <d v="2024-04-13T00:00:00"/>
    <x v="0"/>
    <x v="0"/>
    <x v="1"/>
    <n v="1607.95"/>
    <n v="1368.59"/>
    <n v="1"/>
    <n v="1607.95"/>
    <n v="1368.59"/>
    <n v="239.36000000000013"/>
    <n v="0.14886035013526547"/>
    <x v="22"/>
  </r>
  <r>
    <d v="2024-05-16T00:00:00"/>
    <x v="9"/>
    <x v="3"/>
    <x v="3"/>
    <n v="758.29"/>
    <n v="653.4"/>
    <n v="8"/>
    <n v="6066.32"/>
    <n v="5227.2"/>
    <n v="839.11999999999989"/>
    <n v="0.13832438776721306"/>
    <x v="3"/>
  </r>
  <r>
    <d v="2023-06-24T00:00:00"/>
    <x v="6"/>
    <x v="3"/>
    <x v="0"/>
    <n v="1060.79"/>
    <n v="889.68"/>
    <n v="7"/>
    <n v="7425.53"/>
    <n v="6227.7599999999993"/>
    <n v="1197.7700000000004"/>
    <n v="0.16130431093807451"/>
    <x v="0"/>
  </r>
  <r>
    <d v="2023-07-08T00:00:00"/>
    <x v="6"/>
    <x v="3"/>
    <x v="3"/>
    <n v="887.26"/>
    <n v="795.34"/>
    <n v="3"/>
    <n v="2661.7799999999997"/>
    <n v="2386.02"/>
    <n v="275.75999999999976"/>
    <n v="0.1035998467191127"/>
    <x v="11"/>
  </r>
  <r>
    <d v="2023-05-11T00:00:00"/>
    <x v="1"/>
    <x v="1"/>
    <x v="0"/>
    <n v="833.16"/>
    <n v="488.12"/>
    <n v="2"/>
    <n v="1666.32"/>
    <n v="976.24"/>
    <n v="690.07999999999993"/>
    <n v="0.41413413990109937"/>
    <x v="31"/>
  </r>
  <r>
    <d v="2022-03-10T00:00:00"/>
    <x v="9"/>
    <x v="3"/>
    <x v="3"/>
    <n v="1670.55"/>
    <n v="1251.2"/>
    <n v="4"/>
    <n v="6682.2"/>
    <n v="5004.8"/>
    <n v="1677.3999999999996"/>
    <n v="0.25102511149022771"/>
    <x v="7"/>
  </r>
  <r>
    <d v="2022-01-30T00:00:00"/>
    <x v="2"/>
    <x v="0"/>
    <x v="0"/>
    <n v="1215.18"/>
    <n v="1060.8900000000001"/>
    <n v="1"/>
    <n v="1215.18"/>
    <n v="1060.8900000000001"/>
    <n v="154.28999999999996"/>
    <n v="0.12696884412185847"/>
    <x v="9"/>
  </r>
  <r>
    <d v="2022-06-09T00:00:00"/>
    <x v="10"/>
    <x v="2"/>
    <x v="1"/>
    <n v="1286.78"/>
    <n v="1141.74"/>
    <n v="7"/>
    <n v="9007.4599999999991"/>
    <n v="7992.18"/>
    <n v="1015.2799999999988"/>
    <n v="0.11271546029624321"/>
    <x v="18"/>
  </r>
  <r>
    <d v="2024-08-22T00:00:00"/>
    <x v="7"/>
    <x v="0"/>
    <x v="0"/>
    <n v="779.02"/>
    <n v="591.75"/>
    <n v="6"/>
    <n v="4674.12"/>
    <n v="3550.5"/>
    <n v="1123.6199999999999"/>
    <n v="0.24039177428050626"/>
    <x v="21"/>
  </r>
  <r>
    <d v="2022-11-13T00:00:00"/>
    <x v="1"/>
    <x v="1"/>
    <x v="1"/>
    <n v="712.91"/>
    <n v="563.45000000000005"/>
    <n v="8"/>
    <n v="5703.28"/>
    <n v="4507.6000000000004"/>
    <n v="1195.6799999999994"/>
    <n v="0.20964778162741429"/>
    <x v="1"/>
  </r>
  <r>
    <d v="2024-01-23T00:00:00"/>
    <x v="1"/>
    <x v="1"/>
    <x v="2"/>
    <n v="1728.86"/>
    <n v="939.96"/>
    <n v="5"/>
    <n v="8644.2999999999993"/>
    <n v="4699.8"/>
    <n v="3944.4999999999991"/>
    <n v="0.45631225200421083"/>
    <x v="26"/>
  </r>
  <r>
    <d v="2024-02-02T00:00:00"/>
    <x v="6"/>
    <x v="3"/>
    <x v="1"/>
    <n v="94.44"/>
    <n v="63.53"/>
    <n v="9"/>
    <n v="849.96"/>
    <n v="571.77"/>
    <n v="278.19000000000005"/>
    <n v="0.32729775518847953"/>
    <x v="34"/>
  </r>
  <r>
    <d v="2024-06-30T00:00:00"/>
    <x v="4"/>
    <x v="2"/>
    <x v="3"/>
    <n v="1861.71"/>
    <n v="1051.1199999999999"/>
    <n v="1"/>
    <n v="1861.71"/>
    <n v="1051.1199999999999"/>
    <n v="810.59000000000015"/>
    <n v="0.43540078744809885"/>
    <x v="4"/>
  </r>
  <r>
    <d v="2024-01-03T00:00:00"/>
    <x v="0"/>
    <x v="0"/>
    <x v="1"/>
    <n v="1283.02"/>
    <n v="962.84"/>
    <n v="3"/>
    <n v="3849.06"/>
    <n v="2888.52"/>
    <n v="960.54"/>
    <n v="0.2495518386307306"/>
    <x v="26"/>
  </r>
  <r>
    <d v="2022-08-29T00:00:00"/>
    <x v="5"/>
    <x v="3"/>
    <x v="1"/>
    <n v="637.72"/>
    <n v="422.04"/>
    <n v="6"/>
    <n v="3826.32"/>
    <n v="2532.2400000000002"/>
    <n v="1294.08"/>
    <n v="0.3382048547952079"/>
    <x v="15"/>
  </r>
  <r>
    <d v="2022-09-24T00:00:00"/>
    <x v="6"/>
    <x v="3"/>
    <x v="1"/>
    <n v="1792.1"/>
    <n v="1054.03"/>
    <n v="10"/>
    <n v="17921"/>
    <n v="10540.3"/>
    <n v="7380.7000000000007"/>
    <n v="0.41184643714078462"/>
    <x v="12"/>
  </r>
  <r>
    <d v="2023-10-22T00:00:00"/>
    <x v="6"/>
    <x v="3"/>
    <x v="1"/>
    <n v="1164.92"/>
    <n v="958.24"/>
    <n v="1"/>
    <n v="1164.92"/>
    <n v="958.24"/>
    <n v="206.68000000000006"/>
    <n v="0.17741990866325588"/>
    <x v="5"/>
  </r>
  <r>
    <d v="2024-05-23T00:00:00"/>
    <x v="0"/>
    <x v="0"/>
    <x v="2"/>
    <n v="1141.3399999999999"/>
    <n v="774.74"/>
    <n v="2"/>
    <n v="2282.6799999999998"/>
    <n v="1549.48"/>
    <n v="733.19999999999982"/>
    <n v="0.32120139485166554"/>
    <x v="3"/>
  </r>
  <r>
    <d v="2024-09-15T00:00:00"/>
    <x v="5"/>
    <x v="3"/>
    <x v="3"/>
    <n v="1092.1300000000001"/>
    <n v="839.51"/>
    <n v="6"/>
    <n v="6552.7800000000007"/>
    <n v="5037.0599999999995"/>
    <n v="1515.7200000000012"/>
    <n v="0.23130945949658024"/>
    <x v="16"/>
  </r>
  <r>
    <d v="2023-03-27T00:00:00"/>
    <x v="5"/>
    <x v="3"/>
    <x v="1"/>
    <n v="184.06"/>
    <n v="133.22999999999999"/>
    <n v="4"/>
    <n v="736.24"/>
    <n v="532.91999999999996"/>
    <n v="203.32000000000005"/>
    <n v="0.27615994784309472"/>
    <x v="19"/>
  </r>
  <r>
    <d v="2022-04-07T00:00:00"/>
    <x v="6"/>
    <x v="3"/>
    <x v="3"/>
    <n v="1690.5"/>
    <n v="1341.63"/>
    <n v="2"/>
    <n v="3381"/>
    <n v="2683.26"/>
    <n v="697.73999999999978"/>
    <n v="0.20637089618456073"/>
    <x v="32"/>
  </r>
  <r>
    <d v="2024-08-20T00:00:00"/>
    <x v="6"/>
    <x v="3"/>
    <x v="2"/>
    <n v="1453.11"/>
    <n v="913.55"/>
    <n v="8"/>
    <n v="11624.88"/>
    <n v="7308.4"/>
    <n v="4316.4799999999996"/>
    <n v="0.37131394044497662"/>
    <x v="21"/>
  </r>
  <r>
    <d v="2023-01-01T00:00:00"/>
    <x v="4"/>
    <x v="2"/>
    <x v="0"/>
    <n v="1187.95"/>
    <n v="781.99"/>
    <n v="3"/>
    <n v="3563.8500000000004"/>
    <n v="2345.9700000000003"/>
    <n v="1217.8800000000001"/>
    <n v="0.3417315543583484"/>
    <x v="13"/>
  </r>
  <r>
    <d v="2023-10-31T00:00:00"/>
    <x v="8"/>
    <x v="1"/>
    <x v="1"/>
    <n v="1857.88"/>
    <n v="1671.47"/>
    <n v="4"/>
    <n v="7431.52"/>
    <n v="6685.88"/>
    <n v="745.64000000000033"/>
    <n v="0.10033479019097039"/>
    <x v="5"/>
  </r>
  <r>
    <d v="2022-09-19T00:00:00"/>
    <x v="4"/>
    <x v="2"/>
    <x v="3"/>
    <n v="925.87"/>
    <n v="482.91"/>
    <n v="9"/>
    <n v="8332.83"/>
    <n v="4346.1900000000005"/>
    <n v="3986.6399999999994"/>
    <n v="0.47842569691209341"/>
    <x v="12"/>
  </r>
  <r>
    <d v="2022-03-18T00:00:00"/>
    <x v="7"/>
    <x v="0"/>
    <x v="1"/>
    <n v="999.61"/>
    <n v="689.3"/>
    <n v="8"/>
    <n v="7996.88"/>
    <n v="5514.4"/>
    <n v="2482.4800000000005"/>
    <n v="0.31043106811656551"/>
    <x v="7"/>
  </r>
  <r>
    <d v="2023-07-01T00:00:00"/>
    <x v="4"/>
    <x v="2"/>
    <x v="3"/>
    <n v="69.180000000000007"/>
    <n v="60.72"/>
    <n v="8"/>
    <n v="553.44000000000005"/>
    <n v="485.76"/>
    <n v="67.680000000000064"/>
    <n v="0.12228967909800531"/>
    <x v="11"/>
  </r>
  <r>
    <d v="2022-02-12T00:00:00"/>
    <x v="0"/>
    <x v="0"/>
    <x v="0"/>
    <n v="1618.41"/>
    <n v="1321.49"/>
    <n v="7"/>
    <n v="11328.87"/>
    <n v="9250.43"/>
    <n v="2078.4400000000005"/>
    <n v="0.18346401715263749"/>
    <x v="20"/>
  </r>
  <r>
    <d v="2024-02-14T00:00:00"/>
    <x v="1"/>
    <x v="1"/>
    <x v="3"/>
    <n v="1961.91"/>
    <n v="1725.04"/>
    <n v="3"/>
    <n v="5885.7300000000005"/>
    <n v="5175.12"/>
    <n v="710.61000000000058"/>
    <n v="0.12073438638877429"/>
    <x v="34"/>
  </r>
  <r>
    <d v="2024-02-12T00:00:00"/>
    <x v="5"/>
    <x v="3"/>
    <x v="1"/>
    <n v="947.17"/>
    <n v="652.76"/>
    <n v="8"/>
    <n v="7577.36"/>
    <n v="5222.08"/>
    <n v="2355.2799999999997"/>
    <n v="0.31083121298183009"/>
    <x v="34"/>
  </r>
  <r>
    <d v="2023-01-20T00:00:00"/>
    <x v="8"/>
    <x v="1"/>
    <x v="1"/>
    <n v="1724.47"/>
    <n v="1375.09"/>
    <n v="4"/>
    <n v="6897.88"/>
    <n v="5500.36"/>
    <n v="1397.5200000000004"/>
    <n v="0.20260137897440958"/>
    <x v="13"/>
  </r>
  <r>
    <d v="2022-05-20T00:00:00"/>
    <x v="1"/>
    <x v="1"/>
    <x v="3"/>
    <n v="1882.44"/>
    <n v="1300.8499999999999"/>
    <n v="9"/>
    <n v="16941.96"/>
    <n v="11707.65"/>
    <n v="5234.3099999999995"/>
    <n v="0.30895539831282803"/>
    <x v="35"/>
  </r>
  <r>
    <d v="2024-01-13T00:00:00"/>
    <x v="1"/>
    <x v="1"/>
    <x v="0"/>
    <n v="1618.05"/>
    <n v="1084.2"/>
    <n v="5"/>
    <n v="8090.25"/>
    <n v="5421"/>
    <n v="2669.25"/>
    <n v="0.32993418003151942"/>
    <x v="26"/>
  </r>
  <r>
    <d v="2023-03-09T00:00:00"/>
    <x v="4"/>
    <x v="2"/>
    <x v="3"/>
    <n v="95.65"/>
    <n v="47.92"/>
    <n v="6"/>
    <n v="573.90000000000009"/>
    <n v="287.52"/>
    <n v="286.38000000000011"/>
    <n v="0.49900679560899125"/>
    <x v="19"/>
  </r>
  <r>
    <d v="2022-05-06T00:00:00"/>
    <x v="2"/>
    <x v="0"/>
    <x v="2"/>
    <n v="1799.67"/>
    <n v="1378.68"/>
    <n v="2"/>
    <n v="3599.34"/>
    <n v="2757.36"/>
    <n v="841.98"/>
    <n v="0.2339262198069646"/>
    <x v="35"/>
  </r>
  <r>
    <d v="2023-12-31T00:00:00"/>
    <x v="3"/>
    <x v="2"/>
    <x v="1"/>
    <n v="130.19999999999999"/>
    <n v="100.52"/>
    <n v="9"/>
    <n v="1171.8"/>
    <n v="904.68"/>
    <n v="267.12"/>
    <n v="0.22795698924731184"/>
    <x v="30"/>
  </r>
  <r>
    <d v="2022-04-18T00:00:00"/>
    <x v="7"/>
    <x v="0"/>
    <x v="0"/>
    <n v="269.57"/>
    <n v="182.43"/>
    <n v="1"/>
    <n v="269.57"/>
    <n v="182.43"/>
    <n v="87.139999999999986"/>
    <n v="0.32325555514337645"/>
    <x v="32"/>
  </r>
  <r>
    <d v="2023-12-08T00:00:00"/>
    <x v="0"/>
    <x v="0"/>
    <x v="2"/>
    <n v="1608.36"/>
    <n v="1062.23"/>
    <n v="10"/>
    <n v="16083.599999999999"/>
    <n v="10622.3"/>
    <n v="5461.2999999999993"/>
    <n v="0.3395570643388296"/>
    <x v="30"/>
  </r>
  <r>
    <d v="2022-03-03T00:00:00"/>
    <x v="3"/>
    <x v="2"/>
    <x v="2"/>
    <n v="1981.65"/>
    <n v="1121.26"/>
    <n v="1"/>
    <n v="1981.65"/>
    <n v="1121.26"/>
    <n v="860.3900000000001"/>
    <n v="0.43417858854994579"/>
    <x v="7"/>
  </r>
  <r>
    <d v="2023-04-25T00:00:00"/>
    <x v="5"/>
    <x v="3"/>
    <x v="0"/>
    <n v="1218.56"/>
    <n v="651.89"/>
    <n v="9"/>
    <n v="10967.039999999999"/>
    <n v="5867.01"/>
    <n v="5100.0299999999988"/>
    <n v="0.46503249737394953"/>
    <x v="6"/>
  </r>
  <r>
    <d v="2022-05-28T00:00:00"/>
    <x v="0"/>
    <x v="0"/>
    <x v="3"/>
    <n v="1229.46"/>
    <n v="636.86"/>
    <n v="7"/>
    <n v="8606.2200000000012"/>
    <n v="4458.0200000000004"/>
    <n v="4148.2000000000007"/>
    <n v="0.48200022774226087"/>
    <x v="35"/>
  </r>
  <r>
    <d v="2023-08-29T00:00:00"/>
    <x v="8"/>
    <x v="1"/>
    <x v="1"/>
    <n v="815.93"/>
    <n v="593.21"/>
    <n v="8"/>
    <n v="6527.44"/>
    <n v="4745.68"/>
    <n v="1781.7599999999993"/>
    <n v="0.2729645925508315"/>
    <x v="14"/>
  </r>
  <r>
    <d v="2024-05-04T00:00:00"/>
    <x v="1"/>
    <x v="1"/>
    <x v="1"/>
    <n v="947.22"/>
    <n v="762.71"/>
    <n v="10"/>
    <n v="9472.2000000000007"/>
    <n v="7627.1"/>
    <n v="1845.1000000000004"/>
    <n v="0.19479107282363128"/>
    <x v="3"/>
  </r>
  <r>
    <d v="2024-04-06T00:00:00"/>
    <x v="3"/>
    <x v="2"/>
    <x v="3"/>
    <n v="867.26"/>
    <n v="622.23"/>
    <n v="2"/>
    <n v="1734.52"/>
    <n v="1244.46"/>
    <n v="490.05999999999995"/>
    <n v="0.28253349629868779"/>
    <x v="22"/>
  </r>
  <r>
    <d v="2023-01-20T00:00:00"/>
    <x v="6"/>
    <x v="3"/>
    <x v="1"/>
    <n v="556.21"/>
    <n v="382.81"/>
    <n v="1"/>
    <n v="556.21"/>
    <n v="382.81"/>
    <n v="173.40000000000003"/>
    <n v="0.31175275525431045"/>
    <x v="13"/>
  </r>
  <r>
    <d v="2022-05-11T00:00:00"/>
    <x v="0"/>
    <x v="0"/>
    <x v="3"/>
    <n v="1216.7"/>
    <n v="698.46"/>
    <n v="2"/>
    <n v="2433.4"/>
    <n v="1396.92"/>
    <n v="1036.48"/>
    <n v="0.4259390153694419"/>
    <x v="35"/>
  </r>
  <r>
    <d v="2023-09-21T00:00:00"/>
    <x v="2"/>
    <x v="0"/>
    <x v="3"/>
    <n v="1555.9"/>
    <n v="1189.6600000000001"/>
    <n v="6"/>
    <n v="9335.4000000000015"/>
    <n v="7137.9600000000009"/>
    <n v="2197.4400000000005"/>
    <n v="0.23538787839835468"/>
    <x v="24"/>
  </r>
  <r>
    <d v="2024-08-14T00:00:00"/>
    <x v="3"/>
    <x v="2"/>
    <x v="1"/>
    <n v="1132.43"/>
    <n v="823.92"/>
    <n v="2"/>
    <n v="2264.86"/>
    <n v="1647.84"/>
    <n v="617.02000000000021"/>
    <n v="0.27243185009227949"/>
    <x v="21"/>
  </r>
  <r>
    <d v="2023-05-17T00:00:00"/>
    <x v="10"/>
    <x v="2"/>
    <x v="2"/>
    <n v="224.32"/>
    <n v="198.27"/>
    <n v="4"/>
    <n v="897.28"/>
    <n v="793.08"/>
    <n v="104.19999999999993"/>
    <n v="0.11612874465049922"/>
    <x v="31"/>
  </r>
  <r>
    <d v="2022-05-11T00:00:00"/>
    <x v="6"/>
    <x v="3"/>
    <x v="1"/>
    <n v="1859.32"/>
    <n v="1237.4000000000001"/>
    <n v="9"/>
    <n v="16733.88"/>
    <n v="11136.6"/>
    <n v="5597.2800000000007"/>
    <n v="0.33448787728847107"/>
    <x v="35"/>
  </r>
  <r>
    <d v="2022-10-25T00:00:00"/>
    <x v="10"/>
    <x v="2"/>
    <x v="2"/>
    <n v="317.29000000000002"/>
    <n v="182.99"/>
    <n v="2"/>
    <n v="634.58000000000004"/>
    <n v="365.98"/>
    <n v="268.60000000000002"/>
    <n v="0.42327208547385675"/>
    <x v="25"/>
  </r>
  <r>
    <d v="2023-01-28T00:00:00"/>
    <x v="3"/>
    <x v="2"/>
    <x v="3"/>
    <n v="1338.11"/>
    <n v="898.43"/>
    <n v="4"/>
    <n v="5352.44"/>
    <n v="3593.72"/>
    <n v="1758.7199999999998"/>
    <n v="0.32858285193295017"/>
    <x v="13"/>
  </r>
  <r>
    <d v="2022-07-30T00:00:00"/>
    <x v="5"/>
    <x v="3"/>
    <x v="3"/>
    <n v="1281.1500000000001"/>
    <n v="967.8"/>
    <n v="7"/>
    <n v="8968.0500000000011"/>
    <n v="6774.5999999999995"/>
    <n v="2193.4500000000016"/>
    <n v="0.24458494321508034"/>
    <x v="8"/>
  </r>
  <r>
    <d v="2022-10-24T00:00:00"/>
    <x v="5"/>
    <x v="3"/>
    <x v="0"/>
    <n v="1466.32"/>
    <n v="754.24"/>
    <n v="4"/>
    <n v="5865.28"/>
    <n v="3016.96"/>
    <n v="2848.3199999999997"/>
    <n v="0.48562387473402802"/>
    <x v="25"/>
  </r>
  <r>
    <d v="2022-08-19T00:00:00"/>
    <x v="6"/>
    <x v="3"/>
    <x v="2"/>
    <n v="322.63"/>
    <n v="186.96"/>
    <n v="8"/>
    <n v="2581.04"/>
    <n v="1495.68"/>
    <n v="1085.3599999999999"/>
    <n v="0.42051266156278089"/>
    <x v="15"/>
  </r>
  <r>
    <d v="2023-04-27T00:00:00"/>
    <x v="9"/>
    <x v="3"/>
    <x v="2"/>
    <n v="1056.81"/>
    <n v="903.1"/>
    <n v="1"/>
    <n v="1056.81"/>
    <n v="903.1"/>
    <n v="153.70999999999992"/>
    <n v="0.14544714754780891"/>
    <x v="6"/>
  </r>
  <r>
    <d v="2024-11-14T00:00:00"/>
    <x v="2"/>
    <x v="0"/>
    <x v="3"/>
    <n v="448.02"/>
    <n v="319.75"/>
    <n v="1"/>
    <n v="448.02"/>
    <n v="319.75"/>
    <n v="128.26999999999998"/>
    <n v="0.2863041828489799"/>
    <x v="2"/>
  </r>
  <r>
    <d v="2022-11-26T00:00:00"/>
    <x v="7"/>
    <x v="0"/>
    <x v="3"/>
    <n v="694.01"/>
    <n v="462.81"/>
    <n v="1"/>
    <n v="694.01"/>
    <n v="462.81"/>
    <n v="231.2"/>
    <n v="0.33313641013818246"/>
    <x v="1"/>
  </r>
  <r>
    <d v="2022-09-14T00:00:00"/>
    <x v="10"/>
    <x v="2"/>
    <x v="1"/>
    <n v="1641.9"/>
    <n v="1307.02"/>
    <n v="4"/>
    <n v="6567.6"/>
    <n v="5228.08"/>
    <n v="1339.5200000000004"/>
    <n v="0.20395882818685673"/>
    <x v="12"/>
  </r>
  <r>
    <d v="2023-04-09T00:00:00"/>
    <x v="3"/>
    <x v="2"/>
    <x v="2"/>
    <n v="1193.32"/>
    <n v="632.46"/>
    <n v="4"/>
    <n v="4773.28"/>
    <n v="2529.84"/>
    <n v="2243.4399999999996"/>
    <n v="0.46999966480072397"/>
    <x v="6"/>
  </r>
  <r>
    <d v="2022-01-04T00:00:00"/>
    <x v="9"/>
    <x v="3"/>
    <x v="2"/>
    <n v="550.19000000000005"/>
    <n v="318.64"/>
    <n v="9"/>
    <n v="4951.7100000000009"/>
    <n v="2867.7599999999998"/>
    <n v="2083.9500000000012"/>
    <n v="0.42085461386066647"/>
    <x v="9"/>
  </r>
  <r>
    <d v="2024-09-20T00:00:00"/>
    <x v="4"/>
    <x v="2"/>
    <x v="3"/>
    <n v="1984.55"/>
    <n v="1765.27"/>
    <n v="2"/>
    <n v="3969.1"/>
    <n v="3530.54"/>
    <n v="438.55999999999995"/>
    <n v="0.11049356277241691"/>
    <x v="16"/>
  </r>
  <r>
    <d v="2023-09-08T00:00:00"/>
    <x v="1"/>
    <x v="1"/>
    <x v="1"/>
    <n v="1567.45"/>
    <n v="990.35"/>
    <n v="7"/>
    <n v="10972.15"/>
    <n v="6932.45"/>
    <n v="4039.7"/>
    <n v="0.36817761332099908"/>
    <x v="24"/>
  </r>
  <r>
    <d v="2023-12-02T00:00:00"/>
    <x v="7"/>
    <x v="0"/>
    <x v="2"/>
    <n v="1103.95"/>
    <n v="769.21"/>
    <n v="2"/>
    <n v="2207.9"/>
    <n v="1538.42"/>
    <n v="669.48"/>
    <n v="0.3032202545405136"/>
    <x v="30"/>
  </r>
  <r>
    <d v="2022-10-12T00:00:00"/>
    <x v="4"/>
    <x v="2"/>
    <x v="1"/>
    <n v="1486.14"/>
    <n v="1174.1500000000001"/>
    <n v="1"/>
    <n v="1486.14"/>
    <n v="1174.1500000000001"/>
    <n v="311.99"/>
    <n v="0.20993311531887979"/>
    <x v="25"/>
  </r>
  <r>
    <d v="2022-07-25T00:00:00"/>
    <x v="6"/>
    <x v="3"/>
    <x v="2"/>
    <n v="441.5"/>
    <n v="262.14999999999998"/>
    <n v="7"/>
    <n v="3090.5"/>
    <n v="1835.0499999999997"/>
    <n v="1255.4500000000003"/>
    <n v="0.40622876557191401"/>
    <x v="8"/>
  </r>
  <r>
    <d v="2022-07-29T00:00:00"/>
    <x v="0"/>
    <x v="0"/>
    <x v="2"/>
    <n v="51.59"/>
    <n v="38.799999999999997"/>
    <n v="6"/>
    <n v="309.54000000000002"/>
    <n v="232.79999999999998"/>
    <n v="76.740000000000038"/>
    <n v="0.24791626284163609"/>
    <x v="8"/>
  </r>
  <r>
    <d v="2023-07-11T00:00:00"/>
    <x v="6"/>
    <x v="3"/>
    <x v="3"/>
    <n v="1786.44"/>
    <n v="1408.98"/>
    <n v="9"/>
    <n v="16077.960000000001"/>
    <n v="12680.82"/>
    <n v="3397.1400000000012"/>
    <n v="0.21129173104050519"/>
    <x v="11"/>
  </r>
  <r>
    <d v="2023-12-04T00:00:00"/>
    <x v="9"/>
    <x v="3"/>
    <x v="3"/>
    <n v="1349.32"/>
    <n v="728.44"/>
    <n v="3"/>
    <n v="4047.96"/>
    <n v="2185.3200000000002"/>
    <n v="1862.6399999999999"/>
    <n v="0.46014288678741883"/>
    <x v="30"/>
  </r>
  <r>
    <d v="2023-12-03T00:00:00"/>
    <x v="3"/>
    <x v="2"/>
    <x v="2"/>
    <n v="266.54000000000002"/>
    <n v="228.84"/>
    <n v="6"/>
    <n v="1599.2400000000002"/>
    <n v="1373.04"/>
    <n v="226.20000000000027"/>
    <n v="0.14144218503789316"/>
    <x v="30"/>
  </r>
  <r>
    <d v="2024-07-04T00:00:00"/>
    <x v="10"/>
    <x v="2"/>
    <x v="1"/>
    <n v="366.64"/>
    <n v="184.52"/>
    <n v="5"/>
    <n v="1833.1999999999998"/>
    <n v="922.6"/>
    <n v="910.5999999999998"/>
    <n v="0.49672703469343221"/>
    <x v="28"/>
  </r>
  <r>
    <d v="2024-09-29T00:00:00"/>
    <x v="10"/>
    <x v="2"/>
    <x v="1"/>
    <n v="244.71"/>
    <n v="141.13"/>
    <n v="6"/>
    <n v="1468.26"/>
    <n v="846.78"/>
    <n v="621.48"/>
    <n v="0.42327653140451965"/>
    <x v="16"/>
  </r>
  <r>
    <d v="2024-08-01T00:00:00"/>
    <x v="5"/>
    <x v="3"/>
    <x v="0"/>
    <n v="1732.8"/>
    <n v="1549.64"/>
    <n v="5"/>
    <n v="8664"/>
    <n v="7748.2000000000007"/>
    <n v="915.79999999999927"/>
    <n v="0.10570175438596482"/>
    <x v="21"/>
  </r>
  <r>
    <d v="2022-01-11T00:00:00"/>
    <x v="7"/>
    <x v="0"/>
    <x v="2"/>
    <n v="40.43"/>
    <n v="26.32"/>
    <n v="9"/>
    <n v="363.87"/>
    <n v="236.88"/>
    <n v="126.99000000000001"/>
    <n v="0.34899826861241656"/>
    <x v="9"/>
  </r>
  <r>
    <d v="2023-01-04T00:00:00"/>
    <x v="6"/>
    <x v="3"/>
    <x v="2"/>
    <n v="1594.18"/>
    <n v="1271.45"/>
    <n v="4"/>
    <n v="6376.72"/>
    <n v="5085.8"/>
    <n v="1290.92"/>
    <n v="0.20244263508512214"/>
    <x v="13"/>
  </r>
  <r>
    <d v="2024-09-15T00:00:00"/>
    <x v="10"/>
    <x v="2"/>
    <x v="1"/>
    <n v="1952.02"/>
    <n v="1001.51"/>
    <n v="9"/>
    <n v="17568.18"/>
    <n v="9013.59"/>
    <n v="8554.59"/>
    <n v="0.4869366092560527"/>
    <x v="16"/>
  </r>
  <r>
    <d v="2023-08-20T00:00:00"/>
    <x v="8"/>
    <x v="1"/>
    <x v="1"/>
    <n v="279.77"/>
    <n v="191.97"/>
    <n v="3"/>
    <n v="839.31"/>
    <n v="575.91"/>
    <n v="263.39999999999998"/>
    <n v="0.31382921685670373"/>
    <x v="14"/>
  </r>
  <r>
    <d v="2022-05-01T00:00:00"/>
    <x v="10"/>
    <x v="2"/>
    <x v="0"/>
    <n v="1050.5"/>
    <n v="897.4"/>
    <n v="9"/>
    <n v="9454.5"/>
    <n v="8076.5999999999995"/>
    <n v="1377.9000000000005"/>
    <n v="0.145740123750595"/>
    <x v="35"/>
  </r>
  <r>
    <d v="2022-06-03T00:00:00"/>
    <x v="9"/>
    <x v="3"/>
    <x v="3"/>
    <n v="587.84"/>
    <n v="518.79"/>
    <n v="4"/>
    <n v="2351.36"/>
    <n v="2075.16"/>
    <n v="276.20000000000027"/>
    <n v="0.11746393576483408"/>
    <x v="18"/>
  </r>
  <r>
    <d v="2023-02-03T00:00:00"/>
    <x v="4"/>
    <x v="2"/>
    <x v="0"/>
    <n v="1910.18"/>
    <n v="1671.23"/>
    <n v="2"/>
    <n v="3820.36"/>
    <n v="3342.46"/>
    <n v="477.90000000000009"/>
    <n v="0.12509292318001447"/>
    <x v="27"/>
  </r>
  <r>
    <d v="2024-05-24T00:00:00"/>
    <x v="0"/>
    <x v="0"/>
    <x v="3"/>
    <n v="923.39"/>
    <n v="606.03"/>
    <n v="1"/>
    <n v="923.39"/>
    <n v="606.03"/>
    <n v="317.36"/>
    <n v="0.34369009844161191"/>
    <x v="3"/>
  </r>
  <r>
    <d v="2024-09-23T00:00:00"/>
    <x v="0"/>
    <x v="0"/>
    <x v="1"/>
    <n v="856.03"/>
    <n v="762.68"/>
    <n v="7"/>
    <n v="5992.21"/>
    <n v="5338.7599999999993"/>
    <n v="653.45000000000073"/>
    <n v="0.10904991647489001"/>
    <x v="16"/>
  </r>
  <r>
    <d v="2023-01-30T00:00:00"/>
    <x v="10"/>
    <x v="2"/>
    <x v="2"/>
    <n v="1527.33"/>
    <n v="765.41"/>
    <n v="4"/>
    <n v="6109.32"/>
    <n v="3061.64"/>
    <n v="3047.68"/>
    <n v="0.49885748332056595"/>
    <x v="13"/>
  </r>
  <r>
    <d v="2022-03-20T00:00:00"/>
    <x v="5"/>
    <x v="3"/>
    <x v="2"/>
    <n v="1915.55"/>
    <n v="1036.43"/>
    <n v="3"/>
    <n v="5746.65"/>
    <n v="3109.29"/>
    <n v="2637.3599999999997"/>
    <n v="0.45893868601707077"/>
    <x v="7"/>
  </r>
  <r>
    <d v="2022-01-20T00:00:00"/>
    <x v="4"/>
    <x v="2"/>
    <x v="1"/>
    <n v="1653.08"/>
    <n v="1439.07"/>
    <n v="4"/>
    <n v="6612.32"/>
    <n v="5756.28"/>
    <n v="856.04"/>
    <n v="0.12946136908074624"/>
    <x v="9"/>
  </r>
  <r>
    <d v="2022-02-16T00:00:00"/>
    <x v="9"/>
    <x v="3"/>
    <x v="1"/>
    <n v="650.79999999999995"/>
    <n v="509.36"/>
    <n v="5"/>
    <n v="3254"/>
    <n v="2546.8000000000002"/>
    <n v="707.19999999999982"/>
    <n v="0.21733251382913332"/>
    <x v="20"/>
  </r>
  <r>
    <d v="2023-10-19T00:00:00"/>
    <x v="1"/>
    <x v="1"/>
    <x v="1"/>
    <n v="1224.32"/>
    <n v="925.77"/>
    <n v="8"/>
    <n v="9794.56"/>
    <n v="7406.16"/>
    <n v="2388.3999999999996"/>
    <n v="0.2438496471510716"/>
    <x v="5"/>
  </r>
  <r>
    <d v="2024-11-16T00:00:00"/>
    <x v="1"/>
    <x v="1"/>
    <x v="0"/>
    <n v="587.08000000000004"/>
    <n v="393.4"/>
    <n v="2"/>
    <n v="1174.1600000000001"/>
    <n v="786.8"/>
    <n v="387.36000000000013"/>
    <n v="0.32990393132111473"/>
    <x v="2"/>
  </r>
  <r>
    <d v="2024-05-25T00:00:00"/>
    <x v="4"/>
    <x v="2"/>
    <x v="2"/>
    <n v="1122.31"/>
    <n v="941.37"/>
    <n v="10"/>
    <n v="11223.099999999999"/>
    <n v="9413.7000000000007"/>
    <n v="1809.3999999999978"/>
    <n v="0.16122105300674483"/>
    <x v="3"/>
  </r>
  <r>
    <d v="2023-12-01T00:00:00"/>
    <x v="8"/>
    <x v="1"/>
    <x v="2"/>
    <n v="1650.98"/>
    <n v="947.66"/>
    <n v="4"/>
    <n v="6603.92"/>
    <n v="3790.64"/>
    <n v="2813.28"/>
    <n v="0.42600152636615829"/>
    <x v="30"/>
  </r>
  <r>
    <d v="2022-03-04T00:00:00"/>
    <x v="5"/>
    <x v="3"/>
    <x v="0"/>
    <n v="57.3"/>
    <n v="34.5"/>
    <n v="5"/>
    <n v="286.5"/>
    <n v="172.5"/>
    <n v="114"/>
    <n v="0.39790575916230364"/>
    <x v="7"/>
  </r>
  <r>
    <d v="2022-05-01T00:00:00"/>
    <x v="2"/>
    <x v="0"/>
    <x v="0"/>
    <n v="1042.9100000000001"/>
    <n v="915.1"/>
    <n v="1"/>
    <n v="1042.9100000000001"/>
    <n v="915.1"/>
    <n v="127.81000000000006"/>
    <n v="0.12255132274117618"/>
    <x v="35"/>
  </r>
  <r>
    <d v="2022-07-28T00:00:00"/>
    <x v="10"/>
    <x v="2"/>
    <x v="2"/>
    <n v="1964.36"/>
    <n v="1602.83"/>
    <n v="8"/>
    <n v="15714.88"/>
    <n v="12822.64"/>
    <n v="2892.24"/>
    <n v="0.18404467612861186"/>
    <x v="8"/>
  </r>
  <r>
    <d v="2022-01-12T00:00:00"/>
    <x v="6"/>
    <x v="3"/>
    <x v="3"/>
    <n v="949.03"/>
    <n v="510.12"/>
    <n v="10"/>
    <n v="9490.2999999999993"/>
    <n v="5101.2"/>
    <n v="4389.0999999999995"/>
    <n v="0.46248274554018309"/>
    <x v="9"/>
  </r>
  <r>
    <d v="2024-03-26T00:00:00"/>
    <x v="1"/>
    <x v="1"/>
    <x v="2"/>
    <n v="759.74"/>
    <n v="621.74"/>
    <n v="8"/>
    <n v="6077.92"/>
    <n v="4973.92"/>
    <n v="1104"/>
    <n v="0.18164108774054283"/>
    <x v="29"/>
  </r>
  <r>
    <d v="2022-04-11T00:00:00"/>
    <x v="5"/>
    <x v="3"/>
    <x v="3"/>
    <n v="1311.53"/>
    <n v="786.89"/>
    <n v="7"/>
    <n v="9180.7099999999991"/>
    <n v="5508.23"/>
    <n v="3672.4799999999996"/>
    <n v="0.40002134911134324"/>
    <x v="32"/>
  </r>
  <r>
    <d v="2023-09-02T00:00:00"/>
    <x v="0"/>
    <x v="0"/>
    <x v="1"/>
    <n v="808.66"/>
    <n v="473.95"/>
    <n v="4"/>
    <n v="3234.64"/>
    <n v="1895.8"/>
    <n v="1338.84"/>
    <n v="0.41390695718843518"/>
    <x v="24"/>
  </r>
  <r>
    <d v="2022-06-06T00:00:00"/>
    <x v="1"/>
    <x v="1"/>
    <x v="3"/>
    <n v="221.99"/>
    <n v="164.87"/>
    <n v="4"/>
    <n v="887.96"/>
    <n v="659.48"/>
    <n v="228.48000000000002"/>
    <n v="0.25730888778773819"/>
    <x v="18"/>
  </r>
  <r>
    <d v="2022-05-14T00:00:00"/>
    <x v="0"/>
    <x v="0"/>
    <x v="0"/>
    <n v="1088.1300000000001"/>
    <n v="681.1"/>
    <n v="1"/>
    <n v="1088.1300000000001"/>
    <n v="681.1"/>
    <n v="407.03000000000009"/>
    <n v="0.37406376076387937"/>
    <x v="35"/>
  </r>
  <r>
    <d v="2023-04-13T00:00:00"/>
    <x v="6"/>
    <x v="3"/>
    <x v="1"/>
    <n v="908.17"/>
    <n v="585.16999999999996"/>
    <n v="3"/>
    <n v="2724.5099999999998"/>
    <n v="1755.5099999999998"/>
    <n v="969"/>
    <n v="0.35566028386755788"/>
    <x v="6"/>
  </r>
  <r>
    <d v="2023-07-22T00:00:00"/>
    <x v="5"/>
    <x v="3"/>
    <x v="0"/>
    <n v="857.83"/>
    <n v="703.12"/>
    <n v="6"/>
    <n v="5146.9800000000005"/>
    <n v="4218.72"/>
    <n v="928.26000000000022"/>
    <n v="0.18035041908070365"/>
    <x v="11"/>
  </r>
  <r>
    <d v="2022-03-27T00:00:00"/>
    <x v="8"/>
    <x v="1"/>
    <x v="3"/>
    <n v="1038.31"/>
    <n v="556.07000000000005"/>
    <n v="6"/>
    <n v="6229.86"/>
    <n v="3336.42"/>
    <n v="2893.4399999999996"/>
    <n v="0.46444703412275712"/>
    <x v="7"/>
  </r>
  <r>
    <d v="2023-06-14T00:00:00"/>
    <x v="2"/>
    <x v="0"/>
    <x v="0"/>
    <n v="115.65"/>
    <n v="79.56"/>
    <n v="5"/>
    <n v="578.25"/>
    <n v="397.8"/>
    <n v="180.45"/>
    <n v="0.31206225680933852"/>
    <x v="0"/>
  </r>
  <r>
    <d v="2023-03-17T00:00:00"/>
    <x v="3"/>
    <x v="2"/>
    <x v="2"/>
    <n v="716.2"/>
    <n v="568.46"/>
    <n v="5"/>
    <n v="3581"/>
    <n v="2842.3"/>
    <n v="738.69999999999982"/>
    <n v="0.20628316112817643"/>
    <x v="19"/>
  </r>
  <r>
    <d v="2024-07-10T00:00:00"/>
    <x v="7"/>
    <x v="0"/>
    <x v="2"/>
    <n v="647.30999999999995"/>
    <n v="344.57"/>
    <n v="5"/>
    <n v="3236.5499999999997"/>
    <n v="1722.85"/>
    <n v="1513.6999999999998"/>
    <n v="0.46768936058457306"/>
    <x v="28"/>
  </r>
  <r>
    <d v="2022-01-24T00:00:00"/>
    <x v="6"/>
    <x v="3"/>
    <x v="0"/>
    <n v="274.14999999999998"/>
    <n v="219.44"/>
    <n v="2"/>
    <n v="548.29999999999995"/>
    <n v="438.88"/>
    <n v="109.41999999999996"/>
    <n v="0.19956228342148452"/>
    <x v="9"/>
  </r>
  <r>
    <d v="2022-07-23T00:00:00"/>
    <x v="5"/>
    <x v="3"/>
    <x v="2"/>
    <n v="1935.65"/>
    <n v="1235.9100000000001"/>
    <n v="8"/>
    <n v="15485.2"/>
    <n v="9887.2800000000007"/>
    <n v="5597.92"/>
    <n v="0.36150130447136619"/>
    <x v="8"/>
  </r>
  <r>
    <d v="2022-05-05T00:00:00"/>
    <x v="3"/>
    <x v="2"/>
    <x v="1"/>
    <n v="94.06"/>
    <n v="58.51"/>
    <n v="3"/>
    <n v="282.18"/>
    <n v="175.53"/>
    <n v="106.65"/>
    <n v="0.37795024452477144"/>
    <x v="35"/>
  </r>
  <r>
    <d v="2022-06-27T00:00:00"/>
    <x v="2"/>
    <x v="0"/>
    <x v="3"/>
    <n v="540.19000000000005"/>
    <n v="417.51"/>
    <n v="6"/>
    <n v="3241.1400000000003"/>
    <n v="2505.06"/>
    <n v="736.08000000000038"/>
    <n v="0.22710527777263564"/>
    <x v="18"/>
  </r>
  <r>
    <d v="2024-04-08T00:00:00"/>
    <x v="4"/>
    <x v="2"/>
    <x v="2"/>
    <n v="1921.16"/>
    <n v="1141.8499999999999"/>
    <n v="6"/>
    <n v="11526.960000000001"/>
    <n v="6851.0999999999995"/>
    <n v="4675.8600000000015"/>
    <n v="0.40564554748172987"/>
    <x v="22"/>
  </r>
  <r>
    <d v="2024-11-18T00:00:00"/>
    <x v="8"/>
    <x v="1"/>
    <x v="3"/>
    <n v="610.24"/>
    <n v="497.49"/>
    <n v="8"/>
    <n v="4881.92"/>
    <n v="3979.92"/>
    <n v="902"/>
    <n v="0.18476337178814892"/>
    <x v="2"/>
  </r>
  <r>
    <d v="2024-12-18T00:00:00"/>
    <x v="10"/>
    <x v="2"/>
    <x v="0"/>
    <n v="258.69"/>
    <n v="167.13"/>
    <n v="1"/>
    <n v="258.69"/>
    <n v="167.13"/>
    <n v="91.56"/>
    <n v="0.35393714484518152"/>
    <x v="23"/>
  </r>
  <r>
    <d v="2022-12-04T00:00:00"/>
    <x v="1"/>
    <x v="1"/>
    <x v="2"/>
    <n v="430.22"/>
    <n v="306.76"/>
    <n v="1"/>
    <n v="430.22"/>
    <n v="306.76"/>
    <n v="123.46000000000004"/>
    <n v="0.28696945748686725"/>
    <x v="33"/>
  </r>
  <r>
    <d v="2022-03-24T00:00:00"/>
    <x v="7"/>
    <x v="0"/>
    <x v="0"/>
    <n v="201.06"/>
    <n v="141.41"/>
    <n v="1"/>
    <n v="201.06"/>
    <n v="141.41"/>
    <n v="59.650000000000006"/>
    <n v="0.2966776086740277"/>
    <x v="7"/>
  </r>
  <r>
    <d v="2023-01-28T00:00:00"/>
    <x v="6"/>
    <x v="3"/>
    <x v="0"/>
    <n v="789.18"/>
    <n v="707.66"/>
    <n v="1"/>
    <n v="789.18"/>
    <n v="707.66"/>
    <n v="81.519999999999982"/>
    <n v="0.10329709318533159"/>
    <x v="13"/>
  </r>
  <r>
    <d v="2023-07-28T00:00:00"/>
    <x v="8"/>
    <x v="1"/>
    <x v="1"/>
    <n v="1503.94"/>
    <n v="978.34"/>
    <n v="1"/>
    <n v="1503.94"/>
    <n v="978.34"/>
    <n v="525.6"/>
    <n v="0.34948202720853228"/>
    <x v="11"/>
  </r>
  <r>
    <d v="2023-02-09T00:00:00"/>
    <x v="2"/>
    <x v="0"/>
    <x v="3"/>
    <n v="1508.43"/>
    <n v="882.2"/>
    <n v="6"/>
    <n v="9050.58"/>
    <n v="5293.2000000000007"/>
    <n v="3757.3799999999992"/>
    <n v="0.41515350397433082"/>
    <x v="27"/>
  </r>
  <r>
    <d v="2022-09-10T00:00:00"/>
    <x v="0"/>
    <x v="0"/>
    <x v="3"/>
    <n v="1857.03"/>
    <n v="1508.3"/>
    <n v="8"/>
    <n v="14856.24"/>
    <n v="12066.4"/>
    <n v="2789.84"/>
    <n v="0.18778910410709576"/>
    <x v="12"/>
  </r>
  <r>
    <d v="2023-12-17T00:00:00"/>
    <x v="5"/>
    <x v="3"/>
    <x v="2"/>
    <n v="1041.8800000000001"/>
    <n v="614.01"/>
    <n v="8"/>
    <n v="8335.0400000000009"/>
    <n v="4912.08"/>
    <n v="3422.9600000000009"/>
    <n v="0.41067109455983419"/>
    <x v="30"/>
  </r>
  <r>
    <d v="2022-04-28T00:00:00"/>
    <x v="10"/>
    <x v="2"/>
    <x v="3"/>
    <n v="926.6"/>
    <n v="751.39"/>
    <n v="10"/>
    <n v="9266"/>
    <n v="7513.9"/>
    <n v="1752.1000000000004"/>
    <n v="0.18908914310382047"/>
    <x v="32"/>
  </r>
  <r>
    <d v="2024-04-13T00:00:00"/>
    <x v="9"/>
    <x v="3"/>
    <x v="3"/>
    <n v="1933.61"/>
    <n v="1478.66"/>
    <n v="8"/>
    <n v="15468.88"/>
    <n v="11829.28"/>
    <n v="3639.5999999999985"/>
    <n v="0.23528529538014378"/>
    <x v="22"/>
  </r>
  <r>
    <d v="2022-12-22T00:00:00"/>
    <x v="10"/>
    <x v="2"/>
    <x v="2"/>
    <n v="737.8"/>
    <n v="447.39"/>
    <n v="5"/>
    <n v="3689"/>
    <n v="2236.9499999999998"/>
    <n v="1452.0500000000002"/>
    <n v="0.39361615613987533"/>
    <x v="33"/>
  </r>
  <r>
    <d v="2023-11-19T00:00:00"/>
    <x v="9"/>
    <x v="3"/>
    <x v="0"/>
    <n v="1131.8800000000001"/>
    <n v="628.9"/>
    <n v="9"/>
    <n v="10186.920000000002"/>
    <n v="5660.0999999999995"/>
    <n v="4526.8200000000024"/>
    <n v="0.44437572887585269"/>
    <x v="10"/>
  </r>
  <r>
    <d v="2023-08-22T00:00:00"/>
    <x v="6"/>
    <x v="3"/>
    <x v="0"/>
    <n v="478.97"/>
    <n v="282.60000000000002"/>
    <n v="3"/>
    <n v="1436.91"/>
    <n v="847.80000000000007"/>
    <n v="589.11"/>
    <n v="0.40998392383656596"/>
    <x v="14"/>
  </r>
  <r>
    <d v="2023-12-01T00:00:00"/>
    <x v="5"/>
    <x v="3"/>
    <x v="2"/>
    <n v="599.94000000000005"/>
    <n v="455.34"/>
    <n v="7"/>
    <n v="4199.58"/>
    <n v="3187.3799999999997"/>
    <n v="1012.2000000000003"/>
    <n v="0.24102410241024108"/>
    <x v="30"/>
  </r>
  <r>
    <d v="2024-05-02T00:00:00"/>
    <x v="3"/>
    <x v="2"/>
    <x v="2"/>
    <n v="1567.47"/>
    <n v="1314.89"/>
    <n v="9"/>
    <n v="14107.23"/>
    <n v="11834.01"/>
    <n v="2273.2199999999993"/>
    <n v="0.16113865018150264"/>
    <x v="3"/>
  </r>
  <r>
    <d v="2024-05-22T00:00:00"/>
    <x v="8"/>
    <x v="1"/>
    <x v="3"/>
    <n v="706.95"/>
    <n v="357.38"/>
    <n v="7"/>
    <n v="4948.6500000000005"/>
    <n v="2501.66"/>
    <n v="2446.9900000000007"/>
    <n v="0.49447627130631594"/>
    <x v="3"/>
  </r>
  <r>
    <d v="2022-01-22T00:00:00"/>
    <x v="8"/>
    <x v="1"/>
    <x v="2"/>
    <n v="1284.58"/>
    <n v="776.54"/>
    <n v="3"/>
    <n v="3853.74"/>
    <n v="2329.62"/>
    <n v="1524.12"/>
    <n v="0.39549113328870134"/>
    <x v="9"/>
  </r>
  <r>
    <d v="2023-08-09T00:00:00"/>
    <x v="0"/>
    <x v="0"/>
    <x v="3"/>
    <n v="952.2"/>
    <n v="759.42"/>
    <n v="5"/>
    <n v="4761"/>
    <n v="3797.1"/>
    <n v="963.90000000000009"/>
    <n v="0.20245746691871458"/>
    <x v="14"/>
  </r>
  <r>
    <d v="2024-04-26T00:00:00"/>
    <x v="3"/>
    <x v="2"/>
    <x v="3"/>
    <n v="560.16999999999996"/>
    <n v="435.15"/>
    <n v="5"/>
    <n v="2800.85"/>
    <n v="2175.75"/>
    <n v="625.09999999999991"/>
    <n v="0.22318224824606814"/>
    <x v="22"/>
  </r>
  <r>
    <d v="2024-12-30T00:00:00"/>
    <x v="6"/>
    <x v="3"/>
    <x v="1"/>
    <n v="1331.16"/>
    <n v="885.8"/>
    <n v="5"/>
    <n v="6655.8"/>
    <n v="4429"/>
    <n v="2226.8000000000002"/>
    <n v="0.33456534150665584"/>
    <x v="23"/>
  </r>
  <r>
    <d v="2024-07-05T00:00:00"/>
    <x v="6"/>
    <x v="3"/>
    <x v="2"/>
    <n v="1973.99"/>
    <n v="1770.19"/>
    <n v="3"/>
    <n v="5921.97"/>
    <n v="5310.57"/>
    <n v="611.40000000000055"/>
    <n v="0.10324267093551648"/>
    <x v="28"/>
  </r>
  <r>
    <d v="2022-09-14T00:00:00"/>
    <x v="0"/>
    <x v="0"/>
    <x v="1"/>
    <n v="1183.6099999999999"/>
    <n v="682.17"/>
    <n v="5"/>
    <n v="5918.0499999999993"/>
    <n v="3410.85"/>
    <n v="2507.1999999999994"/>
    <n v="0.42365306139691278"/>
    <x v="12"/>
  </r>
  <r>
    <d v="2024-08-04T00:00:00"/>
    <x v="10"/>
    <x v="2"/>
    <x v="1"/>
    <n v="1654.71"/>
    <n v="892.6"/>
    <n v="8"/>
    <n v="13237.68"/>
    <n v="7140.8"/>
    <n v="6096.88"/>
    <n v="0.46057013011343378"/>
    <x v="21"/>
  </r>
  <r>
    <d v="2022-01-31T00:00:00"/>
    <x v="9"/>
    <x v="3"/>
    <x v="0"/>
    <n v="173.47"/>
    <n v="133.57"/>
    <n v="1"/>
    <n v="173.47"/>
    <n v="133.57"/>
    <n v="39.900000000000006"/>
    <n v="0.23001095290251919"/>
    <x v="9"/>
  </r>
  <r>
    <d v="2022-10-27T00:00:00"/>
    <x v="7"/>
    <x v="0"/>
    <x v="3"/>
    <n v="1369.34"/>
    <n v="1005.09"/>
    <n v="6"/>
    <n v="8216.0399999999991"/>
    <n v="6030.54"/>
    <n v="2185.4999999999991"/>
    <n v="0.26600406035024166"/>
    <x v="25"/>
  </r>
  <r>
    <d v="2024-01-28T00:00:00"/>
    <x v="5"/>
    <x v="3"/>
    <x v="2"/>
    <n v="1187.6600000000001"/>
    <n v="676.65"/>
    <n v="4"/>
    <n v="4750.6400000000003"/>
    <n v="2706.6"/>
    <n v="2044.0400000000004"/>
    <n v="0.43026623781216855"/>
    <x v="26"/>
  </r>
  <r>
    <d v="2022-05-14T00:00:00"/>
    <x v="7"/>
    <x v="0"/>
    <x v="2"/>
    <n v="1185.6099999999999"/>
    <n v="622.66"/>
    <n v="3"/>
    <n v="3556.83"/>
    <n v="1867.98"/>
    <n v="1688.85"/>
    <n v="0.47481886961142367"/>
    <x v="35"/>
  </r>
  <r>
    <d v="2023-05-09T00:00:00"/>
    <x v="10"/>
    <x v="2"/>
    <x v="3"/>
    <n v="995.97"/>
    <n v="571.02"/>
    <n v="5"/>
    <n v="4979.8500000000004"/>
    <n v="2855.1"/>
    <n v="2124.7500000000005"/>
    <n v="0.42666947799632526"/>
    <x v="31"/>
  </r>
  <r>
    <d v="2023-08-11T00:00:00"/>
    <x v="9"/>
    <x v="3"/>
    <x v="0"/>
    <n v="237.6"/>
    <n v="118.96"/>
    <n v="2"/>
    <n v="475.2"/>
    <n v="237.92"/>
    <n v="237.28"/>
    <n v="0.49932659932659934"/>
    <x v="14"/>
  </r>
  <r>
    <d v="2023-10-01T00:00:00"/>
    <x v="5"/>
    <x v="3"/>
    <x v="1"/>
    <n v="865.5"/>
    <n v="704.96"/>
    <n v="9"/>
    <n v="7789.5"/>
    <n v="6344.64"/>
    <n v="1444.8599999999997"/>
    <n v="0.18548815713460423"/>
    <x v="5"/>
  </r>
  <r>
    <d v="2024-11-27T00:00:00"/>
    <x v="8"/>
    <x v="1"/>
    <x v="2"/>
    <n v="1973.89"/>
    <n v="1515.83"/>
    <n v="1"/>
    <n v="1973.89"/>
    <n v="1515.83"/>
    <n v="458.06000000000017"/>
    <n v="0.23205953725891521"/>
    <x v="2"/>
  </r>
  <r>
    <d v="2024-12-09T00:00:00"/>
    <x v="5"/>
    <x v="3"/>
    <x v="1"/>
    <n v="1201.47"/>
    <n v="998.75"/>
    <n v="8"/>
    <n v="9611.76"/>
    <n v="7990"/>
    <n v="1621.7600000000002"/>
    <n v="0.16872664319541897"/>
    <x v="23"/>
  </r>
  <r>
    <d v="2022-02-08T00:00:00"/>
    <x v="7"/>
    <x v="0"/>
    <x v="3"/>
    <n v="1467.47"/>
    <n v="815.29"/>
    <n v="1"/>
    <n v="1467.47"/>
    <n v="815.29"/>
    <n v="652.18000000000006"/>
    <n v="0.44442475825740907"/>
    <x v="20"/>
  </r>
  <r>
    <d v="2022-04-11T00:00:00"/>
    <x v="9"/>
    <x v="3"/>
    <x v="2"/>
    <n v="1581.06"/>
    <n v="1287.01"/>
    <n v="2"/>
    <n v="3162.12"/>
    <n v="2574.02"/>
    <n v="588.09999999999991"/>
    <n v="0.1859828216512972"/>
    <x v="32"/>
  </r>
  <r>
    <d v="2023-11-12T00:00:00"/>
    <x v="7"/>
    <x v="0"/>
    <x v="3"/>
    <n v="1823.12"/>
    <n v="1615.76"/>
    <n v="8"/>
    <n v="14584.96"/>
    <n v="12926.08"/>
    <n v="1658.8799999999992"/>
    <n v="0.11373908464610114"/>
    <x v="10"/>
  </r>
  <r>
    <d v="2024-04-27T00:00:00"/>
    <x v="10"/>
    <x v="2"/>
    <x v="3"/>
    <n v="94.72"/>
    <n v="62.87"/>
    <n v="4"/>
    <n v="378.88"/>
    <n v="251.48"/>
    <n v="127.4"/>
    <n v="0.33625422297297297"/>
    <x v="22"/>
  </r>
  <r>
    <d v="2024-08-30T00:00:00"/>
    <x v="2"/>
    <x v="0"/>
    <x v="1"/>
    <n v="1382.03"/>
    <n v="1003.01"/>
    <n v="4"/>
    <n v="5528.12"/>
    <n v="4012.04"/>
    <n v="1516.08"/>
    <n v="0.274248750027134"/>
    <x v="21"/>
  </r>
  <r>
    <d v="2023-01-02T00:00:00"/>
    <x v="3"/>
    <x v="2"/>
    <x v="3"/>
    <n v="1371.42"/>
    <n v="1017.98"/>
    <n v="8"/>
    <n v="10971.36"/>
    <n v="8143.84"/>
    <n v="2827.5200000000004"/>
    <n v="0.25771827740590048"/>
    <x v="13"/>
  </r>
  <r>
    <d v="2023-09-25T00:00:00"/>
    <x v="2"/>
    <x v="0"/>
    <x v="1"/>
    <n v="80.61"/>
    <n v="58.12"/>
    <n v="10"/>
    <n v="806.1"/>
    <n v="581.19999999999993"/>
    <n v="224.90000000000009"/>
    <n v="0.27899764297233604"/>
    <x v="24"/>
  </r>
  <r>
    <d v="2023-06-26T00:00:00"/>
    <x v="2"/>
    <x v="0"/>
    <x v="1"/>
    <n v="90.9"/>
    <n v="62.97"/>
    <n v="4"/>
    <n v="363.6"/>
    <n v="251.88"/>
    <n v="111.72000000000003"/>
    <n v="0.30726072607260729"/>
    <x v="0"/>
  </r>
  <r>
    <d v="2022-01-04T00:00:00"/>
    <x v="0"/>
    <x v="0"/>
    <x v="1"/>
    <n v="1576.7"/>
    <n v="1262.03"/>
    <n v="7"/>
    <n v="11036.9"/>
    <n v="8834.2099999999991"/>
    <n v="2202.6900000000005"/>
    <n v="0.19957506183801615"/>
    <x v="9"/>
  </r>
  <r>
    <d v="2023-09-02T00:00:00"/>
    <x v="0"/>
    <x v="0"/>
    <x v="0"/>
    <n v="575.51"/>
    <n v="338.37"/>
    <n v="1"/>
    <n v="575.51"/>
    <n v="338.37"/>
    <n v="237.14"/>
    <n v="0.41205191916734718"/>
    <x v="24"/>
  </r>
  <r>
    <d v="2022-08-27T00:00:00"/>
    <x v="6"/>
    <x v="3"/>
    <x v="2"/>
    <n v="668.32"/>
    <n v="353.08"/>
    <n v="1"/>
    <n v="668.32"/>
    <n v="353.08"/>
    <n v="315.24000000000007"/>
    <n v="0.47169020828345709"/>
    <x v="15"/>
  </r>
  <r>
    <d v="2023-02-08T00:00:00"/>
    <x v="8"/>
    <x v="1"/>
    <x v="1"/>
    <n v="1680.52"/>
    <n v="1176.0899999999999"/>
    <n v="7"/>
    <n v="11763.64"/>
    <n v="8232.6299999999992"/>
    <n v="3531.01"/>
    <n v="0.30016304477185635"/>
    <x v="27"/>
  </r>
  <r>
    <d v="2024-11-21T00:00:00"/>
    <x v="5"/>
    <x v="3"/>
    <x v="0"/>
    <n v="167.88"/>
    <n v="123.41"/>
    <n v="9"/>
    <n v="1510.92"/>
    <n v="1110.69"/>
    <n v="400.23"/>
    <n v="0.26489158923040268"/>
    <x v="2"/>
  </r>
  <r>
    <d v="2024-01-04T00:00:00"/>
    <x v="1"/>
    <x v="1"/>
    <x v="1"/>
    <n v="1178.92"/>
    <n v="724.44"/>
    <n v="10"/>
    <n v="11789.2"/>
    <n v="7244.4000000000005"/>
    <n v="4544.8"/>
    <n v="0.38550537780341326"/>
    <x v="26"/>
  </r>
  <r>
    <d v="2022-11-01T00:00:00"/>
    <x v="8"/>
    <x v="1"/>
    <x v="1"/>
    <n v="298.69"/>
    <n v="231.41"/>
    <n v="3"/>
    <n v="896.06999999999994"/>
    <n v="694.23"/>
    <n v="201.83999999999992"/>
    <n v="0.22525025946633626"/>
    <x v="1"/>
  </r>
  <r>
    <d v="2022-04-23T00:00:00"/>
    <x v="9"/>
    <x v="3"/>
    <x v="0"/>
    <n v="1494.04"/>
    <n v="1204.0899999999999"/>
    <n v="3"/>
    <n v="4482.12"/>
    <n v="3612.2699999999995"/>
    <n v="869.85000000000036"/>
    <n v="0.19407110920725024"/>
    <x v="32"/>
  </r>
  <r>
    <d v="2024-03-04T00:00:00"/>
    <x v="8"/>
    <x v="1"/>
    <x v="1"/>
    <n v="684.04"/>
    <n v="436.44"/>
    <n v="10"/>
    <n v="6840.4"/>
    <n v="4364.3999999999996"/>
    <n v="2476"/>
    <n v="0.36196713642477052"/>
    <x v="29"/>
  </r>
  <r>
    <d v="2023-01-08T00:00:00"/>
    <x v="9"/>
    <x v="3"/>
    <x v="2"/>
    <n v="1006.43"/>
    <n v="642.24"/>
    <n v="9"/>
    <n v="9057.869999999999"/>
    <n v="5780.16"/>
    <n v="3277.7099999999991"/>
    <n v="0.36186321949862377"/>
    <x v="13"/>
  </r>
  <r>
    <d v="2022-12-03T00:00:00"/>
    <x v="2"/>
    <x v="0"/>
    <x v="0"/>
    <n v="209.37"/>
    <n v="167.88"/>
    <n v="1"/>
    <n v="209.37"/>
    <n v="167.88"/>
    <n v="41.490000000000009"/>
    <n v="0.19816592635048005"/>
    <x v="33"/>
  </r>
  <r>
    <d v="2024-08-18T00:00:00"/>
    <x v="5"/>
    <x v="3"/>
    <x v="3"/>
    <n v="682.49"/>
    <n v="450.79"/>
    <n v="2"/>
    <n v="1364.98"/>
    <n v="901.58"/>
    <n v="463.4"/>
    <n v="0.33949215373119018"/>
    <x v="21"/>
  </r>
  <r>
    <d v="2023-12-01T00:00:00"/>
    <x v="4"/>
    <x v="2"/>
    <x v="0"/>
    <n v="21.62"/>
    <n v="18.79"/>
    <n v="1"/>
    <n v="21.62"/>
    <n v="18.79"/>
    <n v="2.8300000000000018"/>
    <n v="0.1308973172987975"/>
    <x v="30"/>
  </r>
  <r>
    <d v="2024-05-21T00:00:00"/>
    <x v="4"/>
    <x v="2"/>
    <x v="2"/>
    <n v="1286.69"/>
    <n v="981.55"/>
    <n v="7"/>
    <n v="9006.83"/>
    <n v="6870.8499999999995"/>
    <n v="2135.9800000000005"/>
    <n v="0.23715113974617047"/>
    <x v="3"/>
  </r>
  <r>
    <d v="2024-10-30T00:00:00"/>
    <x v="5"/>
    <x v="3"/>
    <x v="3"/>
    <n v="1018.3"/>
    <n v="759.68"/>
    <n v="8"/>
    <n v="8146.4"/>
    <n v="6077.44"/>
    <n v="2068.96"/>
    <n v="0.2539723067858195"/>
    <x v="17"/>
  </r>
  <r>
    <d v="2023-09-26T00:00:00"/>
    <x v="4"/>
    <x v="2"/>
    <x v="1"/>
    <n v="407.8"/>
    <n v="255.82"/>
    <n v="5"/>
    <n v="2039"/>
    <n v="1279.0999999999999"/>
    <n v="759.90000000000009"/>
    <n v="0.37268268759195688"/>
    <x v="24"/>
  </r>
  <r>
    <d v="2023-02-20T00:00:00"/>
    <x v="3"/>
    <x v="2"/>
    <x v="2"/>
    <n v="777.79"/>
    <n v="435.19"/>
    <n v="9"/>
    <n v="7000.11"/>
    <n v="3916.71"/>
    <n v="3083.3999999999996"/>
    <n v="0.44047879247611821"/>
    <x v="27"/>
  </r>
  <r>
    <d v="2024-10-16T00:00:00"/>
    <x v="8"/>
    <x v="1"/>
    <x v="2"/>
    <n v="1453.54"/>
    <n v="756.31"/>
    <n v="5"/>
    <n v="7267.7"/>
    <n v="3781.5499999999997"/>
    <n v="3486.15"/>
    <n v="0.47967720186578977"/>
    <x v="17"/>
  </r>
  <r>
    <d v="2024-03-05T00:00:00"/>
    <x v="5"/>
    <x v="3"/>
    <x v="3"/>
    <n v="1526.21"/>
    <n v="800.25"/>
    <n v="5"/>
    <n v="7631.05"/>
    <n v="4001.25"/>
    <n v="3629.8"/>
    <n v="0.47566193380989513"/>
    <x v="29"/>
  </r>
  <r>
    <d v="2023-10-05T00:00:00"/>
    <x v="0"/>
    <x v="0"/>
    <x v="2"/>
    <n v="1878.02"/>
    <n v="1678.32"/>
    <n v="10"/>
    <n v="18780.2"/>
    <n v="16783.2"/>
    <n v="1997"/>
    <n v="0.10633539578918222"/>
    <x v="5"/>
  </r>
  <r>
    <d v="2022-05-27T00:00:00"/>
    <x v="9"/>
    <x v="3"/>
    <x v="1"/>
    <n v="1451.3"/>
    <n v="1021.37"/>
    <n v="1"/>
    <n v="1451.3"/>
    <n v="1021.37"/>
    <n v="429.92999999999995"/>
    <n v="0.29623785571556532"/>
    <x v="35"/>
  </r>
  <r>
    <d v="2023-04-02T00:00:00"/>
    <x v="7"/>
    <x v="0"/>
    <x v="1"/>
    <n v="1049.8800000000001"/>
    <n v="644.39"/>
    <n v="1"/>
    <n v="1049.8800000000001"/>
    <n v="644.39"/>
    <n v="405.49000000000012"/>
    <n v="0.38622509239151148"/>
    <x v="6"/>
  </r>
  <r>
    <d v="2023-03-01T00:00:00"/>
    <x v="10"/>
    <x v="2"/>
    <x v="2"/>
    <n v="1899.4"/>
    <n v="1697.5"/>
    <n v="8"/>
    <n v="15195.2"/>
    <n v="13580"/>
    <n v="1615.2000000000007"/>
    <n v="0.10629672528166793"/>
    <x v="19"/>
  </r>
  <r>
    <d v="2023-11-19T00:00:00"/>
    <x v="0"/>
    <x v="0"/>
    <x v="3"/>
    <n v="963.65"/>
    <n v="735.78"/>
    <n v="3"/>
    <n v="2890.95"/>
    <n v="2207.34"/>
    <n v="683.60999999999967"/>
    <n v="0.23646552171431526"/>
    <x v="10"/>
  </r>
  <r>
    <d v="2022-08-23T00:00:00"/>
    <x v="0"/>
    <x v="0"/>
    <x v="2"/>
    <n v="438.83"/>
    <n v="255.16"/>
    <n v="10"/>
    <n v="4388.3"/>
    <n v="2551.6"/>
    <n v="1836.7000000000003"/>
    <n v="0.41854476676617375"/>
    <x v="15"/>
  </r>
  <r>
    <d v="2024-04-23T00:00:00"/>
    <x v="4"/>
    <x v="2"/>
    <x v="3"/>
    <n v="1644.37"/>
    <n v="1353.15"/>
    <n v="5"/>
    <n v="8221.8499999999985"/>
    <n v="6765.75"/>
    <n v="1456.0999999999985"/>
    <n v="0.17710126066517862"/>
    <x v="22"/>
  </r>
  <r>
    <d v="2023-11-12T00:00:00"/>
    <x v="4"/>
    <x v="2"/>
    <x v="3"/>
    <n v="1363.23"/>
    <n v="1165.8399999999999"/>
    <n v="9"/>
    <n v="12269.07"/>
    <n v="10492.56"/>
    <n v="1776.5100000000002"/>
    <n v="0.14479581581978099"/>
    <x v="10"/>
  </r>
  <r>
    <d v="2023-01-31T00:00:00"/>
    <x v="7"/>
    <x v="0"/>
    <x v="1"/>
    <n v="929.63"/>
    <n v="761.63"/>
    <n v="4"/>
    <n v="3718.52"/>
    <n v="3046.52"/>
    <n v="672"/>
    <n v="0.18071705947527511"/>
    <x v="13"/>
  </r>
  <r>
    <d v="2022-10-08T00:00:00"/>
    <x v="10"/>
    <x v="2"/>
    <x v="3"/>
    <n v="736.87"/>
    <n v="416.29"/>
    <n v="9"/>
    <n v="6631.83"/>
    <n v="3746.61"/>
    <n v="2885.22"/>
    <n v="0.43505638715105782"/>
    <x v="25"/>
  </r>
  <r>
    <d v="2023-07-03T00:00:00"/>
    <x v="10"/>
    <x v="2"/>
    <x v="2"/>
    <n v="1449.21"/>
    <n v="1169.03"/>
    <n v="7"/>
    <n v="10144.470000000001"/>
    <n v="8183.21"/>
    <n v="1961.2600000000011"/>
    <n v="0.19333291931466118"/>
    <x v="11"/>
  </r>
  <r>
    <d v="2024-05-16T00:00:00"/>
    <x v="0"/>
    <x v="0"/>
    <x v="3"/>
    <n v="1623.39"/>
    <n v="1234.94"/>
    <n v="6"/>
    <n v="9740.34"/>
    <n v="7409.64"/>
    <n v="2330.6999999999998"/>
    <n v="0.23928322830619875"/>
    <x v="3"/>
  </r>
  <r>
    <d v="2023-07-25T00:00:00"/>
    <x v="1"/>
    <x v="1"/>
    <x v="0"/>
    <n v="1088.3599999999999"/>
    <n v="851.97"/>
    <n v="8"/>
    <n v="8706.8799999999992"/>
    <n v="6815.76"/>
    <n v="1891.119999999999"/>
    <n v="0.2171983534859788"/>
    <x v="11"/>
  </r>
  <r>
    <d v="2022-07-25T00:00:00"/>
    <x v="3"/>
    <x v="2"/>
    <x v="3"/>
    <n v="871.75"/>
    <n v="720.86"/>
    <n v="6"/>
    <n v="5230.5"/>
    <n v="4325.16"/>
    <n v="905.34000000000015"/>
    <n v="0.1730886148551764"/>
    <x v="8"/>
  </r>
  <r>
    <d v="2022-06-14T00:00:00"/>
    <x v="1"/>
    <x v="1"/>
    <x v="0"/>
    <n v="604.53"/>
    <n v="421.91"/>
    <n v="3"/>
    <n v="1813.59"/>
    <n v="1265.73"/>
    <n v="547.8599999999999"/>
    <n v="0.30208591798587331"/>
    <x v="18"/>
  </r>
  <r>
    <d v="2024-12-13T00:00:00"/>
    <x v="5"/>
    <x v="3"/>
    <x v="1"/>
    <n v="532.24"/>
    <n v="427.9"/>
    <n v="7"/>
    <n v="3725.6800000000003"/>
    <n v="2995.2999999999997"/>
    <n v="730.38000000000056"/>
    <n v="0.19603938073049765"/>
    <x v="23"/>
  </r>
  <r>
    <d v="2023-01-07T00:00:00"/>
    <x v="3"/>
    <x v="2"/>
    <x v="2"/>
    <n v="1714.39"/>
    <n v="867.3"/>
    <n v="5"/>
    <n v="8571.9500000000007"/>
    <n v="4336.5"/>
    <n v="4235.4500000000007"/>
    <n v="0.49410577523200677"/>
    <x v="13"/>
  </r>
  <r>
    <d v="2022-01-01T00:00:00"/>
    <x v="4"/>
    <x v="2"/>
    <x v="0"/>
    <n v="1023.56"/>
    <n v="555.29"/>
    <n v="6"/>
    <n v="6141.36"/>
    <n v="3331.74"/>
    <n v="2809.62"/>
    <n v="0.45749150025401542"/>
    <x v="9"/>
  </r>
  <r>
    <d v="2024-11-11T00:00:00"/>
    <x v="3"/>
    <x v="2"/>
    <x v="0"/>
    <n v="905.28"/>
    <n v="633.94000000000005"/>
    <n v="9"/>
    <n v="8147.5199999999995"/>
    <n v="5705.4600000000009"/>
    <n v="2442.0599999999986"/>
    <n v="0.29973047013078813"/>
    <x v="2"/>
  </r>
  <r>
    <d v="2022-11-03T00:00:00"/>
    <x v="4"/>
    <x v="2"/>
    <x v="2"/>
    <n v="1007.89"/>
    <n v="607.34"/>
    <n v="4"/>
    <n v="4031.56"/>
    <n v="2429.36"/>
    <n v="1602.1999999999998"/>
    <n v="0.3974144003809939"/>
    <x v="1"/>
  </r>
  <r>
    <d v="2023-01-13T00:00:00"/>
    <x v="2"/>
    <x v="0"/>
    <x v="1"/>
    <n v="1612.44"/>
    <n v="965.24"/>
    <n v="3"/>
    <n v="4837.32"/>
    <n v="2895.7200000000003"/>
    <n v="1941.5999999999995"/>
    <n v="0.40137927612810392"/>
    <x v="13"/>
  </r>
  <r>
    <d v="2023-10-22T00:00:00"/>
    <x v="9"/>
    <x v="3"/>
    <x v="3"/>
    <n v="1833.35"/>
    <n v="1274.33"/>
    <n v="6"/>
    <n v="11000.099999999999"/>
    <n v="7645.98"/>
    <n v="3354.119999999999"/>
    <n v="0.30491722802519972"/>
    <x v="5"/>
  </r>
  <r>
    <d v="2022-03-15T00:00:00"/>
    <x v="7"/>
    <x v="0"/>
    <x v="0"/>
    <n v="792.02"/>
    <n v="538.35"/>
    <n v="2"/>
    <n v="1584.04"/>
    <n v="1076.7"/>
    <n v="507.33999999999992"/>
    <n v="0.32028231610312868"/>
    <x v="7"/>
  </r>
  <r>
    <d v="2022-03-06T00:00:00"/>
    <x v="0"/>
    <x v="0"/>
    <x v="0"/>
    <n v="1616.97"/>
    <n v="1009.53"/>
    <n v="3"/>
    <n v="4850.91"/>
    <n v="3028.59"/>
    <n v="1822.3199999999997"/>
    <n v="0.37566559676431838"/>
    <x v="7"/>
  </r>
  <r>
    <d v="2022-06-21T00:00:00"/>
    <x v="2"/>
    <x v="0"/>
    <x v="1"/>
    <n v="776.08"/>
    <n v="487.67"/>
    <n v="2"/>
    <n v="1552.16"/>
    <n v="975.34"/>
    <n v="576.82000000000005"/>
    <n v="0.37162405937532217"/>
    <x v="18"/>
  </r>
  <r>
    <d v="2023-04-02T00:00:00"/>
    <x v="4"/>
    <x v="2"/>
    <x v="3"/>
    <n v="1764.52"/>
    <n v="1405.79"/>
    <n v="6"/>
    <n v="10587.119999999999"/>
    <n v="8434.74"/>
    <n v="2152.3799999999992"/>
    <n v="0.20330174778409987"/>
    <x v="6"/>
  </r>
  <r>
    <d v="2022-06-11T00:00:00"/>
    <x v="9"/>
    <x v="3"/>
    <x v="1"/>
    <n v="365.01"/>
    <n v="201.26"/>
    <n v="2"/>
    <n v="730.02"/>
    <n v="402.52"/>
    <n v="327.5"/>
    <n v="0.44861784608640859"/>
    <x v="18"/>
  </r>
  <r>
    <d v="2024-06-13T00:00:00"/>
    <x v="10"/>
    <x v="2"/>
    <x v="1"/>
    <n v="987.87"/>
    <n v="582.74"/>
    <n v="5"/>
    <n v="4939.3500000000004"/>
    <n v="2913.7"/>
    <n v="2025.6500000000005"/>
    <n v="0.41010456841487247"/>
    <x v="4"/>
  </r>
  <r>
    <d v="2022-06-02T00:00:00"/>
    <x v="6"/>
    <x v="3"/>
    <x v="1"/>
    <n v="1764.88"/>
    <n v="1165.43"/>
    <n v="2"/>
    <n v="3529.76"/>
    <n v="2330.86"/>
    <n v="1198.9000000000001"/>
    <n v="0.33965482072435521"/>
    <x v="18"/>
  </r>
  <r>
    <d v="2023-07-27T00:00:00"/>
    <x v="7"/>
    <x v="0"/>
    <x v="3"/>
    <n v="1529.75"/>
    <n v="1302.6500000000001"/>
    <n v="2"/>
    <n v="3059.5"/>
    <n v="2605.3000000000002"/>
    <n v="454.19999999999982"/>
    <n v="0.14845563000490269"/>
    <x v="11"/>
  </r>
  <r>
    <d v="2024-12-01T00:00:00"/>
    <x v="4"/>
    <x v="2"/>
    <x v="1"/>
    <n v="855.77"/>
    <n v="536.91"/>
    <n v="3"/>
    <n v="2567.31"/>
    <n v="1610.73"/>
    <n v="956.57999999999993"/>
    <n v="0.37260011451675096"/>
    <x v="23"/>
  </r>
  <r>
    <d v="2022-12-13T00:00:00"/>
    <x v="6"/>
    <x v="3"/>
    <x v="3"/>
    <n v="680.7"/>
    <n v="565.75"/>
    <n v="2"/>
    <n v="1361.4"/>
    <n v="1131.5"/>
    <n v="229.90000000000009"/>
    <n v="0.16887028059350673"/>
    <x v="33"/>
  </r>
  <r>
    <d v="2024-11-07T00:00:00"/>
    <x v="5"/>
    <x v="3"/>
    <x v="3"/>
    <n v="862.82"/>
    <n v="511.66"/>
    <n v="6"/>
    <n v="5176.92"/>
    <n v="3069.96"/>
    <n v="2106.96"/>
    <n v="0.40699102941517351"/>
    <x v="2"/>
  </r>
  <r>
    <d v="2023-08-08T00:00:00"/>
    <x v="10"/>
    <x v="2"/>
    <x v="2"/>
    <n v="1487.36"/>
    <n v="921.03"/>
    <n v="10"/>
    <n v="14873.599999999999"/>
    <n v="9210.2999999999993"/>
    <n v="5663.2999999999993"/>
    <n v="0.38076188683304646"/>
    <x v="14"/>
  </r>
  <r>
    <d v="2022-03-03T00:00:00"/>
    <x v="10"/>
    <x v="2"/>
    <x v="0"/>
    <n v="1678.96"/>
    <n v="1014.45"/>
    <n v="2"/>
    <n v="3357.92"/>
    <n v="2028.9"/>
    <n v="1329.02"/>
    <n v="0.39578667746700336"/>
    <x v="7"/>
  </r>
  <r>
    <d v="2023-03-22T00:00:00"/>
    <x v="2"/>
    <x v="0"/>
    <x v="2"/>
    <n v="785.26"/>
    <n v="661.95"/>
    <n v="7"/>
    <n v="5496.82"/>
    <n v="4633.6500000000005"/>
    <n v="863.16999999999916"/>
    <n v="0.15703079234903075"/>
    <x v="19"/>
  </r>
  <r>
    <d v="2023-10-27T00:00:00"/>
    <x v="6"/>
    <x v="3"/>
    <x v="2"/>
    <n v="1829.87"/>
    <n v="1595.24"/>
    <n v="6"/>
    <n v="10979.22"/>
    <n v="9571.44"/>
    <n v="1407.7799999999988"/>
    <n v="0.12822222343663747"/>
    <x v="5"/>
  </r>
  <r>
    <d v="2024-03-15T00:00:00"/>
    <x v="10"/>
    <x v="2"/>
    <x v="1"/>
    <n v="1763.72"/>
    <n v="1322.32"/>
    <n v="1"/>
    <n v="1763.72"/>
    <n v="1322.32"/>
    <n v="441.40000000000009"/>
    <n v="0.2502664822080603"/>
    <x v="29"/>
  </r>
  <r>
    <d v="2023-05-21T00:00:00"/>
    <x v="5"/>
    <x v="3"/>
    <x v="2"/>
    <n v="1378.91"/>
    <n v="1117.26"/>
    <n v="9"/>
    <n v="12410.19"/>
    <n v="10055.34"/>
    <n v="2354.8500000000004"/>
    <n v="0.18975132532217479"/>
    <x v="31"/>
  </r>
  <r>
    <d v="2024-02-09T00:00:00"/>
    <x v="7"/>
    <x v="0"/>
    <x v="3"/>
    <n v="1837.81"/>
    <n v="1070.77"/>
    <n v="4"/>
    <n v="7351.24"/>
    <n v="4283.08"/>
    <n v="3068.16"/>
    <n v="0.41736632187222833"/>
    <x v="34"/>
  </r>
  <r>
    <d v="2024-12-05T00:00:00"/>
    <x v="4"/>
    <x v="2"/>
    <x v="2"/>
    <n v="223.6"/>
    <n v="127.85"/>
    <n v="6"/>
    <n v="1341.6"/>
    <n v="767.09999999999991"/>
    <n v="574.5"/>
    <n v="0.42822003577817536"/>
    <x v="23"/>
  </r>
  <r>
    <d v="2024-11-06T00:00:00"/>
    <x v="0"/>
    <x v="0"/>
    <x v="1"/>
    <n v="1819.77"/>
    <n v="1331.96"/>
    <n v="3"/>
    <n v="5459.3099999999995"/>
    <n v="3995.88"/>
    <n v="1463.4299999999994"/>
    <n v="0.26806134841216189"/>
    <x v="2"/>
  </r>
  <r>
    <d v="2024-01-23T00:00:00"/>
    <x v="4"/>
    <x v="2"/>
    <x v="2"/>
    <n v="620.12"/>
    <n v="517.74"/>
    <n v="2"/>
    <n v="1240.24"/>
    <n v="1035.48"/>
    <n v="204.76"/>
    <n v="0.16509707798490614"/>
    <x v="26"/>
  </r>
  <r>
    <d v="2024-03-05T00:00:00"/>
    <x v="4"/>
    <x v="2"/>
    <x v="2"/>
    <n v="268.26"/>
    <n v="177.9"/>
    <n v="1"/>
    <n v="268.26"/>
    <n v="177.9"/>
    <n v="90.359999999999985"/>
    <n v="0.33683739655558037"/>
    <x v="29"/>
  </r>
  <r>
    <d v="2022-11-08T00:00:00"/>
    <x v="4"/>
    <x v="2"/>
    <x v="3"/>
    <n v="531.76"/>
    <n v="422.05"/>
    <n v="6"/>
    <n v="3190.56"/>
    <n v="2532.3000000000002"/>
    <n v="658.25999999999976"/>
    <n v="0.20631487889273351"/>
    <x v="1"/>
  </r>
  <r>
    <d v="2022-04-15T00:00:00"/>
    <x v="9"/>
    <x v="3"/>
    <x v="1"/>
    <n v="1243.9100000000001"/>
    <n v="741.93"/>
    <n v="5"/>
    <n v="6219.55"/>
    <n v="3709.6499999999996"/>
    <n v="2509.9000000000005"/>
    <n v="0.4035500960680436"/>
    <x v="32"/>
  </r>
  <r>
    <d v="2024-02-12T00:00:00"/>
    <x v="0"/>
    <x v="0"/>
    <x v="1"/>
    <n v="1334.6"/>
    <n v="1003.06"/>
    <n v="3"/>
    <n v="4003.7999999999997"/>
    <n v="3009.18"/>
    <n v="994.61999999999989"/>
    <n v="0.24841900194814925"/>
    <x v="34"/>
  </r>
  <r>
    <d v="2022-11-22T00:00:00"/>
    <x v="8"/>
    <x v="1"/>
    <x v="2"/>
    <n v="1667.09"/>
    <n v="1113.28"/>
    <n v="10"/>
    <n v="16670.899999999998"/>
    <n v="11132.8"/>
    <n v="5538.0999999999985"/>
    <n v="0.33220162078831972"/>
    <x v="1"/>
  </r>
  <r>
    <d v="2023-11-29T00:00:00"/>
    <x v="8"/>
    <x v="1"/>
    <x v="2"/>
    <n v="335.26"/>
    <n v="273.41000000000003"/>
    <n v="8"/>
    <n v="2682.08"/>
    <n v="2187.2800000000002"/>
    <n v="494.79999999999973"/>
    <n v="0.18448368430471862"/>
    <x v="10"/>
  </r>
  <r>
    <d v="2022-06-04T00:00:00"/>
    <x v="5"/>
    <x v="3"/>
    <x v="2"/>
    <n v="1717.05"/>
    <n v="1027.24"/>
    <n v="5"/>
    <n v="8585.25"/>
    <n v="5136.2"/>
    <n v="3449.05"/>
    <n v="0.40174135872572148"/>
    <x v="18"/>
  </r>
  <r>
    <d v="2022-05-06T00:00:00"/>
    <x v="4"/>
    <x v="2"/>
    <x v="3"/>
    <n v="460.75"/>
    <n v="344.42"/>
    <n v="3"/>
    <n v="1382.25"/>
    <n v="1033.26"/>
    <n v="348.99"/>
    <n v="0.25247965274009765"/>
    <x v="35"/>
  </r>
  <r>
    <d v="2022-12-06T00:00:00"/>
    <x v="6"/>
    <x v="3"/>
    <x v="1"/>
    <n v="220.23"/>
    <n v="136.75"/>
    <n v="9"/>
    <n v="1982.07"/>
    <n v="1230.75"/>
    <n v="751.31999999999994"/>
    <n v="0.37905825727648368"/>
    <x v="33"/>
  </r>
  <r>
    <d v="2023-03-09T00:00:00"/>
    <x v="10"/>
    <x v="2"/>
    <x v="3"/>
    <n v="799.29"/>
    <n v="692.55"/>
    <n v="8"/>
    <n v="6394.32"/>
    <n v="5540.4"/>
    <n v="853.92000000000007"/>
    <n v="0.1335435198738881"/>
    <x v="19"/>
  </r>
  <r>
    <d v="2022-12-21T00:00:00"/>
    <x v="0"/>
    <x v="0"/>
    <x v="3"/>
    <n v="530.51"/>
    <n v="384.41"/>
    <n v="6"/>
    <n v="3183.06"/>
    <n v="2306.46"/>
    <n v="876.59999999999991"/>
    <n v="0.2753953742625021"/>
    <x v="33"/>
  </r>
  <r>
    <d v="2024-04-04T00:00:00"/>
    <x v="9"/>
    <x v="3"/>
    <x v="1"/>
    <n v="78.12"/>
    <n v="43.09"/>
    <n v="10"/>
    <n v="781.2"/>
    <n v="430.90000000000003"/>
    <n v="350.3"/>
    <n v="0.44841269841269837"/>
    <x v="22"/>
  </r>
  <r>
    <d v="2023-09-28T00:00:00"/>
    <x v="5"/>
    <x v="3"/>
    <x v="3"/>
    <n v="716.91"/>
    <n v="400.75"/>
    <n v="8"/>
    <n v="5735.28"/>
    <n v="3206"/>
    <n v="2529.2799999999997"/>
    <n v="0.44100375221436439"/>
    <x v="24"/>
  </r>
  <r>
    <d v="2022-05-03T00:00:00"/>
    <x v="8"/>
    <x v="1"/>
    <x v="0"/>
    <n v="413.53"/>
    <n v="290.55"/>
    <n v="4"/>
    <n v="1654.12"/>
    <n v="1162.2"/>
    <n v="491.91999999999985"/>
    <n v="0.29739075762338879"/>
    <x v="35"/>
  </r>
  <r>
    <d v="2022-12-19T00:00:00"/>
    <x v="1"/>
    <x v="1"/>
    <x v="3"/>
    <n v="409.18"/>
    <n v="244.57"/>
    <n v="2"/>
    <n v="818.36"/>
    <n v="489.14"/>
    <n v="329.22"/>
    <n v="0.40229238965736352"/>
    <x v="33"/>
  </r>
  <r>
    <d v="2022-10-23T00:00:00"/>
    <x v="6"/>
    <x v="3"/>
    <x v="2"/>
    <n v="1276.79"/>
    <n v="755.59"/>
    <n v="9"/>
    <n v="11491.11"/>
    <n v="6800.31"/>
    <n v="4690.8"/>
    <n v="0.40821121719311709"/>
    <x v="25"/>
  </r>
  <r>
    <d v="2022-11-15T00:00:00"/>
    <x v="4"/>
    <x v="2"/>
    <x v="3"/>
    <n v="1867.43"/>
    <n v="1117.53"/>
    <n v="4"/>
    <n v="7469.72"/>
    <n v="4470.12"/>
    <n v="2999.6000000000004"/>
    <n v="0.40156793025709131"/>
    <x v="1"/>
  </r>
  <r>
    <d v="2022-02-23T00:00:00"/>
    <x v="10"/>
    <x v="2"/>
    <x v="1"/>
    <n v="1045.1600000000001"/>
    <n v="871.22"/>
    <n v="4"/>
    <n v="4180.6400000000003"/>
    <n v="3484.88"/>
    <n v="695.76000000000022"/>
    <n v="0.16642427953614761"/>
    <x v="20"/>
  </r>
  <r>
    <d v="2023-05-11T00:00:00"/>
    <x v="10"/>
    <x v="2"/>
    <x v="0"/>
    <n v="557.30999999999995"/>
    <n v="361.19"/>
    <n v="5"/>
    <n v="2786.5499999999997"/>
    <n v="1805.95"/>
    <n v="980.59999999999968"/>
    <n v="0.35190468500475491"/>
    <x v="31"/>
  </r>
  <r>
    <d v="2023-10-30T00:00:00"/>
    <x v="4"/>
    <x v="2"/>
    <x v="3"/>
    <n v="1656.72"/>
    <n v="1188.3699999999999"/>
    <n v="6"/>
    <n v="9940.32"/>
    <n v="7130.2199999999993"/>
    <n v="2810.1000000000004"/>
    <n v="0.28269713651069589"/>
    <x v="5"/>
  </r>
  <r>
    <d v="2022-09-07T00:00:00"/>
    <x v="8"/>
    <x v="1"/>
    <x v="2"/>
    <n v="1511.84"/>
    <n v="758.85"/>
    <n v="6"/>
    <n v="9071.0399999999991"/>
    <n v="4553.1000000000004"/>
    <n v="4517.9399999999987"/>
    <n v="0.49806196422901883"/>
    <x v="12"/>
  </r>
  <r>
    <d v="2024-05-02T00:00:00"/>
    <x v="1"/>
    <x v="1"/>
    <x v="3"/>
    <n v="1043.01"/>
    <n v="598.89"/>
    <n v="4"/>
    <n v="4172.04"/>
    <n v="2395.56"/>
    <n v="1776.48"/>
    <n v="0.42580608047861479"/>
    <x v="3"/>
  </r>
  <r>
    <d v="2023-03-17T00:00:00"/>
    <x v="8"/>
    <x v="1"/>
    <x v="1"/>
    <n v="518.46"/>
    <n v="348.43"/>
    <n v="1"/>
    <n v="518.46"/>
    <n v="348.43"/>
    <n v="170.03000000000003"/>
    <n v="0.32795201172703781"/>
    <x v="19"/>
  </r>
  <r>
    <d v="2023-05-30T00:00:00"/>
    <x v="8"/>
    <x v="1"/>
    <x v="3"/>
    <n v="260.39"/>
    <n v="173.42"/>
    <n v="7"/>
    <n v="1822.73"/>
    <n v="1213.9399999999998"/>
    <n v="608.79000000000019"/>
    <n v="0.33399900149775347"/>
    <x v="31"/>
  </r>
  <r>
    <d v="2024-03-24T00:00:00"/>
    <x v="8"/>
    <x v="1"/>
    <x v="3"/>
    <n v="987.27"/>
    <n v="504.8"/>
    <n v="7"/>
    <n v="6910.8899999999994"/>
    <n v="3533.6"/>
    <n v="3377.2899999999995"/>
    <n v="0.48869103689973359"/>
    <x v="29"/>
  </r>
  <r>
    <d v="2024-07-08T00:00:00"/>
    <x v="8"/>
    <x v="1"/>
    <x v="2"/>
    <n v="694.21"/>
    <n v="355.99"/>
    <n v="6"/>
    <n v="4165.26"/>
    <n v="2135.94"/>
    <n v="2029.3200000000002"/>
    <n v="0.48720127915184169"/>
    <x v="28"/>
  </r>
  <r>
    <d v="2024-01-27T00:00:00"/>
    <x v="8"/>
    <x v="1"/>
    <x v="0"/>
    <n v="1328.84"/>
    <n v="1191.06"/>
    <n v="2"/>
    <n v="2657.68"/>
    <n v="2382.12"/>
    <n v="275.55999999999995"/>
    <n v="0.10368441648354955"/>
    <x v="26"/>
  </r>
  <r>
    <d v="2022-03-16T00:00:00"/>
    <x v="1"/>
    <x v="1"/>
    <x v="1"/>
    <n v="1426.63"/>
    <n v="1054.55"/>
    <n v="3"/>
    <n v="4279.8900000000003"/>
    <n v="3163.6499999999996"/>
    <n v="1116.2400000000007"/>
    <n v="0.26081044138984893"/>
    <x v="7"/>
  </r>
  <r>
    <d v="2022-04-16T00:00:00"/>
    <x v="8"/>
    <x v="1"/>
    <x v="0"/>
    <n v="1772.13"/>
    <n v="1044.5"/>
    <n v="8"/>
    <n v="14177.04"/>
    <n v="8356"/>
    <n v="5821.0400000000009"/>
    <n v="0.41059628808270277"/>
    <x v="32"/>
  </r>
  <r>
    <d v="2022-03-09T00:00:00"/>
    <x v="8"/>
    <x v="1"/>
    <x v="0"/>
    <n v="1454.05"/>
    <n v="1278.31"/>
    <n v="8"/>
    <n v="11632.4"/>
    <n v="10226.48"/>
    <n v="1405.92"/>
    <n v="0.1208624187613906"/>
    <x v="7"/>
  </r>
  <r>
    <d v="2022-10-22T00:00:00"/>
    <x v="6"/>
    <x v="3"/>
    <x v="3"/>
    <n v="672.27"/>
    <n v="508.71"/>
    <n v="10"/>
    <n v="6722.7"/>
    <n v="5087.0999999999995"/>
    <n v="1635.6000000000004"/>
    <n v="0.24329510464545501"/>
    <x v="25"/>
  </r>
  <r>
    <d v="2024-06-08T00:00:00"/>
    <x v="0"/>
    <x v="0"/>
    <x v="3"/>
    <n v="650.88"/>
    <n v="444.46"/>
    <n v="5"/>
    <n v="3254.4"/>
    <n v="2222.2999999999997"/>
    <n v="1032.1000000000004"/>
    <n v="0.31713987217305811"/>
    <x v="4"/>
  </r>
  <r>
    <d v="2022-02-06T00:00:00"/>
    <x v="10"/>
    <x v="2"/>
    <x v="2"/>
    <n v="966.99"/>
    <n v="506.87"/>
    <n v="8"/>
    <n v="7735.92"/>
    <n v="4054.96"/>
    <n v="3680.96"/>
    <n v="0.47582705095192296"/>
    <x v="20"/>
  </r>
  <r>
    <d v="2023-07-10T00:00:00"/>
    <x v="8"/>
    <x v="1"/>
    <x v="3"/>
    <n v="903.76"/>
    <n v="555.77"/>
    <n v="7"/>
    <n v="6326.32"/>
    <n v="3890.39"/>
    <n v="2435.9299999999998"/>
    <n v="0.38504691511020622"/>
    <x v="11"/>
  </r>
  <r>
    <d v="2024-01-17T00:00:00"/>
    <x v="2"/>
    <x v="0"/>
    <x v="3"/>
    <n v="1028.58"/>
    <n v="844.22"/>
    <n v="1"/>
    <n v="1028.58"/>
    <n v="844.22"/>
    <n v="184.3599999999999"/>
    <n v="0.17923739524392843"/>
    <x v="26"/>
  </r>
  <r>
    <d v="2022-02-08T00:00:00"/>
    <x v="1"/>
    <x v="1"/>
    <x v="1"/>
    <n v="1475.94"/>
    <n v="1108.6199999999999"/>
    <n v="9"/>
    <n v="13283.460000000001"/>
    <n v="9977.5799999999981"/>
    <n v="3305.8800000000028"/>
    <n v="0.24887190536200679"/>
    <x v="20"/>
  </r>
  <r>
    <d v="2024-05-29T00:00:00"/>
    <x v="9"/>
    <x v="3"/>
    <x v="3"/>
    <n v="80.400000000000006"/>
    <n v="62.5"/>
    <n v="7"/>
    <n v="562.80000000000007"/>
    <n v="437.5"/>
    <n v="125.30000000000007"/>
    <n v="0.22263681592039811"/>
    <x v="3"/>
  </r>
  <r>
    <d v="2024-03-21T00:00:00"/>
    <x v="7"/>
    <x v="0"/>
    <x v="0"/>
    <n v="687.2"/>
    <n v="346.79"/>
    <n v="8"/>
    <n v="5497.6"/>
    <n v="2774.32"/>
    <n v="2723.28"/>
    <n v="0.49535797438882423"/>
    <x v="29"/>
  </r>
  <r>
    <d v="2022-07-21T00:00:00"/>
    <x v="1"/>
    <x v="1"/>
    <x v="2"/>
    <n v="1904.01"/>
    <n v="1170.74"/>
    <n v="1"/>
    <n v="1904.01"/>
    <n v="1170.74"/>
    <n v="733.27"/>
    <n v="0.38511877563668256"/>
    <x v="8"/>
  </r>
  <r>
    <d v="2024-01-02T00:00:00"/>
    <x v="7"/>
    <x v="0"/>
    <x v="0"/>
    <n v="1796.75"/>
    <n v="1174.6400000000001"/>
    <n v="2"/>
    <n v="3593.5"/>
    <n v="2349.2800000000002"/>
    <n v="1244.2199999999998"/>
    <n v="0.34624182551829685"/>
    <x v="26"/>
  </r>
  <r>
    <d v="2022-01-26T00:00:00"/>
    <x v="8"/>
    <x v="1"/>
    <x v="1"/>
    <n v="168.47"/>
    <n v="93.5"/>
    <n v="7"/>
    <n v="1179.29"/>
    <n v="654.5"/>
    <n v="524.79"/>
    <n v="0.44500504540867808"/>
    <x v="9"/>
  </r>
  <r>
    <d v="2023-02-03T00:00:00"/>
    <x v="3"/>
    <x v="2"/>
    <x v="3"/>
    <n v="556.14"/>
    <n v="489.26"/>
    <n v="9"/>
    <n v="5005.26"/>
    <n v="4403.34"/>
    <n v="601.92000000000007"/>
    <n v="0.12025748912144425"/>
    <x v="27"/>
  </r>
  <r>
    <d v="2022-06-02T00:00:00"/>
    <x v="9"/>
    <x v="3"/>
    <x v="2"/>
    <n v="36.409999999999997"/>
    <n v="25.64"/>
    <n v="2"/>
    <n v="72.819999999999993"/>
    <n v="51.28"/>
    <n v="21.539999999999992"/>
    <n v="0.29579785773139239"/>
    <x v="18"/>
  </r>
  <r>
    <d v="2023-12-06T00:00:00"/>
    <x v="8"/>
    <x v="1"/>
    <x v="2"/>
    <n v="798.86"/>
    <n v="463.19"/>
    <n v="9"/>
    <n v="7189.74"/>
    <n v="4168.71"/>
    <n v="3021.0299999999997"/>
    <n v="0.42018626542823523"/>
    <x v="30"/>
  </r>
  <r>
    <d v="2023-07-25T00:00:00"/>
    <x v="4"/>
    <x v="2"/>
    <x v="1"/>
    <n v="988.18"/>
    <n v="517.17999999999995"/>
    <n v="3"/>
    <n v="2964.54"/>
    <n v="1551.54"/>
    <n v="1413"/>
    <n v="0.4766338116537473"/>
    <x v="11"/>
  </r>
  <r>
    <d v="2023-05-02T00:00:00"/>
    <x v="5"/>
    <x v="3"/>
    <x v="2"/>
    <n v="1859.99"/>
    <n v="1377.55"/>
    <n v="2"/>
    <n v="3719.98"/>
    <n v="2755.1"/>
    <n v="964.88000000000011"/>
    <n v="0.25937773858999247"/>
    <x v="31"/>
  </r>
  <r>
    <d v="2022-02-03T00:00:00"/>
    <x v="3"/>
    <x v="2"/>
    <x v="2"/>
    <n v="879.58"/>
    <n v="461.93"/>
    <n v="2"/>
    <n v="1759.16"/>
    <n v="923.86"/>
    <n v="835.30000000000007"/>
    <n v="0.47482889560926805"/>
    <x v="20"/>
  </r>
  <r>
    <d v="2024-02-13T00:00:00"/>
    <x v="10"/>
    <x v="2"/>
    <x v="0"/>
    <n v="272.22000000000003"/>
    <n v="206.01"/>
    <n v="2"/>
    <n v="544.44000000000005"/>
    <n v="412.02"/>
    <n v="132.42000000000007"/>
    <n v="0.2432223936521932"/>
    <x v="34"/>
  </r>
  <r>
    <d v="2022-09-02T00:00:00"/>
    <x v="8"/>
    <x v="1"/>
    <x v="1"/>
    <n v="1442.21"/>
    <n v="1108.51"/>
    <n v="2"/>
    <n v="2884.42"/>
    <n v="2217.02"/>
    <n v="667.40000000000009"/>
    <n v="0.2313810055401086"/>
    <x v="12"/>
  </r>
  <r>
    <d v="2022-11-22T00:00:00"/>
    <x v="10"/>
    <x v="2"/>
    <x v="3"/>
    <n v="1077.73"/>
    <n v="878.44"/>
    <n v="7"/>
    <n v="7544.1100000000006"/>
    <n v="6149.08"/>
    <n v="1395.0300000000007"/>
    <n v="0.18491644474961269"/>
    <x v="1"/>
  </r>
  <r>
    <d v="2024-11-03T00:00:00"/>
    <x v="9"/>
    <x v="3"/>
    <x v="0"/>
    <n v="1164.57"/>
    <n v="641.91"/>
    <n v="1"/>
    <n v="1164.57"/>
    <n v="641.91"/>
    <n v="522.66"/>
    <n v="0.44880084494706202"/>
    <x v="2"/>
  </r>
  <r>
    <d v="2022-10-27T00:00:00"/>
    <x v="7"/>
    <x v="0"/>
    <x v="3"/>
    <n v="28.3"/>
    <n v="19.77"/>
    <n v="5"/>
    <n v="141.5"/>
    <n v="98.85"/>
    <n v="42.650000000000006"/>
    <n v="0.30141342756183748"/>
    <x v="25"/>
  </r>
  <r>
    <d v="2022-05-04T00:00:00"/>
    <x v="4"/>
    <x v="2"/>
    <x v="2"/>
    <n v="850.01"/>
    <n v="544.05999999999995"/>
    <n v="4"/>
    <n v="3400.04"/>
    <n v="2176.2399999999998"/>
    <n v="1223.8000000000002"/>
    <n v="0.35993694191833042"/>
    <x v="35"/>
  </r>
  <r>
    <d v="2023-03-22T00:00:00"/>
    <x v="10"/>
    <x v="2"/>
    <x v="3"/>
    <n v="947.73"/>
    <n v="835.98"/>
    <n v="10"/>
    <n v="9477.2999999999993"/>
    <n v="8359.7999999999993"/>
    <n v="1117.5"/>
    <n v="0.11791332974581369"/>
    <x v="19"/>
  </r>
  <r>
    <d v="2022-03-29T00:00:00"/>
    <x v="5"/>
    <x v="3"/>
    <x v="3"/>
    <n v="1448.52"/>
    <n v="1018.72"/>
    <n v="9"/>
    <n v="13036.68"/>
    <n v="9168.48"/>
    <n v="3868.2000000000007"/>
    <n v="0.29671664871731152"/>
    <x v="7"/>
  </r>
  <r>
    <d v="2024-07-06T00:00:00"/>
    <x v="2"/>
    <x v="0"/>
    <x v="2"/>
    <n v="919.84"/>
    <n v="486.83"/>
    <n v="5"/>
    <n v="4599.2"/>
    <n v="2434.15"/>
    <n v="2165.0499999999997"/>
    <n v="0.47074491215863623"/>
    <x v="28"/>
  </r>
  <r>
    <d v="2024-02-14T00:00:00"/>
    <x v="1"/>
    <x v="1"/>
    <x v="2"/>
    <n v="1478.44"/>
    <n v="807.94"/>
    <n v="1"/>
    <n v="1478.44"/>
    <n v="807.94"/>
    <n v="670.5"/>
    <n v="0.45351857363166581"/>
    <x v="34"/>
  </r>
  <r>
    <d v="2024-04-23T00:00:00"/>
    <x v="3"/>
    <x v="2"/>
    <x v="1"/>
    <n v="147.28"/>
    <n v="116.15"/>
    <n v="8"/>
    <n v="1178.24"/>
    <n v="929.2"/>
    <n v="249.03999999999996"/>
    <n v="0.21136610537751219"/>
    <x v="22"/>
  </r>
  <r>
    <d v="2023-12-14T00:00:00"/>
    <x v="5"/>
    <x v="3"/>
    <x v="0"/>
    <n v="120.79"/>
    <n v="75.28"/>
    <n v="5"/>
    <n v="603.95000000000005"/>
    <n v="376.4"/>
    <n v="227.55000000000007"/>
    <n v="0.37676960013246136"/>
    <x v="30"/>
  </r>
  <r>
    <d v="2024-08-12T00:00:00"/>
    <x v="2"/>
    <x v="0"/>
    <x v="1"/>
    <n v="882.64"/>
    <n v="625.79999999999995"/>
    <n v="7"/>
    <n v="6178.48"/>
    <n v="4380.5999999999995"/>
    <n v="1797.88"/>
    <n v="0.29099066437052484"/>
    <x v="21"/>
  </r>
  <r>
    <d v="2024-09-18T00:00:00"/>
    <x v="4"/>
    <x v="2"/>
    <x v="1"/>
    <n v="620.16"/>
    <n v="415.69"/>
    <n v="7"/>
    <n v="4341.12"/>
    <n v="2909.83"/>
    <n v="1431.29"/>
    <n v="0.32970523735810114"/>
    <x v="16"/>
  </r>
  <r>
    <d v="2022-09-18T00:00:00"/>
    <x v="0"/>
    <x v="0"/>
    <x v="2"/>
    <n v="1523.48"/>
    <n v="935.36"/>
    <n v="10"/>
    <n v="15234.8"/>
    <n v="9353.6"/>
    <n v="5881.1999999999989"/>
    <n v="0.38603723055110661"/>
    <x v="12"/>
  </r>
  <r>
    <d v="2023-09-10T00:00:00"/>
    <x v="8"/>
    <x v="1"/>
    <x v="3"/>
    <n v="966.71"/>
    <n v="746.83"/>
    <n v="2"/>
    <n v="1933.42"/>
    <n v="1493.66"/>
    <n v="439.76"/>
    <n v="0.22745187284707927"/>
    <x v="24"/>
  </r>
  <r>
    <d v="2024-05-02T00:00:00"/>
    <x v="2"/>
    <x v="0"/>
    <x v="0"/>
    <n v="371.83"/>
    <n v="309.60000000000002"/>
    <n v="2"/>
    <n v="743.66"/>
    <n v="619.20000000000005"/>
    <n v="124.45999999999992"/>
    <n v="0.16736142860984848"/>
    <x v="3"/>
  </r>
  <r>
    <d v="2022-02-14T00:00:00"/>
    <x v="8"/>
    <x v="1"/>
    <x v="2"/>
    <n v="1146.21"/>
    <n v="668.7"/>
    <n v="1"/>
    <n v="1146.21"/>
    <n v="668.7"/>
    <n v="477.51"/>
    <n v="0.41659905252964113"/>
    <x v="20"/>
  </r>
  <r>
    <d v="2024-06-07T00:00:00"/>
    <x v="4"/>
    <x v="2"/>
    <x v="0"/>
    <n v="1536.62"/>
    <n v="1318.97"/>
    <n v="10"/>
    <n v="15366.199999999999"/>
    <n v="13189.7"/>
    <n v="2176.4999999999982"/>
    <n v="0.14164204552849749"/>
    <x v="4"/>
  </r>
  <r>
    <d v="2022-04-09T00:00:00"/>
    <x v="6"/>
    <x v="3"/>
    <x v="2"/>
    <n v="276.57"/>
    <n v="213.44"/>
    <n v="1"/>
    <n v="276.57"/>
    <n v="213.44"/>
    <n v="63.129999999999995"/>
    <n v="0.22826047655204829"/>
    <x v="32"/>
  </r>
  <r>
    <d v="2024-12-05T00:00:00"/>
    <x v="6"/>
    <x v="3"/>
    <x v="1"/>
    <n v="1070.7"/>
    <n v="620.98"/>
    <n v="2"/>
    <n v="2141.4"/>
    <n v="1241.96"/>
    <n v="899.44"/>
    <n v="0.42002428317922857"/>
    <x v="23"/>
  </r>
  <r>
    <d v="2024-06-23T00:00:00"/>
    <x v="1"/>
    <x v="1"/>
    <x v="2"/>
    <n v="1868.02"/>
    <n v="1378.48"/>
    <n v="4"/>
    <n v="7472.08"/>
    <n v="5513.92"/>
    <n v="1958.1599999999999"/>
    <n v="0.26206357533645247"/>
    <x v="4"/>
  </r>
  <r>
    <d v="2022-09-12T00:00:00"/>
    <x v="5"/>
    <x v="3"/>
    <x v="1"/>
    <n v="1750.16"/>
    <n v="1156.26"/>
    <n v="8"/>
    <n v="14001.28"/>
    <n v="9250.08"/>
    <n v="4751.2000000000007"/>
    <n v="0.3393404031631394"/>
    <x v="12"/>
  </r>
  <r>
    <d v="2024-07-02T00:00:00"/>
    <x v="5"/>
    <x v="3"/>
    <x v="0"/>
    <n v="581.53"/>
    <n v="344.4"/>
    <n v="3"/>
    <n v="1744.59"/>
    <n v="1033.1999999999998"/>
    <n v="711.3900000000001"/>
    <n v="0.40776916066239066"/>
    <x v="28"/>
  </r>
  <r>
    <d v="2023-03-11T00:00:00"/>
    <x v="2"/>
    <x v="0"/>
    <x v="3"/>
    <n v="1342.44"/>
    <n v="803.86"/>
    <n v="5"/>
    <n v="6712.2000000000007"/>
    <n v="4019.3"/>
    <n v="2692.9000000000005"/>
    <n v="0.40119483924793664"/>
    <x v="19"/>
  </r>
  <r>
    <d v="2023-05-12T00:00:00"/>
    <x v="9"/>
    <x v="3"/>
    <x v="0"/>
    <n v="623.45000000000005"/>
    <n v="488.77"/>
    <n v="2"/>
    <n v="1246.9000000000001"/>
    <n v="977.54"/>
    <n v="269.36000000000013"/>
    <n v="0.21602373887240364"/>
    <x v="31"/>
  </r>
  <r>
    <d v="2024-03-09T00:00:00"/>
    <x v="9"/>
    <x v="3"/>
    <x v="0"/>
    <n v="1486.84"/>
    <n v="1335.22"/>
    <n v="4"/>
    <n v="5947.36"/>
    <n v="5340.88"/>
    <n v="606.47999999999956"/>
    <n v="0.10197465766323202"/>
    <x v="29"/>
  </r>
  <r>
    <d v="2024-09-17T00:00:00"/>
    <x v="3"/>
    <x v="2"/>
    <x v="0"/>
    <n v="1729.83"/>
    <n v="1067.75"/>
    <n v="6"/>
    <n v="10378.98"/>
    <n v="6406.5"/>
    <n v="3972.4799999999996"/>
    <n v="0.38274281287756595"/>
    <x v="16"/>
  </r>
  <r>
    <d v="2023-08-16T00:00:00"/>
    <x v="7"/>
    <x v="0"/>
    <x v="3"/>
    <n v="473.91"/>
    <n v="358.15"/>
    <n v="1"/>
    <n v="473.91"/>
    <n v="358.15"/>
    <n v="115.76000000000005"/>
    <n v="0.24426578886286435"/>
    <x v="14"/>
  </r>
  <r>
    <d v="2022-12-09T00:00:00"/>
    <x v="10"/>
    <x v="2"/>
    <x v="2"/>
    <n v="982.01"/>
    <n v="695.72"/>
    <n v="3"/>
    <n v="2946.0299999999997"/>
    <n v="2087.16"/>
    <n v="858.86999999999989"/>
    <n v="0.29153470942251097"/>
    <x v="33"/>
  </r>
  <r>
    <d v="2024-02-13T00:00:00"/>
    <x v="10"/>
    <x v="2"/>
    <x v="3"/>
    <n v="170.95"/>
    <n v="112.01"/>
    <n v="5"/>
    <n v="854.75"/>
    <n v="560.05000000000007"/>
    <n v="294.69999999999993"/>
    <n v="0.34477917519742607"/>
    <x v="34"/>
  </r>
  <r>
    <d v="2024-03-19T00:00:00"/>
    <x v="0"/>
    <x v="0"/>
    <x v="1"/>
    <n v="988.31"/>
    <n v="656.47"/>
    <n v="6"/>
    <n v="5929.86"/>
    <n v="3938.82"/>
    <n v="1991.0399999999995"/>
    <n v="0.33576509394825504"/>
    <x v="29"/>
  </r>
  <r>
    <d v="2022-06-15T00:00:00"/>
    <x v="9"/>
    <x v="3"/>
    <x v="0"/>
    <n v="1733.36"/>
    <n v="908.59"/>
    <n v="8"/>
    <n v="13866.88"/>
    <n v="7268.72"/>
    <n v="6598.1599999999989"/>
    <n v="0.47582152582267961"/>
    <x v="18"/>
  </r>
  <r>
    <d v="2023-02-27T00:00:00"/>
    <x v="8"/>
    <x v="1"/>
    <x v="1"/>
    <n v="1612.39"/>
    <n v="1066.69"/>
    <n v="4"/>
    <n v="6449.56"/>
    <n v="4266.76"/>
    <n v="2182.8000000000002"/>
    <n v="0.33844169214644099"/>
    <x v="27"/>
  </r>
  <r>
    <d v="2022-08-11T00:00:00"/>
    <x v="1"/>
    <x v="1"/>
    <x v="2"/>
    <n v="1580.41"/>
    <n v="1228.9100000000001"/>
    <n v="2"/>
    <n v="3160.82"/>
    <n v="2457.8200000000002"/>
    <n v="703"/>
    <n v="0.22241064027689017"/>
    <x v="15"/>
  </r>
  <r>
    <d v="2022-04-15T00:00:00"/>
    <x v="0"/>
    <x v="0"/>
    <x v="2"/>
    <n v="1170.56"/>
    <n v="634.1"/>
    <n v="3"/>
    <n v="3511.68"/>
    <n v="1902.3000000000002"/>
    <n v="1609.3799999999997"/>
    <n v="0.45829346637506829"/>
    <x v="32"/>
  </r>
  <r>
    <d v="2024-02-03T00:00:00"/>
    <x v="7"/>
    <x v="0"/>
    <x v="2"/>
    <n v="1446.92"/>
    <n v="970.75"/>
    <n v="5"/>
    <n v="7234.6"/>
    <n v="4853.75"/>
    <n v="2380.8500000000004"/>
    <n v="0.32909214054681674"/>
    <x v="34"/>
  </r>
  <r>
    <d v="2023-05-19T00:00:00"/>
    <x v="5"/>
    <x v="3"/>
    <x v="1"/>
    <n v="581.63"/>
    <n v="430.2"/>
    <n v="6"/>
    <n v="3489.7799999999997"/>
    <n v="2581.1999999999998"/>
    <n v="908.57999999999993"/>
    <n v="0.26035452091535854"/>
    <x v="31"/>
  </r>
  <r>
    <d v="2023-05-16T00:00:00"/>
    <x v="9"/>
    <x v="3"/>
    <x v="0"/>
    <n v="843.38"/>
    <n v="755.32"/>
    <n v="1"/>
    <n v="843.38"/>
    <n v="755.32"/>
    <n v="88.059999999999945"/>
    <n v="0.10441319452678502"/>
    <x v="31"/>
  </r>
  <r>
    <d v="2024-06-01T00:00:00"/>
    <x v="3"/>
    <x v="2"/>
    <x v="2"/>
    <n v="817.34"/>
    <n v="610.6"/>
    <n v="8"/>
    <n v="6538.72"/>
    <n v="4884.8"/>
    <n v="1653.92"/>
    <n v="0.25294247192110997"/>
    <x v="4"/>
  </r>
  <r>
    <d v="2023-01-14T00:00:00"/>
    <x v="2"/>
    <x v="0"/>
    <x v="0"/>
    <n v="1624.76"/>
    <n v="1396.04"/>
    <n v="2"/>
    <n v="3249.52"/>
    <n v="2792.08"/>
    <n v="457.44000000000005"/>
    <n v="0.14077156010733896"/>
    <x v="13"/>
  </r>
  <r>
    <d v="2022-02-27T00:00:00"/>
    <x v="0"/>
    <x v="0"/>
    <x v="0"/>
    <n v="1861.13"/>
    <n v="1288.51"/>
    <n v="5"/>
    <n v="9305.6500000000015"/>
    <n v="6442.55"/>
    <n v="2863.1000000000013"/>
    <n v="0.30767329525610793"/>
    <x v="20"/>
  </r>
  <r>
    <d v="2023-07-19T00:00:00"/>
    <x v="10"/>
    <x v="2"/>
    <x v="0"/>
    <n v="811.17"/>
    <n v="423.02"/>
    <n v="9"/>
    <n v="7300.53"/>
    <n v="3807.18"/>
    <n v="3493.35"/>
    <n v="0.47850635501806033"/>
    <x v="11"/>
  </r>
  <r>
    <d v="2024-04-11T00:00:00"/>
    <x v="6"/>
    <x v="3"/>
    <x v="1"/>
    <n v="541.76"/>
    <n v="376.29"/>
    <n v="10"/>
    <n v="5417.6"/>
    <n v="3762.9"/>
    <n v="1654.7000000000003"/>
    <n v="0.30543044890726523"/>
    <x v="22"/>
  </r>
  <r>
    <d v="2024-09-09T00:00:00"/>
    <x v="9"/>
    <x v="3"/>
    <x v="2"/>
    <n v="713.2"/>
    <n v="426.13"/>
    <n v="8"/>
    <n v="5705.6"/>
    <n v="3409.04"/>
    <n v="2296.5600000000004"/>
    <n v="0.40250981491867643"/>
    <x v="16"/>
  </r>
  <r>
    <d v="2024-05-14T00:00:00"/>
    <x v="9"/>
    <x v="3"/>
    <x v="0"/>
    <n v="1949.49"/>
    <n v="1119.1400000000001"/>
    <n v="2"/>
    <n v="3898.98"/>
    <n v="2238.2800000000002"/>
    <n v="1660.6999999999998"/>
    <n v="0.42593191039707817"/>
    <x v="3"/>
  </r>
  <r>
    <d v="2024-04-27T00:00:00"/>
    <x v="1"/>
    <x v="1"/>
    <x v="0"/>
    <n v="1699.71"/>
    <n v="942.63"/>
    <n v="7"/>
    <n v="11897.970000000001"/>
    <n v="6598.41"/>
    <n v="5299.5600000000013"/>
    <n v="0.44541715939777971"/>
    <x v="22"/>
  </r>
  <r>
    <d v="2022-12-07T00:00:00"/>
    <x v="3"/>
    <x v="2"/>
    <x v="1"/>
    <n v="1331.73"/>
    <n v="1143.47"/>
    <n v="4"/>
    <n v="5326.92"/>
    <n v="4573.88"/>
    <n v="753.04"/>
    <n v="0.14136499140216108"/>
    <x v="33"/>
  </r>
  <r>
    <d v="2022-06-13T00:00:00"/>
    <x v="4"/>
    <x v="2"/>
    <x v="3"/>
    <n v="1764.33"/>
    <n v="926.21"/>
    <n v="1"/>
    <n v="1764.33"/>
    <n v="926.21"/>
    <n v="838.11999999999989"/>
    <n v="0.47503584930256809"/>
    <x v="18"/>
  </r>
  <r>
    <d v="2024-12-04T00:00:00"/>
    <x v="7"/>
    <x v="0"/>
    <x v="2"/>
    <n v="749.91"/>
    <n v="521.45000000000005"/>
    <n v="8"/>
    <n v="5999.28"/>
    <n v="4171.6000000000004"/>
    <n v="1827.6799999999994"/>
    <n v="0.30464989132029169"/>
    <x v="23"/>
  </r>
  <r>
    <d v="2022-01-30T00:00:00"/>
    <x v="7"/>
    <x v="0"/>
    <x v="2"/>
    <n v="1113.26"/>
    <n v="998.1"/>
    <n v="4"/>
    <n v="4453.04"/>
    <n v="3992.4"/>
    <n v="460.63999999999987"/>
    <n v="0.10344393942115945"/>
    <x v="9"/>
  </r>
  <r>
    <d v="2023-12-03T00:00:00"/>
    <x v="4"/>
    <x v="2"/>
    <x v="1"/>
    <n v="907.49"/>
    <n v="475.11"/>
    <n v="4"/>
    <n v="3629.96"/>
    <n v="1900.44"/>
    <n v="1729.52"/>
    <n v="0.47645704084893498"/>
    <x v="30"/>
  </r>
  <r>
    <d v="2022-02-26T00:00:00"/>
    <x v="2"/>
    <x v="0"/>
    <x v="1"/>
    <n v="489.65"/>
    <n v="377.49"/>
    <n v="10"/>
    <n v="4896.5"/>
    <n v="3774.9"/>
    <n v="1121.5999999999999"/>
    <n v="0.22906157459409782"/>
    <x v="20"/>
  </r>
  <r>
    <d v="2022-01-26T00:00:00"/>
    <x v="9"/>
    <x v="3"/>
    <x v="3"/>
    <n v="702.03"/>
    <n v="551.41999999999996"/>
    <n v="4"/>
    <n v="2808.12"/>
    <n v="2205.6799999999998"/>
    <n v="602.44000000000005"/>
    <n v="0.21453499138213469"/>
    <x v="9"/>
  </r>
  <r>
    <d v="2024-03-01T00:00:00"/>
    <x v="9"/>
    <x v="3"/>
    <x v="0"/>
    <n v="858.03"/>
    <n v="557.48"/>
    <n v="9"/>
    <n v="7722.2699999999995"/>
    <n v="5017.32"/>
    <n v="2704.95"/>
    <n v="0.35027912776942532"/>
    <x v="29"/>
  </r>
  <r>
    <d v="2024-09-25T00:00:00"/>
    <x v="6"/>
    <x v="3"/>
    <x v="1"/>
    <n v="1602.64"/>
    <n v="836.64"/>
    <n v="2"/>
    <n v="3205.28"/>
    <n v="1673.28"/>
    <n v="1532.0000000000002"/>
    <n v="0.47796136374981285"/>
    <x v="16"/>
  </r>
  <r>
    <d v="2022-06-20T00:00:00"/>
    <x v="4"/>
    <x v="2"/>
    <x v="1"/>
    <n v="1552.58"/>
    <n v="930.23"/>
    <n v="4"/>
    <n v="6210.32"/>
    <n v="3720.92"/>
    <n v="2489.3999999999996"/>
    <n v="0.40084890955699543"/>
    <x v="18"/>
  </r>
  <r>
    <d v="2024-09-05T00:00:00"/>
    <x v="8"/>
    <x v="1"/>
    <x v="1"/>
    <n v="1309.28"/>
    <n v="1106.9000000000001"/>
    <n v="7"/>
    <n v="9164.9599999999991"/>
    <n v="7748.3000000000011"/>
    <n v="1416.659999999998"/>
    <n v="0.15457350604912604"/>
    <x v="16"/>
  </r>
  <r>
    <d v="2022-07-06T00:00:00"/>
    <x v="4"/>
    <x v="2"/>
    <x v="1"/>
    <n v="793.28"/>
    <n v="555.26"/>
    <n v="9"/>
    <n v="7139.5199999999995"/>
    <n v="4997.34"/>
    <n v="2142.1799999999994"/>
    <n v="0.30004538120209756"/>
    <x v="8"/>
  </r>
  <r>
    <d v="2022-08-26T00:00:00"/>
    <x v="2"/>
    <x v="0"/>
    <x v="3"/>
    <n v="1202.57"/>
    <n v="964.29"/>
    <n v="2"/>
    <n v="2405.14"/>
    <n v="1928.58"/>
    <n v="476.55999999999995"/>
    <n v="0.19814231188205259"/>
    <x v="15"/>
  </r>
  <r>
    <d v="2022-06-29T00:00:00"/>
    <x v="5"/>
    <x v="3"/>
    <x v="3"/>
    <n v="62.37"/>
    <n v="34.130000000000003"/>
    <n v="4"/>
    <n v="249.48"/>
    <n v="136.52000000000001"/>
    <n v="112.95999999999998"/>
    <n v="0.45278178611511938"/>
    <x v="18"/>
  </r>
  <r>
    <d v="2023-08-25T00:00:00"/>
    <x v="7"/>
    <x v="0"/>
    <x v="1"/>
    <n v="1255.6600000000001"/>
    <n v="899.66"/>
    <n v="5"/>
    <n v="6278.3"/>
    <n v="4498.3"/>
    <n v="1780"/>
    <n v="0.28351623847219787"/>
    <x v="14"/>
  </r>
  <r>
    <d v="2024-02-12T00:00:00"/>
    <x v="1"/>
    <x v="1"/>
    <x v="0"/>
    <n v="142.68"/>
    <n v="78.91"/>
    <n v="7"/>
    <n v="998.76"/>
    <n v="552.37"/>
    <n v="446.39"/>
    <n v="0.44694421082141855"/>
    <x v="34"/>
  </r>
  <r>
    <d v="2024-01-05T00:00:00"/>
    <x v="4"/>
    <x v="2"/>
    <x v="2"/>
    <n v="911.3"/>
    <n v="735.05"/>
    <n v="4"/>
    <n v="3645.2"/>
    <n v="2940.2"/>
    <n v="705"/>
    <n v="0.19340502578733679"/>
    <x v="26"/>
  </r>
  <r>
    <d v="2023-01-03T00:00:00"/>
    <x v="4"/>
    <x v="2"/>
    <x v="1"/>
    <n v="1288.58"/>
    <n v="870.62"/>
    <n v="8"/>
    <n v="10308.64"/>
    <n v="6964.96"/>
    <n v="3343.6799999999994"/>
    <n v="0.32435704418817607"/>
    <x v="13"/>
  </r>
  <r>
    <d v="2024-09-24T00:00:00"/>
    <x v="3"/>
    <x v="2"/>
    <x v="2"/>
    <n v="787.8"/>
    <n v="608.16999999999996"/>
    <n v="7"/>
    <n v="5514.5999999999995"/>
    <n v="4257.1899999999996"/>
    <n v="1257.4099999999999"/>
    <n v="0.22801472454937802"/>
    <x v="16"/>
  </r>
  <r>
    <d v="2022-05-22T00:00:00"/>
    <x v="10"/>
    <x v="2"/>
    <x v="0"/>
    <n v="1130.06"/>
    <n v="617.57000000000005"/>
    <n v="6"/>
    <n v="6780.36"/>
    <n v="3705.42"/>
    <n v="3074.9399999999996"/>
    <n v="0.45350689343928635"/>
    <x v="35"/>
  </r>
  <r>
    <d v="2022-03-29T00:00:00"/>
    <x v="8"/>
    <x v="1"/>
    <x v="0"/>
    <n v="1227.29"/>
    <n v="924.83"/>
    <n v="10"/>
    <n v="12272.9"/>
    <n v="9248.3000000000011"/>
    <n v="3024.5999999999985"/>
    <n v="0.24644542039778689"/>
    <x v="7"/>
  </r>
  <r>
    <d v="2024-05-10T00:00:00"/>
    <x v="8"/>
    <x v="1"/>
    <x v="2"/>
    <n v="1101.97"/>
    <n v="673.12"/>
    <n v="2"/>
    <n v="2203.94"/>
    <n v="1346.24"/>
    <n v="857.7"/>
    <n v="0.38916667422888102"/>
    <x v="3"/>
  </r>
  <r>
    <d v="2022-07-12T00:00:00"/>
    <x v="6"/>
    <x v="3"/>
    <x v="0"/>
    <n v="1113.28"/>
    <n v="762.32"/>
    <n v="3"/>
    <n v="3339.84"/>
    <n v="2286.96"/>
    <n v="1052.8800000000001"/>
    <n v="0.3152486346651337"/>
    <x v="8"/>
  </r>
  <r>
    <d v="2022-03-22T00:00:00"/>
    <x v="4"/>
    <x v="2"/>
    <x v="2"/>
    <n v="856.53"/>
    <n v="769.53"/>
    <n v="7"/>
    <n v="5995.71"/>
    <n v="5386.71"/>
    <n v="609"/>
    <n v="0.10157262442646492"/>
    <x v="7"/>
  </r>
  <r>
    <d v="2023-04-05T00:00:00"/>
    <x v="5"/>
    <x v="3"/>
    <x v="1"/>
    <n v="337.05"/>
    <n v="232.71"/>
    <n v="3"/>
    <n v="1011.1500000000001"/>
    <n v="698.13"/>
    <n v="313.0200000000001"/>
    <n v="0.30956831330663115"/>
    <x v="6"/>
  </r>
  <r>
    <d v="2022-12-19T00:00:00"/>
    <x v="8"/>
    <x v="1"/>
    <x v="1"/>
    <n v="1709.72"/>
    <n v="1034.67"/>
    <n v="7"/>
    <n v="11968.04"/>
    <n v="7242.6900000000005"/>
    <n v="4725.3500000000004"/>
    <n v="0.3948307325176052"/>
    <x v="33"/>
  </r>
  <r>
    <d v="2022-08-11T00:00:00"/>
    <x v="7"/>
    <x v="0"/>
    <x v="2"/>
    <n v="1546.6"/>
    <n v="1149.3800000000001"/>
    <n v="1"/>
    <n v="1546.6"/>
    <n v="1149.3800000000001"/>
    <n v="397.2199999999998"/>
    <n v="0.25683434630803043"/>
    <x v="15"/>
  </r>
  <r>
    <d v="2024-09-01T00:00:00"/>
    <x v="5"/>
    <x v="3"/>
    <x v="3"/>
    <n v="1708.73"/>
    <n v="1446.99"/>
    <n v="4"/>
    <n v="6834.92"/>
    <n v="5787.96"/>
    <n v="1046.96"/>
    <n v="0.1531780913309885"/>
    <x v="16"/>
  </r>
  <r>
    <d v="2022-03-18T00:00:00"/>
    <x v="6"/>
    <x v="3"/>
    <x v="1"/>
    <n v="1884.3"/>
    <n v="1511.99"/>
    <n v="7"/>
    <n v="13190.1"/>
    <n v="10583.93"/>
    <n v="2606.17"/>
    <n v="0.1975853101947673"/>
    <x v="7"/>
  </r>
  <r>
    <d v="2022-10-08T00:00:00"/>
    <x v="0"/>
    <x v="0"/>
    <x v="2"/>
    <n v="528.85"/>
    <n v="405.78"/>
    <n v="1"/>
    <n v="528.85"/>
    <n v="405.78"/>
    <n v="123.07000000000005"/>
    <n v="0.2327124893637138"/>
    <x v="25"/>
  </r>
  <r>
    <d v="2023-06-20T00:00:00"/>
    <x v="8"/>
    <x v="1"/>
    <x v="0"/>
    <n v="1765.37"/>
    <n v="973.48"/>
    <n v="5"/>
    <n v="8826.8499999999985"/>
    <n v="4867.3999999999996"/>
    <n v="3959.4499999999989"/>
    <n v="0.44856885525413931"/>
    <x v="0"/>
  </r>
  <r>
    <d v="2023-03-09T00:00:00"/>
    <x v="7"/>
    <x v="0"/>
    <x v="2"/>
    <n v="1546.64"/>
    <n v="852.39"/>
    <n v="4"/>
    <n v="6186.56"/>
    <n v="3409.56"/>
    <n v="2777.0000000000005"/>
    <n v="0.44887627372885741"/>
    <x v="19"/>
  </r>
  <r>
    <d v="2023-05-19T00:00:00"/>
    <x v="6"/>
    <x v="3"/>
    <x v="3"/>
    <n v="791.83"/>
    <n v="556.91"/>
    <n v="4"/>
    <n v="3167.32"/>
    <n v="2227.64"/>
    <n v="939.68000000000029"/>
    <n v="0.29667984289557109"/>
    <x v="31"/>
  </r>
  <r>
    <d v="2022-09-22T00:00:00"/>
    <x v="10"/>
    <x v="2"/>
    <x v="2"/>
    <n v="1005.54"/>
    <n v="873.93"/>
    <n v="7"/>
    <n v="7038.78"/>
    <n v="6117.5099999999993"/>
    <n v="921.27000000000044"/>
    <n v="0.13088489766692529"/>
    <x v="12"/>
  </r>
  <r>
    <d v="2023-02-13T00:00:00"/>
    <x v="8"/>
    <x v="1"/>
    <x v="0"/>
    <n v="1181.54"/>
    <n v="828.88"/>
    <n v="3"/>
    <n v="3544.62"/>
    <n v="2486.64"/>
    <n v="1057.98"/>
    <n v="0.2984748717775107"/>
    <x v="27"/>
  </r>
  <r>
    <d v="2024-03-10T00:00:00"/>
    <x v="9"/>
    <x v="3"/>
    <x v="3"/>
    <n v="141.80000000000001"/>
    <n v="111.7"/>
    <n v="4"/>
    <n v="567.20000000000005"/>
    <n v="446.8"/>
    <n v="120.40000000000003"/>
    <n v="0.21227080394922429"/>
    <x v="29"/>
  </r>
  <r>
    <d v="2023-01-24T00:00:00"/>
    <x v="6"/>
    <x v="3"/>
    <x v="1"/>
    <n v="1217.67"/>
    <n v="797.47"/>
    <n v="8"/>
    <n v="9741.36"/>
    <n v="6379.76"/>
    <n v="3361.6000000000004"/>
    <n v="0.34508528583277903"/>
    <x v="13"/>
  </r>
  <r>
    <d v="2024-01-20T00:00:00"/>
    <x v="5"/>
    <x v="3"/>
    <x v="0"/>
    <n v="931.57"/>
    <n v="524.66999999999996"/>
    <n v="3"/>
    <n v="2794.71"/>
    <n v="1574.0099999999998"/>
    <n v="1220.7000000000003"/>
    <n v="0.43678950588790977"/>
    <x v="26"/>
  </r>
  <r>
    <d v="2022-06-13T00:00:00"/>
    <x v="10"/>
    <x v="2"/>
    <x v="2"/>
    <n v="1712.24"/>
    <n v="1454.63"/>
    <n v="7"/>
    <n v="11985.68"/>
    <n v="10182.41"/>
    <n v="1803.2700000000004"/>
    <n v="0.15045203943372429"/>
    <x v="18"/>
  </r>
  <r>
    <d v="2024-08-01T00:00:00"/>
    <x v="6"/>
    <x v="3"/>
    <x v="3"/>
    <n v="1535.84"/>
    <n v="1129.96"/>
    <n v="6"/>
    <n v="9215.0399999999991"/>
    <n v="6779.76"/>
    <n v="2435.2799999999988"/>
    <n v="0.26427232003333673"/>
    <x v="21"/>
  </r>
  <r>
    <d v="2022-01-04T00:00:00"/>
    <x v="6"/>
    <x v="3"/>
    <x v="1"/>
    <n v="722.46"/>
    <n v="576.09"/>
    <n v="10"/>
    <n v="7224.6"/>
    <n v="5760.9000000000005"/>
    <n v="1463.6999999999998"/>
    <n v="0.20259945187276801"/>
    <x v="9"/>
  </r>
  <r>
    <d v="2024-02-01T00:00:00"/>
    <x v="3"/>
    <x v="2"/>
    <x v="3"/>
    <n v="316.89999999999998"/>
    <n v="282.72000000000003"/>
    <n v="9"/>
    <n v="2852.1"/>
    <n v="2544.4800000000005"/>
    <n v="307.61999999999944"/>
    <n v="0.10785736825496983"/>
    <x v="34"/>
  </r>
  <r>
    <d v="2024-05-26T00:00:00"/>
    <x v="6"/>
    <x v="3"/>
    <x v="2"/>
    <n v="955.87"/>
    <n v="524.13"/>
    <n v="4"/>
    <n v="3823.48"/>
    <n v="2096.52"/>
    <n v="1726.96"/>
    <n v="0.45167229853431951"/>
    <x v="3"/>
  </r>
  <r>
    <d v="2022-11-27T00:00:00"/>
    <x v="5"/>
    <x v="3"/>
    <x v="3"/>
    <n v="744.49"/>
    <n v="460.97"/>
    <n v="5"/>
    <n v="3722.45"/>
    <n v="2304.8500000000004"/>
    <n v="1417.5999999999995"/>
    <n v="0.3808244570108395"/>
    <x v="1"/>
  </r>
  <r>
    <d v="2024-01-18T00:00:00"/>
    <x v="5"/>
    <x v="3"/>
    <x v="3"/>
    <n v="1045.8699999999999"/>
    <n v="891.28"/>
    <n v="8"/>
    <n v="8366.9599999999991"/>
    <n v="7130.24"/>
    <n v="1236.7199999999993"/>
    <n v="0.14780995726046253"/>
    <x v="26"/>
  </r>
  <r>
    <d v="2022-06-02T00:00:00"/>
    <x v="0"/>
    <x v="0"/>
    <x v="2"/>
    <n v="69.23"/>
    <n v="54.72"/>
    <n v="1"/>
    <n v="69.23"/>
    <n v="54.72"/>
    <n v="14.510000000000005"/>
    <n v="0.20959121768019651"/>
    <x v="18"/>
  </r>
  <r>
    <d v="2024-06-02T00:00:00"/>
    <x v="9"/>
    <x v="3"/>
    <x v="3"/>
    <n v="1764.55"/>
    <n v="1587.66"/>
    <n v="7"/>
    <n v="12351.85"/>
    <n v="11113.62"/>
    <n v="1238.2299999999996"/>
    <n v="0.10024652177609018"/>
    <x v="4"/>
  </r>
  <r>
    <d v="2022-01-06T00:00:00"/>
    <x v="0"/>
    <x v="0"/>
    <x v="1"/>
    <n v="1043.19"/>
    <n v="709.03"/>
    <n v="1"/>
    <n v="1043.19"/>
    <n v="709.03"/>
    <n v="334.16000000000008"/>
    <n v="0.3203251564911474"/>
    <x v="9"/>
  </r>
  <r>
    <d v="2024-09-06T00:00:00"/>
    <x v="3"/>
    <x v="2"/>
    <x v="0"/>
    <n v="442.53"/>
    <n v="265.63"/>
    <n v="3"/>
    <n v="1327.59"/>
    <n v="796.89"/>
    <n v="530.69999999999993"/>
    <n v="0.39974690981402389"/>
    <x v="16"/>
  </r>
  <r>
    <d v="2024-01-16T00:00:00"/>
    <x v="4"/>
    <x v="2"/>
    <x v="3"/>
    <n v="1315.66"/>
    <n v="994.69"/>
    <n v="5"/>
    <n v="6578.3"/>
    <n v="4973.4500000000007"/>
    <n v="1604.8499999999995"/>
    <n v="0.24396120578264893"/>
    <x v="26"/>
  </r>
  <r>
    <d v="2023-10-03T00:00:00"/>
    <x v="8"/>
    <x v="1"/>
    <x v="1"/>
    <n v="1125.3699999999999"/>
    <n v="828.33"/>
    <n v="6"/>
    <n v="6752.2199999999993"/>
    <n v="4969.9800000000005"/>
    <n v="1782.2399999999989"/>
    <n v="0.26394874574584343"/>
    <x v="5"/>
  </r>
  <r>
    <d v="2022-10-23T00:00:00"/>
    <x v="10"/>
    <x v="2"/>
    <x v="1"/>
    <n v="1589.12"/>
    <n v="1165.01"/>
    <n v="7"/>
    <n v="11123.84"/>
    <n v="8155.07"/>
    <n v="2968.7700000000004"/>
    <n v="0.26688355819573101"/>
    <x v="25"/>
  </r>
  <r>
    <d v="2023-07-27T00:00:00"/>
    <x v="7"/>
    <x v="0"/>
    <x v="1"/>
    <n v="599.04999999999995"/>
    <n v="519.73"/>
    <n v="10"/>
    <n v="5990.5"/>
    <n v="5197.3"/>
    <n v="793.19999999999982"/>
    <n v="0.13240964861029961"/>
    <x v="11"/>
  </r>
  <r>
    <d v="2023-11-07T00:00:00"/>
    <x v="2"/>
    <x v="0"/>
    <x v="3"/>
    <n v="1833.4"/>
    <n v="1145.6400000000001"/>
    <n v="5"/>
    <n v="9167"/>
    <n v="5728.2000000000007"/>
    <n v="3438.7999999999993"/>
    <n v="0.37512817715719421"/>
    <x v="10"/>
  </r>
  <r>
    <d v="2024-05-30T00:00:00"/>
    <x v="1"/>
    <x v="1"/>
    <x v="0"/>
    <n v="1298.29"/>
    <n v="1144.78"/>
    <n v="8"/>
    <n v="10386.32"/>
    <n v="9158.24"/>
    <n v="1228.08"/>
    <n v="0.11824014665444546"/>
    <x v="3"/>
  </r>
  <r>
    <d v="2024-10-18T00:00:00"/>
    <x v="1"/>
    <x v="1"/>
    <x v="2"/>
    <n v="642.49"/>
    <n v="374.39"/>
    <n v="10"/>
    <n v="6424.9"/>
    <n v="3743.8999999999996"/>
    <n v="2681"/>
    <n v="0.41728275926473568"/>
    <x v="17"/>
  </r>
  <r>
    <d v="2024-05-27T00:00:00"/>
    <x v="5"/>
    <x v="3"/>
    <x v="3"/>
    <n v="1389.17"/>
    <n v="850.55"/>
    <n v="10"/>
    <n v="13891.7"/>
    <n v="8505.5"/>
    <n v="5386.2000000000007"/>
    <n v="0.38772792386820909"/>
    <x v="3"/>
  </r>
  <r>
    <d v="2023-11-21T00:00:00"/>
    <x v="0"/>
    <x v="0"/>
    <x v="0"/>
    <n v="1357.49"/>
    <n v="737.86"/>
    <n v="1"/>
    <n v="1357.49"/>
    <n v="737.86"/>
    <n v="619.63"/>
    <n v="0.45645271788374131"/>
    <x v="10"/>
  </r>
  <r>
    <d v="2022-01-07T00:00:00"/>
    <x v="7"/>
    <x v="0"/>
    <x v="2"/>
    <n v="1214"/>
    <n v="717.36"/>
    <n v="8"/>
    <n v="9712"/>
    <n v="5738.88"/>
    <n v="3973.12"/>
    <n v="0.40909390444810545"/>
    <x v="9"/>
  </r>
  <r>
    <d v="2023-07-19T00:00:00"/>
    <x v="4"/>
    <x v="2"/>
    <x v="3"/>
    <n v="1713.72"/>
    <n v="916.37"/>
    <n v="1"/>
    <n v="1713.72"/>
    <n v="916.37"/>
    <n v="797.35"/>
    <n v="0.46527437387671267"/>
    <x v="11"/>
  </r>
  <r>
    <d v="2023-06-25T00:00:00"/>
    <x v="0"/>
    <x v="0"/>
    <x v="1"/>
    <n v="1209.01"/>
    <n v="852.65"/>
    <n v="7"/>
    <n v="8463.07"/>
    <n v="5968.55"/>
    <n v="2494.5199999999995"/>
    <n v="0.29475355869678493"/>
    <x v="0"/>
  </r>
  <r>
    <d v="2023-06-18T00:00:00"/>
    <x v="1"/>
    <x v="1"/>
    <x v="0"/>
    <n v="1090.8399999999999"/>
    <n v="618.66999999999996"/>
    <n v="9"/>
    <n v="9817.56"/>
    <n v="5568.03"/>
    <n v="4249.53"/>
    <n v="0.43284991382787574"/>
    <x v="0"/>
  </r>
  <r>
    <d v="2022-11-16T00:00:00"/>
    <x v="10"/>
    <x v="2"/>
    <x v="2"/>
    <n v="261.72000000000003"/>
    <n v="166.37"/>
    <n v="8"/>
    <n v="2093.7600000000002"/>
    <n v="1330.96"/>
    <n v="762.80000000000018"/>
    <n v="0.36432064802078562"/>
    <x v="1"/>
  </r>
  <r>
    <d v="2022-01-20T00:00:00"/>
    <x v="8"/>
    <x v="1"/>
    <x v="2"/>
    <n v="818.12"/>
    <n v="644.97"/>
    <n v="4"/>
    <n v="3272.48"/>
    <n v="2579.88"/>
    <n v="692.59999999999991"/>
    <n v="0.21164376864029724"/>
    <x v="9"/>
  </r>
  <r>
    <d v="2024-03-21T00:00:00"/>
    <x v="6"/>
    <x v="3"/>
    <x v="2"/>
    <n v="719.32"/>
    <n v="636.83000000000004"/>
    <n v="5"/>
    <n v="3596.6000000000004"/>
    <n v="3184.15"/>
    <n v="412.45000000000027"/>
    <n v="0.11467775120947568"/>
    <x v="29"/>
  </r>
  <r>
    <d v="2024-07-14T00:00:00"/>
    <x v="3"/>
    <x v="2"/>
    <x v="1"/>
    <n v="389.02"/>
    <n v="316.81"/>
    <n v="4"/>
    <n v="1556.08"/>
    <n v="1267.24"/>
    <n v="288.83999999999992"/>
    <n v="0.18562027659246308"/>
    <x v="28"/>
  </r>
  <r>
    <d v="2023-04-08T00:00:00"/>
    <x v="5"/>
    <x v="3"/>
    <x v="3"/>
    <n v="282.8"/>
    <n v="162.07"/>
    <n v="10"/>
    <n v="2828"/>
    <n v="1620.6999999999998"/>
    <n v="1207.3000000000002"/>
    <n v="0.42690947666195195"/>
    <x v="6"/>
  </r>
  <r>
    <d v="2024-09-10T00:00:00"/>
    <x v="4"/>
    <x v="2"/>
    <x v="3"/>
    <n v="106.03"/>
    <n v="89.35"/>
    <n v="6"/>
    <n v="636.18000000000006"/>
    <n v="536.09999999999991"/>
    <n v="100.08000000000015"/>
    <n v="0.15731396774497805"/>
    <x v="16"/>
  </r>
  <r>
    <d v="2024-07-06T00:00:00"/>
    <x v="1"/>
    <x v="1"/>
    <x v="0"/>
    <n v="126.14"/>
    <n v="105.7"/>
    <n v="1"/>
    <n v="126.14"/>
    <n v="105.7"/>
    <n v="20.439999999999998"/>
    <n v="0.16204217536071031"/>
    <x v="28"/>
  </r>
  <r>
    <d v="2024-01-03T00:00:00"/>
    <x v="10"/>
    <x v="2"/>
    <x v="2"/>
    <n v="1860.52"/>
    <n v="1040.75"/>
    <n v="3"/>
    <n v="5581.5599999999995"/>
    <n v="3122.25"/>
    <n v="2459.3099999999995"/>
    <n v="0.44061337690538122"/>
    <x v="26"/>
  </r>
  <r>
    <d v="2023-07-09T00:00:00"/>
    <x v="9"/>
    <x v="3"/>
    <x v="3"/>
    <n v="323.04000000000002"/>
    <n v="252.75"/>
    <n v="8"/>
    <n v="2584.3200000000002"/>
    <n v="2022"/>
    <n v="562.32000000000016"/>
    <n v="0.21758915304606247"/>
    <x v="11"/>
  </r>
  <r>
    <d v="2023-06-10T00:00:00"/>
    <x v="5"/>
    <x v="3"/>
    <x v="0"/>
    <n v="179.11"/>
    <n v="144.37"/>
    <n v="5"/>
    <n v="895.55000000000007"/>
    <n v="721.85"/>
    <n v="173.70000000000005"/>
    <n v="0.19395901959689579"/>
    <x v="0"/>
  </r>
  <r>
    <d v="2023-11-23T00:00:00"/>
    <x v="10"/>
    <x v="2"/>
    <x v="2"/>
    <n v="1336.2"/>
    <n v="993.08"/>
    <n v="6"/>
    <n v="8017.2000000000007"/>
    <n v="5958.4800000000005"/>
    <n v="2058.7200000000003"/>
    <n v="0.2567879060020955"/>
    <x v="10"/>
  </r>
  <r>
    <d v="2023-10-05T00:00:00"/>
    <x v="3"/>
    <x v="2"/>
    <x v="1"/>
    <n v="1623.67"/>
    <n v="921.39"/>
    <n v="5"/>
    <n v="8118.35"/>
    <n v="4606.95"/>
    <n v="3511.4000000000005"/>
    <n v="0.43252631384456208"/>
    <x v="5"/>
  </r>
  <r>
    <d v="2022-10-16T00:00:00"/>
    <x v="2"/>
    <x v="0"/>
    <x v="3"/>
    <n v="944.34"/>
    <n v="650.28"/>
    <n v="8"/>
    <n v="7554.72"/>
    <n v="5202.24"/>
    <n v="2352.4800000000005"/>
    <n v="0.31139208335980689"/>
    <x v="25"/>
  </r>
  <r>
    <d v="2024-03-14T00:00:00"/>
    <x v="1"/>
    <x v="1"/>
    <x v="1"/>
    <n v="1715.25"/>
    <n v="884.65"/>
    <n v="5"/>
    <n v="8576.25"/>
    <n v="4423.25"/>
    <n v="4153"/>
    <n v="0.48424427925958313"/>
    <x v="29"/>
  </r>
  <r>
    <d v="2023-01-13T00:00:00"/>
    <x v="3"/>
    <x v="2"/>
    <x v="1"/>
    <n v="1584.85"/>
    <n v="1090.44"/>
    <n v="8"/>
    <n v="12678.8"/>
    <n v="8723.52"/>
    <n v="3955.2799999999988"/>
    <n v="0.31196012240906074"/>
    <x v="13"/>
  </r>
  <r>
    <d v="2024-05-15T00:00:00"/>
    <x v="2"/>
    <x v="0"/>
    <x v="0"/>
    <n v="1216.45"/>
    <n v="627.49"/>
    <n v="8"/>
    <n v="9731.6"/>
    <n v="5019.92"/>
    <n v="4711.68"/>
    <n v="0.48416293312507708"/>
    <x v="3"/>
  </r>
  <r>
    <d v="2023-08-13T00:00:00"/>
    <x v="2"/>
    <x v="0"/>
    <x v="3"/>
    <n v="819.06"/>
    <n v="636.99"/>
    <n v="4"/>
    <n v="3276.24"/>
    <n v="2547.96"/>
    <n v="728.27999999999975"/>
    <n v="0.22229140722291402"/>
    <x v="14"/>
  </r>
  <r>
    <d v="2024-07-16T00:00:00"/>
    <x v="10"/>
    <x v="2"/>
    <x v="0"/>
    <n v="282.24"/>
    <n v="188.82"/>
    <n v="7"/>
    <n v="1975.68"/>
    <n v="1321.74"/>
    <n v="653.94000000000005"/>
    <n v="0.33099489795918369"/>
    <x v="28"/>
  </r>
  <r>
    <d v="2022-11-04T00:00:00"/>
    <x v="2"/>
    <x v="0"/>
    <x v="1"/>
    <n v="1593.55"/>
    <n v="1321.85"/>
    <n v="7"/>
    <n v="11154.85"/>
    <n v="9252.9499999999989"/>
    <n v="1901.9000000000015"/>
    <n v="0.1704998274293246"/>
    <x v="1"/>
  </r>
  <r>
    <d v="2022-04-08T00:00:00"/>
    <x v="9"/>
    <x v="3"/>
    <x v="3"/>
    <n v="1411.15"/>
    <n v="1106.3"/>
    <n v="2"/>
    <n v="2822.3"/>
    <n v="2212.6"/>
    <n v="609.70000000000027"/>
    <n v="0.21602947950253348"/>
    <x v="32"/>
  </r>
  <r>
    <d v="2022-10-06T00:00:00"/>
    <x v="3"/>
    <x v="2"/>
    <x v="1"/>
    <n v="906.52"/>
    <n v="534.05999999999995"/>
    <n v="4"/>
    <n v="3626.08"/>
    <n v="2136.2399999999998"/>
    <n v="1489.8400000000001"/>
    <n v="0.41086793451881926"/>
    <x v="25"/>
  </r>
  <r>
    <d v="2023-01-13T00:00:00"/>
    <x v="8"/>
    <x v="1"/>
    <x v="2"/>
    <n v="1802.32"/>
    <n v="1524.81"/>
    <n v="10"/>
    <n v="18023.2"/>
    <n v="15248.099999999999"/>
    <n v="2775.1000000000022"/>
    <n v="0.15397376714456934"/>
    <x v="13"/>
  </r>
  <r>
    <d v="2023-07-02T00:00:00"/>
    <x v="5"/>
    <x v="3"/>
    <x v="0"/>
    <n v="300.77999999999997"/>
    <n v="265.04000000000002"/>
    <n v="2"/>
    <n v="601.55999999999995"/>
    <n v="530.08000000000004"/>
    <n v="71.479999999999905"/>
    <n v="0.11882438991954238"/>
    <x v="11"/>
  </r>
  <r>
    <d v="2024-04-14T00:00:00"/>
    <x v="5"/>
    <x v="3"/>
    <x v="1"/>
    <n v="580.74"/>
    <n v="514.70000000000005"/>
    <n v="4"/>
    <n v="2322.96"/>
    <n v="2058.8000000000002"/>
    <n v="264.15999999999985"/>
    <n v="0.11371698178186446"/>
    <x v="22"/>
  </r>
  <r>
    <d v="2024-07-04T00:00:00"/>
    <x v="1"/>
    <x v="1"/>
    <x v="2"/>
    <n v="145.21"/>
    <n v="97.37"/>
    <n v="9"/>
    <n v="1306.8900000000001"/>
    <n v="876.33"/>
    <n v="430.56000000000006"/>
    <n v="0.32945389435989259"/>
    <x v="28"/>
  </r>
  <r>
    <d v="2024-06-27T00:00:00"/>
    <x v="3"/>
    <x v="2"/>
    <x v="3"/>
    <n v="419.18"/>
    <n v="300.61"/>
    <n v="5"/>
    <n v="2095.9"/>
    <n v="1503.0500000000002"/>
    <n v="592.84999999999991"/>
    <n v="0.28286177775657229"/>
    <x v="4"/>
  </r>
  <r>
    <d v="2024-01-03T00:00:00"/>
    <x v="2"/>
    <x v="0"/>
    <x v="2"/>
    <n v="185.29"/>
    <n v="156.85"/>
    <n v="3"/>
    <n v="555.87"/>
    <n v="470.54999999999995"/>
    <n v="85.32000000000005"/>
    <n v="0.15348912515516228"/>
    <x v="26"/>
  </r>
  <r>
    <d v="2023-07-20T00:00:00"/>
    <x v="6"/>
    <x v="3"/>
    <x v="2"/>
    <n v="301.11"/>
    <n v="159.72"/>
    <n v="1"/>
    <n v="301.11"/>
    <n v="159.72"/>
    <n v="141.39000000000001"/>
    <n v="0.46956261831224472"/>
    <x v="11"/>
  </r>
  <r>
    <d v="2023-10-29T00:00:00"/>
    <x v="0"/>
    <x v="0"/>
    <x v="0"/>
    <n v="1727.18"/>
    <n v="980.58"/>
    <n v="9"/>
    <n v="15544.62"/>
    <n v="8825.2200000000012"/>
    <n v="6719.4"/>
    <n v="0.43226531108512134"/>
    <x v="5"/>
  </r>
  <r>
    <d v="2022-11-02T00:00:00"/>
    <x v="4"/>
    <x v="2"/>
    <x v="0"/>
    <n v="128.46"/>
    <n v="112.87"/>
    <n v="3"/>
    <n v="385.38"/>
    <n v="338.61"/>
    <n v="46.769999999999982"/>
    <n v="0.12136073485910007"/>
    <x v="1"/>
  </r>
  <r>
    <d v="2023-07-22T00:00:00"/>
    <x v="10"/>
    <x v="2"/>
    <x v="2"/>
    <n v="1132.99"/>
    <n v="868.89"/>
    <n v="6"/>
    <n v="6797.9400000000005"/>
    <n v="5213.34"/>
    <n v="1584.6000000000004"/>
    <n v="0.23310002736123006"/>
    <x v="11"/>
  </r>
  <r>
    <d v="2024-12-22T00:00:00"/>
    <x v="0"/>
    <x v="0"/>
    <x v="3"/>
    <n v="759.87"/>
    <n v="623.99"/>
    <n v="1"/>
    <n v="759.87"/>
    <n v="623.99"/>
    <n v="135.88"/>
    <n v="0.17882006132627948"/>
    <x v="23"/>
  </r>
  <r>
    <d v="2022-11-05T00:00:00"/>
    <x v="7"/>
    <x v="0"/>
    <x v="0"/>
    <n v="1731.16"/>
    <n v="1221.73"/>
    <n v="5"/>
    <n v="8655.8000000000011"/>
    <n v="6108.65"/>
    <n v="2547.1500000000015"/>
    <n v="0.29427089350493324"/>
    <x v="1"/>
  </r>
  <r>
    <d v="2023-03-13T00:00:00"/>
    <x v="10"/>
    <x v="2"/>
    <x v="1"/>
    <n v="365.26"/>
    <n v="303.23"/>
    <n v="2"/>
    <n v="730.52"/>
    <n v="606.46"/>
    <n v="124.05999999999995"/>
    <n v="0.16982423479165518"/>
    <x v="19"/>
  </r>
  <r>
    <d v="2022-01-21T00:00:00"/>
    <x v="7"/>
    <x v="0"/>
    <x v="3"/>
    <n v="460.29"/>
    <n v="259.75"/>
    <n v="1"/>
    <n v="460.29"/>
    <n v="259.75"/>
    <n v="200.54000000000002"/>
    <n v="0.43568185274500859"/>
    <x v="9"/>
  </r>
  <r>
    <d v="2024-02-18T00:00:00"/>
    <x v="6"/>
    <x v="3"/>
    <x v="1"/>
    <n v="1047.94"/>
    <n v="533.63"/>
    <n v="9"/>
    <n v="9431.4600000000009"/>
    <n v="4802.67"/>
    <n v="4628.7900000000009"/>
    <n v="0.49078191499513335"/>
    <x v="34"/>
  </r>
  <r>
    <d v="2024-03-23T00:00:00"/>
    <x v="3"/>
    <x v="2"/>
    <x v="1"/>
    <n v="1150.8"/>
    <n v="589.42999999999995"/>
    <n v="3"/>
    <n v="3452.3999999999996"/>
    <n v="1768.29"/>
    <n v="1684.1099999999997"/>
    <n v="0.4878084810566562"/>
    <x v="29"/>
  </r>
  <r>
    <d v="2024-09-23T00:00:00"/>
    <x v="8"/>
    <x v="1"/>
    <x v="3"/>
    <n v="1683.53"/>
    <n v="1073.02"/>
    <n v="6"/>
    <n v="10101.18"/>
    <n v="6438.12"/>
    <n v="3663.0600000000004"/>
    <n v="0.36263684044834371"/>
    <x v="16"/>
  </r>
  <r>
    <d v="2024-01-19T00:00:00"/>
    <x v="2"/>
    <x v="0"/>
    <x v="2"/>
    <n v="273.76"/>
    <n v="188.88"/>
    <n v="10"/>
    <n v="2737.6"/>
    <n v="1888.8"/>
    <n v="848.8"/>
    <n v="0.31005260081823494"/>
    <x v="26"/>
  </r>
  <r>
    <d v="2022-11-16T00:00:00"/>
    <x v="10"/>
    <x v="2"/>
    <x v="2"/>
    <n v="324.77"/>
    <n v="264.38"/>
    <n v="2"/>
    <n v="649.54"/>
    <n v="528.76"/>
    <n v="120.77999999999997"/>
    <n v="0.18594697786125564"/>
    <x v="1"/>
  </r>
  <r>
    <d v="2024-03-30T00:00:00"/>
    <x v="8"/>
    <x v="1"/>
    <x v="0"/>
    <n v="658.93"/>
    <n v="586.75"/>
    <n v="1"/>
    <n v="658.93"/>
    <n v="586.75"/>
    <n v="72.17999999999995"/>
    <n v="0.1095412259268814"/>
    <x v="29"/>
  </r>
  <r>
    <d v="2022-09-18T00:00:00"/>
    <x v="3"/>
    <x v="2"/>
    <x v="0"/>
    <n v="1893.39"/>
    <n v="1595.58"/>
    <n v="1"/>
    <n v="1893.39"/>
    <n v="1595.58"/>
    <n v="297.81000000000017"/>
    <n v="0.15728930648202438"/>
    <x v="12"/>
  </r>
  <r>
    <d v="2022-07-16T00:00:00"/>
    <x v="4"/>
    <x v="2"/>
    <x v="1"/>
    <n v="746.07"/>
    <n v="600.58000000000004"/>
    <n v="2"/>
    <n v="1492.14"/>
    <n v="1201.1600000000001"/>
    <n v="290.98"/>
    <n v="0.19500851126569893"/>
    <x v="8"/>
  </r>
  <r>
    <d v="2024-10-28T00:00:00"/>
    <x v="3"/>
    <x v="2"/>
    <x v="0"/>
    <n v="726.76"/>
    <n v="532.94000000000005"/>
    <n v="5"/>
    <n v="3633.8"/>
    <n v="2664.7000000000003"/>
    <n v="969.09999999999991"/>
    <n v="0.26669051681435407"/>
    <x v="17"/>
  </r>
  <r>
    <d v="2024-09-15T00:00:00"/>
    <x v="4"/>
    <x v="2"/>
    <x v="1"/>
    <n v="221.25"/>
    <n v="182.17"/>
    <n v="10"/>
    <n v="2212.5"/>
    <n v="1821.6999999999998"/>
    <n v="390.80000000000018"/>
    <n v="0.17663276836158201"/>
    <x v="16"/>
  </r>
  <r>
    <d v="2023-05-09T00:00:00"/>
    <x v="9"/>
    <x v="3"/>
    <x v="0"/>
    <n v="1652.88"/>
    <n v="1416.11"/>
    <n v="4"/>
    <n v="6611.52"/>
    <n v="5664.44"/>
    <n v="947.08000000000084"/>
    <n v="0.14324693867673405"/>
    <x v="31"/>
  </r>
  <r>
    <d v="2022-10-23T00:00:00"/>
    <x v="7"/>
    <x v="0"/>
    <x v="2"/>
    <n v="217.68"/>
    <n v="162.09"/>
    <n v="2"/>
    <n v="435.36"/>
    <n v="324.18"/>
    <n v="111.18"/>
    <n v="0.25537486218302097"/>
    <x v="25"/>
  </r>
  <r>
    <d v="2024-08-23T00:00:00"/>
    <x v="8"/>
    <x v="1"/>
    <x v="2"/>
    <n v="1571.65"/>
    <n v="1088.1600000000001"/>
    <n v="6"/>
    <n v="9429.9000000000015"/>
    <n v="6528.9600000000009"/>
    <n v="2900.9400000000005"/>
    <n v="0.30763210638500937"/>
    <x v="21"/>
  </r>
  <r>
    <d v="2024-09-19T00:00:00"/>
    <x v="10"/>
    <x v="2"/>
    <x v="1"/>
    <n v="1502.22"/>
    <n v="950.67"/>
    <n v="7"/>
    <n v="10515.54"/>
    <n v="6654.69"/>
    <n v="3860.8500000000013"/>
    <n v="0.36715660821983476"/>
    <x v="16"/>
  </r>
  <r>
    <d v="2023-08-01T00:00:00"/>
    <x v="6"/>
    <x v="3"/>
    <x v="0"/>
    <n v="1290.7"/>
    <n v="906.34"/>
    <n v="5"/>
    <n v="6453.5"/>
    <n v="4531.7"/>
    <n v="1921.8000000000002"/>
    <n v="0.2977918958704579"/>
    <x v="14"/>
  </r>
  <r>
    <d v="2022-06-12T00:00:00"/>
    <x v="4"/>
    <x v="2"/>
    <x v="1"/>
    <n v="1875.95"/>
    <n v="1273.94"/>
    <n v="1"/>
    <n v="1875.95"/>
    <n v="1273.94"/>
    <n v="602.01"/>
    <n v="0.32090940590101014"/>
    <x v="18"/>
  </r>
  <r>
    <d v="2023-03-11T00:00:00"/>
    <x v="7"/>
    <x v="0"/>
    <x v="0"/>
    <n v="1728.05"/>
    <n v="1516.86"/>
    <n v="3"/>
    <n v="5184.1499999999996"/>
    <n v="4550.58"/>
    <n v="633.56999999999971"/>
    <n v="0.12221289893232251"/>
    <x v="19"/>
  </r>
  <r>
    <d v="2023-05-14T00:00:00"/>
    <x v="7"/>
    <x v="0"/>
    <x v="3"/>
    <n v="991.88"/>
    <n v="674.04"/>
    <n v="2"/>
    <n v="1983.76"/>
    <n v="1348.08"/>
    <n v="635.68000000000006"/>
    <n v="0.32044198895027626"/>
    <x v="31"/>
  </r>
  <r>
    <d v="2022-06-20T00:00:00"/>
    <x v="2"/>
    <x v="0"/>
    <x v="3"/>
    <n v="341.26"/>
    <n v="208.02"/>
    <n v="1"/>
    <n v="341.26"/>
    <n v="208.02"/>
    <n v="133.23999999999998"/>
    <n v="0.39043544511516143"/>
    <x v="18"/>
  </r>
  <r>
    <d v="2022-02-21T00:00:00"/>
    <x v="9"/>
    <x v="3"/>
    <x v="0"/>
    <n v="800.41"/>
    <n v="603.4"/>
    <n v="10"/>
    <n v="8004.0999999999995"/>
    <n v="6034"/>
    <n v="1970.0999999999995"/>
    <n v="0.24613635511800197"/>
    <x v="20"/>
  </r>
  <r>
    <d v="2023-05-12T00:00:00"/>
    <x v="10"/>
    <x v="2"/>
    <x v="0"/>
    <n v="729.96"/>
    <n v="579.04"/>
    <n v="4"/>
    <n v="2919.84"/>
    <n v="2316.16"/>
    <n v="603.68000000000029"/>
    <n v="0.20675105485232076"/>
    <x v="31"/>
  </r>
  <r>
    <d v="2024-09-14T00:00:00"/>
    <x v="2"/>
    <x v="0"/>
    <x v="2"/>
    <n v="1672.51"/>
    <n v="1385.09"/>
    <n v="6"/>
    <n v="10035.06"/>
    <n v="8310.5399999999991"/>
    <n v="1724.5200000000004"/>
    <n v="0.17184949566818739"/>
    <x v="16"/>
  </r>
  <r>
    <d v="2023-07-26T00:00:00"/>
    <x v="8"/>
    <x v="1"/>
    <x v="2"/>
    <n v="1592.55"/>
    <n v="1233.68"/>
    <n v="5"/>
    <n v="7962.75"/>
    <n v="6168.4000000000005"/>
    <n v="1794.3499999999995"/>
    <n v="0.22534300335939211"/>
    <x v="11"/>
  </r>
  <r>
    <d v="2022-09-08T00:00:00"/>
    <x v="4"/>
    <x v="2"/>
    <x v="2"/>
    <n v="1516.89"/>
    <n v="877.75"/>
    <n v="8"/>
    <n v="12135.12"/>
    <n v="7022"/>
    <n v="5113.1200000000008"/>
    <n v="0.4213489442214004"/>
    <x v="12"/>
  </r>
  <r>
    <d v="2022-03-18T00:00:00"/>
    <x v="4"/>
    <x v="2"/>
    <x v="1"/>
    <n v="1988.65"/>
    <n v="1570.94"/>
    <n v="4"/>
    <n v="7954.6"/>
    <n v="6283.76"/>
    <n v="1670.8400000000001"/>
    <n v="0.2100470168204561"/>
    <x v="7"/>
  </r>
  <r>
    <d v="2024-04-02T00:00:00"/>
    <x v="4"/>
    <x v="2"/>
    <x v="3"/>
    <n v="889.96"/>
    <n v="571.26"/>
    <n v="4"/>
    <n v="3559.84"/>
    <n v="2285.04"/>
    <n v="1274.8000000000002"/>
    <n v="0.358105982291339"/>
    <x v="22"/>
  </r>
  <r>
    <d v="2024-05-16T00:00:00"/>
    <x v="2"/>
    <x v="0"/>
    <x v="3"/>
    <n v="1171.43"/>
    <n v="730.16"/>
    <n v="6"/>
    <n v="7028.58"/>
    <n v="4380.96"/>
    <n v="2647.62"/>
    <n v="0.37669344305677677"/>
    <x v="3"/>
  </r>
  <r>
    <d v="2023-12-17T00:00:00"/>
    <x v="4"/>
    <x v="2"/>
    <x v="2"/>
    <n v="749.18"/>
    <n v="620.36"/>
    <n v="1"/>
    <n v="749.18"/>
    <n v="620.36"/>
    <n v="128.81999999999994"/>
    <n v="0.17194799647614717"/>
    <x v="30"/>
  </r>
  <r>
    <d v="2024-10-24T00:00:00"/>
    <x v="1"/>
    <x v="1"/>
    <x v="3"/>
    <n v="56.42"/>
    <n v="31.69"/>
    <n v="3"/>
    <n v="169.26"/>
    <n v="95.070000000000007"/>
    <n v="74.189999999999984"/>
    <n v="0.4383197447713576"/>
    <x v="17"/>
  </r>
  <r>
    <d v="2023-10-31T00:00:00"/>
    <x v="7"/>
    <x v="0"/>
    <x v="1"/>
    <n v="618.52"/>
    <n v="381.24"/>
    <n v="4"/>
    <n v="2474.08"/>
    <n v="1524.96"/>
    <n v="949.11999999999989"/>
    <n v="0.38362542844208752"/>
    <x v="5"/>
  </r>
  <r>
    <d v="2024-04-28T00:00:00"/>
    <x v="9"/>
    <x v="3"/>
    <x v="0"/>
    <n v="1040.3599999999999"/>
    <n v="856.7"/>
    <n v="6"/>
    <n v="6242.16"/>
    <n v="5140.2000000000007"/>
    <n v="1101.9599999999991"/>
    <n v="0.17653504556115177"/>
    <x v="22"/>
  </r>
  <r>
    <d v="2022-09-21T00:00:00"/>
    <x v="1"/>
    <x v="1"/>
    <x v="3"/>
    <n v="435.96"/>
    <n v="268.37"/>
    <n v="10"/>
    <n v="4359.5999999999995"/>
    <n v="2683.7"/>
    <n v="1675.8999999999996"/>
    <n v="0.38441600146802457"/>
    <x v="12"/>
  </r>
  <r>
    <d v="2022-07-06T00:00:00"/>
    <x v="5"/>
    <x v="3"/>
    <x v="2"/>
    <n v="529.19000000000005"/>
    <n v="423.51"/>
    <n v="5"/>
    <n v="2645.9500000000003"/>
    <n v="2117.5500000000002"/>
    <n v="528.40000000000009"/>
    <n v="0.19970143048810449"/>
    <x v="8"/>
  </r>
  <r>
    <d v="2024-02-24T00:00:00"/>
    <x v="7"/>
    <x v="0"/>
    <x v="0"/>
    <n v="338.65"/>
    <n v="286.99"/>
    <n v="5"/>
    <n v="1693.25"/>
    <n v="1434.95"/>
    <n v="258.29999999999995"/>
    <n v="0.15254687730695404"/>
    <x v="34"/>
  </r>
  <r>
    <d v="2024-02-18T00:00:00"/>
    <x v="6"/>
    <x v="3"/>
    <x v="0"/>
    <n v="1681.62"/>
    <n v="1387.63"/>
    <n v="9"/>
    <n v="15134.579999999998"/>
    <n v="12488.670000000002"/>
    <n v="2645.9099999999962"/>
    <n v="0.17482546591976761"/>
    <x v="34"/>
  </r>
  <r>
    <d v="2023-03-19T00:00:00"/>
    <x v="9"/>
    <x v="3"/>
    <x v="2"/>
    <n v="1918.5"/>
    <n v="1205.33"/>
    <n v="5"/>
    <n v="9592.5"/>
    <n v="6026.65"/>
    <n v="3565.8500000000004"/>
    <n v="0.37173312483711235"/>
    <x v="19"/>
  </r>
  <r>
    <d v="2022-07-07T00:00:00"/>
    <x v="8"/>
    <x v="1"/>
    <x v="3"/>
    <n v="900.03"/>
    <n v="712.9"/>
    <n v="7"/>
    <n v="6300.21"/>
    <n v="4990.3"/>
    <n v="1309.9099999999999"/>
    <n v="0.20791529171249845"/>
    <x v="8"/>
  </r>
  <r>
    <d v="2023-06-05T00:00:00"/>
    <x v="4"/>
    <x v="2"/>
    <x v="1"/>
    <n v="584.6"/>
    <n v="437.68"/>
    <n v="2"/>
    <n v="1169.2"/>
    <n v="875.36"/>
    <n v="293.84000000000003"/>
    <n v="0.25131713992473487"/>
    <x v="0"/>
  </r>
  <r>
    <d v="2023-05-16T00:00:00"/>
    <x v="6"/>
    <x v="3"/>
    <x v="2"/>
    <n v="1949.11"/>
    <n v="1523.1"/>
    <n v="9"/>
    <n v="17541.989999999998"/>
    <n v="13707.9"/>
    <n v="3834.0899999999983"/>
    <n v="0.21856642262365894"/>
    <x v="31"/>
  </r>
  <r>
    <d v="2022-03-04T00:00:00"/>
    <x v="5"/>
    <x v="3"/>
    <x v="0"/>
    <n v="1110.81"/>
    <n v="987.89"/>
    <n v="1"/>
    <n v="1110.81"/>
    <n v="987.89"/>
    <n v="122.91999999999996"/>
    <n v="0.11065798831483328"/>
    <x v="7"/>
  </r>
  <r>
    <d v="2024-06-21T00:00:00"/>
    <x v="1"/>
    <x v="1"/>
    <x v="1"/>
    <n v="163.18"/>
    <n v="134.86000000000001"/>
    <n v="8"/>
    <n v="1305.44"/>
    <n v="1078.8800000000001"/>
    <n v="226.55999999999995"/>
    <n v="0.17355068023042033"/>
    <x v="4"/>
  </r>
  <r>
    <d v="2023-03-04T00:00:00"/>
    <x v="8"/>
    <x v="1"/>
    <x v="0"/>
    <n v="1183.8"/>
    <n v="967.46"/>
    <n v="4"/>
    <n v="4735.2"/>
    <n v="3869.84"/>
    <n v="865.35999999999967"/>
    <n v="0.18275046460550762"/>
    <x v="19"/>
  </r>
  <r>
    <d v="2023-04-07T00:00:00"/>
    <x v="7"/>
    <x v="0"/>
    <x v="1"/>
    <n v="1496.14"/>
    <n v="831.01"/>
    <n v="9"/>
    <n v="13465.26"/>
    <n v="7479.09"/>
    <n v="5986.17"/>
    <n v="0.44456401138930851"/>
    <x v="6"/>
  </r>
  <r>
    <d v="2022-04-06T00:00:00"/>
    <x v="3"/>
    <x v="2"/>
    <x v="2"/>
    <n v="24.3"/>
    <n v="13.86"/>
    <n v="5"/>
    <n v="121.5"/>
    <n v="69.3"/>
    <n v="52.2"/>
    <n v="0.42962962962962964"/>
    <x v="32"/>
  </r>
  <r>
    <d v="2024-12-23T00:00:00"/>
    <x v="3"/>
    <x v="2"/>
    <x v="2"/>
    <n v="755.05"/>
    <n v="432.93"/>
    <n v="9"/>
    <n v="6795.45"/>
    <n v="3896.37"/>
    <n v="2899.08"/>
    <n v="0.42662075359247731"/>
    <x v="23"/>
  </r>
  <r>
    <d v="2022-10-07T00:00:00"/>
    <x v="2"/>
    <x v="0"/>
    <x v="0"/>
    <n v="466.3"/>
    <n v="280.55"/>
    <n v="5"/>
    <n v="2331.5"/>
    <n v="1402.75"/>
    <n v="928.75"/>
    <n v="0.39834870255200516"/>
    <x v="25"/>
  </r>
  <r>
    <d v="2024-11-03T00:00:00"/>
    <x v="7"/>
    <x v="0"/>
    <x v="2"/>
    <n v="1047.53"/>
    <n v="616.4"/>
    <n v="2"/>
    <n v="2095.06"/>
    <n v="1232.8"/>
    <n v="862.26"/>
    <n v="0.41156816511221639"/>
    <x v="2"/>
  </r>
  <r>
    <d v="2022-01-16T00:00:00"/>
    <x v="10"/>
    <x v="2"/>
    <x v="3"/>
    <n v="42.12"/>
    <n v="29.53"/>
    <n v="3"/>
    <n v="126.35999999999999"/>
    <n v="88.59"/>
    <n v="37.769999999999982"/>
    <n v="0.29890788224121545"/>
    <x v="9"/>
  </r>
  <r>
    <d v="2022-06-02T00:00:00"/>
    <x v="5"/>
    <x v="3"/>
    <x v="3"/>
    <n v="735.97"/>
    <n v="587.29"/>
    <n v="7"/>
    <n v="5151.79"/>
    <n v="4111.03"/>
    <n v="1040.7600000000002"/>
    <n v="0.20201910403956688"/>
    <x v="18"/>
  </r>
  <r>
    <d v="2024-08-17T00:00:00"/>
    <x v="8"/>
    <x v="1"/>
    <x v="1"/>
    <n v="1820.2"/>
    <n v="1022.25"/>
    <n v="1"/>
    <n v="1820.2"/>
    <n v="1022.25"/>
    <n v="797.95"/>
    <n v="0.43838589166025715"/>
    <x v="21"/>
  </r>
  <r>
    <d v="2022-10-18T00:00:00"/>
    <x v="4"/>
    <x v="2"/>
    <x v="1"/>
    <n v="1138.6199999999999"/>
    <n v="672.57"/>
    <n v="3"/>
    <n v="3415.8599999999997"/>
    <n v="2017.71"/>
    <n v="1398.1499999999996"/>
    <n v="0.40931127153923164"/>
    <x v="25"/>
  </r>
  <r>
    <d v="2022-02-08T00:00:00"/>
    <x v="10"/>
    <x v="2"/>
    <x v="1"/>
    <n v="1779.18"/>
    <n v="1118.03"/>
    <n v="3"/>
    <n v="5337.54"/>
    <n v="3354.09"/>
    <n v="1983.4499999999998"/>
    <n v="0.37160377252442134"/>
    <x v="20"/>
  </r>
  <r>
    <d v="2023-01-10T00:00:00"/>
    <x v="10"/>
    <x v="2"/>
    <x v="3"/>
    <n v="206.46"/>
    <n v="142.58000000000001"/>
    <n v="3"/>
    <n v="619.38"/>
    <n v="427.74"/>
    <n v="191.64"/>
    <n v="0.30940618037392231"/>
    <x v="13"/>
  </r>
  <r>
    <d v="2023-12-28T00:00:00"/>
    <x v="3"/>
    <x v="2"/>
    <x v="3"/>
    <n v="634.38"/>
    <n v="353.02"/>
    <n v="2"/>
    <n v="1268.76"/>
    <n v="706.04"/>
    <n v="562.72"/>
    <n v="0.44351965698792523"/>
    <x v="30"/>
  </r>
  <r>
    <d v="2022-01-31T00:00:00"/>
    <x v="4"/>
    <x v="2"/>
    <x v="1"/>
    <n v="1716.9"/>
    <n v="1369.13"/>
    <n v="10"/>
    <n v="17169"/>
    <n v="13691.300000000001"/>
    <n v="3477.6999999999989"/>
    <n v="0.2025569340089696"/>
    <x v="9"/>
  </r>
  <r>
    <d v="2022-12-11T00:00:00"/>
    <x v="9"/>
    <x v="3"/>
    <x v="1"/>
    <n v="1221.3"/>
    <n v="811.71"/>
    <n v="9"/>
    <n v="10991.699999999999"/>
    <n v="7305.39"/>
    <n v="3686.3099999999986"/>
    <n v="0.33537214443625635"/>
    <x v="33"/>
  </r>
  <r>
    <d v="2022-06-01T00:00:00"/>
    <x v="3"/>
    <x v="2"/>
    <x v="3"/>
    <n v="1090.42"/>
    <n v="669.64"/>
    <n v="4"/>
    <n v="4361.68"/>
    <n v="2678.56"/>
    <n v="1683.1200000000003"/>
    <n v="0.38588800645622795"/>
    <x v="18"/>
  </r>
  <r>
    <d v="2022-09-12T00:00:00"/>
    <x v="10"/>
    <x v="2"/>
    <x v="3"/>
    <n v="214.26"/>
    <n v="109.74"/>
    <n v="10"/>
    <n v="2142.6"/>
    <n v="1097.3999999999999"/>
    <n v="1045.2"/>
    <n v="0.48781853822458698"/>
    <x v="12"/>
  </r>
  <r>
    <d v="2024-11-25T00:00:00"/>
    <x v="4"/>
    <x v="2"/>
    <x v="1"/>
    <n v="1629.58"/>
    <n v="1376.68"/>
    <n v="1"/>
    <n v="1629.58"/>
    <n v="1376.68"/>
    <n v="252.89999999999986"/>
    <n v="0.15519336270695508"/>
    <x v="2"/>
  </r>
  <r>
    <d v="2022-11-24T00:00:00"/>
    <x v="7"/>
    <x v="0"/>
    <x v="1"/>
    <n v="587.65"/>
    <n v="434.94"/>
    <n v="7"/>
    <n v="4113.55"/>
    <n v="3044.58"/>
    <n v="1068.9700000000003"/>
    <n v="0.25986556623840729"/>
    <x v="1"/>
  </r>
  <r>
    <d v="2023-02-14T00:00:00"/>
    <x v="7"/>
    <x v="0"/>
    <x v="3"/>
    <n v="1916.32"/>
    <n v="1488.49"/>
    <n v="8"/>
    <n v="15330.56"/>
    <n v="11907.92"/>
    <n v="3422.6399999999994"/>
    <n v="0.22325603239542452"/>
    <x v="27"/>
  </r>
  <r>
    <d v="2024-04-30T00:00:00"/>
    <x v="2"/>
    <x v="0"/>
    <x v="3"/>
    <n v="499.73"/>
    <n v="278.55"/>
    <n v="1"/>
    <n v="499.73"/>
    <n v="278.55"/>
    <n v="221.18"/>
    <n v="0.44259900346186942"/>
    <x v="22"/>
  </r>
  <r>
    <d v="2024-05-29T00:00:00"/>
    <x v="8"/>
    <x v="1"/>
    <x v="0"/>
    <n v="865.6"/>
    <n v="574.04"/>
    <n v="5"/>
    <n v="4328"/>
    <n v="2870.2"/>
    <n v="1457.8000000000002"/>
    <n v="0.336829944547135"/>
    <x v="3"/>
  </r>
  <r>
    <d v="2024-05-23T00:00:00"/>
    <x v="0"/>
    <x v="0"/>
    <x v="3"/>
    <n v="784.81"/>
    <n v="408.26"/>
    <n v="6"/>
    <n v="4708.8599999999997"/>
    <n v="2449.56"/>
    <n v="2259.2999999999997"/>
    <n v="0.47979765803188029"/>
    <x v="3"/>
  </r>
  <r>
    <d v="2022-09-08T00:00:00"/>
    <x v="3"/>
    <x v="2"/>
    <x v="0"/>
    <n v="368.17"/>
    <n v="293.10000000000002"/>
    <n v="6"/>
    <n v="2209.02"/>
    <n v="1758.6000000000001"/>
    <n v="450.41999999999985"/>
    <n v="0.20390037211070966"/>
    <x v="12"/>
  </r>
  <r>
    <d v="2023-01-16T00:00:00"/>
    <x v="4"/>
    <x v="2"/>
    <x v="2"/>
    <n v="319.26"/>
    <n v="177.9"/>
    <n v="10"/>
    <n v="3192.6"/>
    <n v="1779"/>
    <n v="1413.6"/>
    <n v="0.44277391467769217"/>
    <x v="13"/>
  </r>
  <r>
    <d v="2022-06-01T00:00:00"/>
    <x v="2"/>
    <x v="0"/>
    <x v="2"/>
    <n v="747.65"/>
    <n v="428.31"/>
    <n v="4"/>
    <n v="2990.6"/>
    <n v="1713.24"/>
    <n v="1277.3599999999999"/>
    <n v="0.42712499164047346"/>
    <x v="18"/>
  </r>
  <r>
    <d v="2023-11-15T00:00:00"/>
    <x v="1"/>
    <x v="1"/>
    <x v="0"/>
    <n v="408.46"/>
    <n v="357.47"/>
    <n v="8"/>
    <n v="3267.68"/>
    <n v="2859.76"/>
    <n v="407.91999999999962"/>
    <n v="0.12483474514028291"/>
    <x v="10"/>
  </r>
  <r>
    <d v="2024-05-05T00:00:00"/>
    <x v="3"/>
    <x v="2"/>
    <x v="3"/>
    <n v="286.99"/>
    <n v="146.4"/>
    <n v="7"/>
    <n v="2008.93"/>
    <n v="1024.8"/>
    <n v="984.13000000000011"/>
    <n v="0.48987769608697174"/>
    <x v="3"/>
  </r>
  <r>
    <d v="2022-03-10T00:00:00"/>
    <x v="9"/>
    <x v="3"/>
    <x v="3"/>
    <n v="343.27"/>
    <n v="239.9"/>
    <n v="9"/>
    <n v="3089.43"/>
    <n v="2159.1"/>
    <n v="930.32999999999993"/>
    <n v="0.3011332187490896"/>
    <x v="7"/>
  </r>
  <r>
    <d v="2024-09-20T00:00:00"/>
    <x v="8"/>
    <x v="1"/>
    <x v="3"/>
    <n v="694.17"/>
    <n v="560.42999999999995"/>
    <n v="2"/>
    <n v="1388.34"/>
    <n v="1120.8599999999999"/>
    <n v="267.48"/>
    <n v="0.19266173991961627"/>
    <x v="16"/>
  </r>
  <r>
    <d v="2023-03-14T00:00:00"/>
    <x v="10"/>
    <x v="2"/>
    <x v="3"/>
    <n v="911.31"/>
    <n v="734.91"/>
    <n v="9"/>
    <n v="8201.7899999999991"/>
    <n v="6614.19"/>
    <n v="1587.5999999999995"/>
    <n v="0.19356750172828122"/>
    <x v="19"/>
  </r>
  <r>
    <d v="2023-06-18T00:00:00"/>
    <x v="9"/>
    <x v="3"/>
    <x v="3"/>
    <n v="1381.83"/>
    <n v="1062.1300000000001"/>
    <n v="2"/>
    <n v="2763.66"/>
    <n v="2124.2600000000002"/>
    <n v="639.39999999999964"/>
    <n v="0.23135986336958947"/>
    <x v="0"/>
  </r>
  <r>
    <d v="2023-09-11T00:00:00"/>
    <x v="7"/>
    <x v="0"/>
    <x v="2"/>
    <n v="1146.4100000000001"/>
    <n v="862.85"/>
    <n v="8"/>
    <n v="9171.2800000000007"/>
    <n v="6902.8"/>
    <n v="2268.4800000000005"/>
    <n v="0.24734606292687611"/>
    <x v="24"/>
  </r>
  <r>
    <d v="2022-07-30T00:00:00"/>
    <x v="7"/>
    <x v="0"/>
    <x v="2"/>
    <n v="592.58000000000004"/>
    <n v="297.25"/>
    <n v="2"/>
    <n v="1185.1600000000001"/>
    <n v="594.5"/>
    <n v="590.66000000000008"/>
    <n v="0.4983799655742685"/>
    <x v="8"/>
  </r>
  <r>
    <d v="2022-10-14T00:00:00"/>
    <x v="1"/>
    <x v="1"/>
    <x v="0"/>
    <n v="161.25"/>
    <n v="86.98"/>
    <n v="7"/>
    <n v="1128.75"/>
    <n v="608.86"/>
    <n v="519.89"/>
    <n v="0.46058914728682171"/>
    <x v="25"/>
  </r>
  <r>
    <d v="2024-05-17T00:00:00"/>
    <x v="4"/>
    <x v="2"/>
    <x v="0"/>
    <n v="484.34"/>
    <n v="376.76"/>
    <n v="6"/>
    <n v="2906.04"/>
    <n v="2260.56"/>
    <n v="645.48"/>
    <n v="0.22211669488375935"/>
    <x v="3"/>
  </r>
  <r>
    <d v="2022-01-13T00:00:00"/>
    <x v="1"/>
    <x v="1"/>
    <x v="1"/>
    <n v="1068.7"/>
    <n v="904.31"/>
    <n v="6"/>
    <n v="6412.2000000000007"/>
    <n v="5425.86"/>
    <n v="986.34000000000106"/>
    <n v="0.15382240104800241"/>
    <x v="9"/>
  </r>
  <r>
    <d v="2023-12-24T00:00:00"/>
    <x v="4"/>
    <x v="2"/>
    <x v="3"/>
    <n v="566.26"/>
    <n v="320.47000000000003"/>
    <n v="1"/>
    <n v="566.26"/>
    <n v="320.47000000000003"/>
    <n v="245.78999999999996"/>
    <n v="0.43405855967223533"/>
    <x v="30"/>
  </r>
  <r>
    <d v="2023-01-03T00:00:00"/>
    <x v="5"/>
    <x v="3"/>
    <x v="2"/>
    <n v="1496.95"/>
    <n v="1248.18"/>
    <n v="8"/>
    <n v="11975.6"/>
    <n v="9985.44"/>
    <n v="1990.1599999999999"/>
    <n v="0.16618457530311631"/>
    <x v="13"/>
  </r>
  <r>
    <d v="2023-03-15T00:00:00"/>
    <x v="5"/>
    <x v="3"/>
    <x v="3"/>
    <n v="1532.91"/>
    <n v="1320.54"/>
    <n v="9"/>
    <n v="13796.19"/>
    <n v="11884.86"/>
    <n v="1911.33"/>
    <n v="0.13854042311681702"/>
    <x v="19"/>
  </r>
  <r>
    <d v="2024-06-13T00:00:00"/>
    <x v="0"/>
    <x v="0"/>
    <x v="2"/>
    <n v="1469.32"/>
    <n v="1318.79"/>
    <n v="4"/>
    <n v="5877.28"/>
    <n v="5275.16"/>
    <n v="602.11999999999989"/>
    <n v="0.10244875180355537"/>
    <x v="4"/>
  </r>
  <r>
    <d v="2023-01-07T00:00:00"/>
    <x v="10"/>
    <x v="2"/>
    <x v="1"/>
    <n v="294.54000000000002"/>
    <n v="226.49"/>
    <n v="7"/>
    <n v="2061.7800000000002"/>
    <n v="1585.43"/>
    <n v="476.35000000000014"/>
    <n v="0.23103822910300811"/>
    <x v="13"/>
  </r>
  <r>
    <d v="2024-09-11T00:00:00"/>
    <x v="4"/>
    <x v="2"/>
    <x v="3"/>
    <n v="106.16"/>
    <n v="85.27"/>
    <n v="2"/>
    <n v="212.32"/>
    <n v="170.54"/>
    <n v="41.78"/>
    <n v="0.19677844762622457"/>
    <x v="16"/>
  </r>
  <r>
    <d v="2023-04-05T00:00:00"/>
    <x v="10"/>
    <x v="2"/>
    <x v="0"/>
    <n v="1454.79"/>
    <n v="867.58"/>
    <n v="4"/>
    <n v="5819.16"/>
    <n v="3470.32"/>
    <n v="2348.8399999999997"/>
    <n v="0.40363901319090723"/>
    <x v="6"/>
  </r>
  <r>
    <d v="2022-02-24T00:00:00"/>
    <x v="6"/>
    <x v="3"/>
    <x v="2"/>
    <n v="1206.07"/>
    <n v="968.84"/>
    <n v="2"/>
    <n v="2412.14"/>
    <n v="1937.68"/>
    <n v="474.45999999999981"/>
    <n v="0.19669670914623522"/>
    <x v="20"/>
  </r>
  <r>
    <d v="2024-11-12T00:00:00"/>
    <x v="2"/>
    <x v="0"/>
    <x v="0"/>
    <n v="1695.46"/>
    <n v="925.81"/>
    <n v="10"/>
    <n v="16954.599999999999"/>
    <n v="9258.0999999999985"/>
    <n v="7696.5"/>
    <n v="0.45394760124096117"/>
    <x v="2"/>
  </r>
  <r>
    <d v="2023-07-27T00:00:00"/>
    <x v="6"/>
    <x v="3"/>
    <x v="1"/>
    <n v="1496.32"/>
    <n v="1038.44"/>
    <n v="3"/>
    <n v="4488.96"/>
    <n v="3115.32"/>
    <n v="1373.6399999999999"/>
    <n v="0.30600406330196744"/>
    <x v="11"/>
  </r>
  <r>
    <d v="2022-06-11T00:00:00"/>
    <x v="6"/>
    <x v="3"/>
    <x v="0"/>
    <n v="1140.47"/>
    <n v="695.97"/>
    <n v="8"/>
    <n v="9123.76"/>
    <n v="5567.76"/>
    <n v="3556"/>
    <n v="0.38975159364121809"/>
    <x v="18"/>
  </r>
  <r>
    <d v="2023-08-30T00:00:00"/>
    <x v="4"/>
    <x v="2"/>
    <x v="2"/>
    <n v="177.82"/>
    <n v="90.77"/>
    <n v="2"/>
    <n v="355.64"/>
    <n v="181.54"/>
    <n v="174.1"/>
    <n v="0.48953998425373974"/>
    <x v="14"/>
  </r>
  <r>
    <d v="2022-08-30T00:00:00"/>
    <x v="5"/>
    <x v="3"/>
    <x v="3"/>
    <n v="1784.18"/>
    <n v="1408.01"/>
    <n v="8"/>
    <n v="14273.44"/>
    <n v="11264.08"/>
    <n v="3009.3600000000006"/>
    <n v="0.21083635059242906"/>
    <x v="15"/>
  </r>
  <r>
    <d v="2023-05-16T00:00:00"/>
    <x v="5"/>
    <x v="3"/>
    <x v="3"/>
    <n v="1085.52"/>
    <n v="957.77"/>
    <n v="4"/>
    <n v="4342.08"/>
    <n v="3831.08"/>
    <n v="511"/>
    <n v="0.11768553320067802"/>
    <x v="31"/>
  </r>
  <r>
    <d v="2023-11-30T00:00:00"/>
    <x v="1"/>
    <x v="1"/>
    <x v="0"/>
    <n v="971.11"/>
    <n v="593.25"/>
    <n v="5"/>
    <n v="4855.55"/>
    <n v="2966.25"/>
    <n v="1889.3000000000002"/>
    <n v="0.38910113169465871"/>
    <x v="10"/>
  </r>
  <r>
    <d v="2022-01-25T00:00:00"/>
    <x v="9"/>
    <x v="3"/>
    <x v="2"/>
    <n v="1530.16"/>
    <n v="939.21"/>
    <n v="9"/>
    <n v="13771.44"/>
    <n v="8452.89"/>
    <n v="5318.5500000000011"/>
    <n v="0.38620144298635445"/>
    <x v="9"/>
  </r>
  <r>
    <d v="2024-03-18T00:00:00"/>
    <x v="2"/>
    <x v="0"/>
    <x v="2"/>
    <n v="1034.54"/>
    <n v="697.34"/>
    <n v="3"/>
    <n v="3103.62"/>
    <n v="2092.02"/>
    <n v="1011.5999999999999"/>
    <n v="0.32594196454462854"/>
    <x v="29"/>
  </r>
  <r>
    <d v="2022-02-06T00:00:00"/>
    <x v="5"/>
    <x v="3"/>
    <x v="1"/>
    <n v="1260.3800000000001"/>
    <n v="1065.1300000000001"/>
    <n v="7"/>
    <n v="8822.66"/>
    <n v="7455.9100000000008"/>
    <n v="1366.7499999999991"/>
    <n v="0.15491359748647224"/>
    <x v="20"/>
  </r>
  <r>
    <d v="2022-10-16T00:00:00"/>
    <x v="0"/>
    <x v="0"/>
    <x v="2"/>
    <n v="1489.7"/>
    <n v="1149.78"/>
    <n v="1"/>
    <n v="1489.7"/>
    <n v="1149.78"/>
    <n v="339.92000000000007"/>
    <n v="0.22818017050412839"/>
    <x v="25"/>
  </r>
  <r>
    <d v="2024-05-03T00:00:00"/>
    <x v="7"/>
    <x v="0"/>
    <x v="3"/>
    <n v="1207.6600000000001"/>
    <n v="784.43"/>
    <n v="1"/>
    <n v="1207.6600000000001"/>
    <n v="784.43"/>
    <n v="423.23000000000013"/>
    <n v="0.35045459814848556"/>
    <x v="3"/>
  </r>
  <r>
    <d v="2022-09-23T00:00:00"/>
    <x v="9"/>
    <x v="3"/>
    <x v="0"/>
    <n v="130.35"/>
    <n v="69.97"/>
    <n v="5"/>
    <n v="651.75"/>
    <n v="349.85"/>
    <n v="301.89999999999998"/>
    <n v="0.46321442270809354"/>
    <x v="12"/>
  </r>
  <r>
    <d v="2022-10-11T00:00:00"/>
    <x v="7"/>
    <x v="0"/>
    <x v="0"/>
    <n v="752.12"/>
    <n v="645.78"/>
    <n v="2"/>
    <n v="1504.24"/>
    <n v="1291.56"/>
    <n v="212.68000000000006"/>
    <n v="0.1413870127107377"/>
    <x v="25"/>
  </r>
  <r>
    <d v="2022-01-27T00:00:00"/>
    <x v="2"/>
    <x v="0"/>
    <x v="2"/>
    <n v="675"/>
    <n v="372.06"/>
    <n v="10"/>
    <n v="6750"/>
    <n v="3720.6"/>
    <n v="3029.4"/>
    <n v="0.44880000000000003"/>
    <x v="9"/>
  </r>
  <r>
    <d v="2024-07-04T00:00:00"/>
    <x v="4"/>
    <x v="2"/>
    <x v="3"/>
    <n v="1796.2"/>
    <n v="922.61"/>
    <n v="8"/>
    <n v="14369.6"/>
    <n v="7380.88"/>
    <n v="6988.72"/>
    <n v="0.4863545262220243"/>
    <x v="28"/>
  </r>
  <r>
    <d v="2023-08-23T00:00:00"/>
    <x v="1"/>
    <x v="1"/>
    <x v="2"/>
    <n v="1024.6400000000001"/>
    <n v="800.57"/>
    <n v="2"/>
    <n v="2049.2800000000002"/>
    <n v="1601.14"/>
    <n v="448.1400000000001"/>
    <n v="0.2186816833229232"/>
    <x v="14"/>
  </r>
  <r>
    <d v="2022-02-24T00:00:00"/>
    <x v="3"/>
    <x v="2"/>
    <x v="2"/>
    <n v="1596.98"/>
    <n v="1198.51"/>
    <n v="6"/>
    <n v="9581.880000000001"/>
    <n v="7191.0599999999995"/>
    <n v="2390.8200000000015"/>
    <n v="0.24951470901326267"/>
    <x v="20"/>
  </r>
  <r>
    <d v="2022-08-10T00:00:00"/>
    <x v="9"/>
    <x v="3"/>
    <x v="2"/>
    <n v="668.23"/>
    <n v="439.21"/>
    <n v="5"/>
    <n v="3341.15"/>
    <n v="2196.0499999999997"/>
    <n v="1145.1000000000004"/>
    <n v="0.3427263068105294"/>
    <x v="15"/>
  </r>
  <r>
    <d v="2024-12-15T00:00:00"/>
    <x v="0"/>
    <x v="0"/>
    <x v="1"/>
    <n v="1947.78"/>
    <n v="1743.43"/>
    <n v="3"/>
    <n v="5843.34"/>
    <n v="5230.29"/>
    <n v="613.05000000000018"/>
    <n v="0.10491431270472028"/>
    <x v="23"/>
  </r>
  <r>
    <d v="2024-10-23T00:00:00"/>
    <x v="6"/>
    <x v="3"/>
    <x v="1"/>
    <n v="338.88"/>
    <n v="194.29"/>
    <n v="7"/>
    <n v="2372.16"/>
    <n v="1360.03"/>
    <n v="1012.1299999999999"/>
    <n v="0.4266702077431539"/>
    <x v="17"/>
  </r>
  <r>
    <d v="2023-03-09T00:00:00"/>
    <x v="3"/>
    <x v="2"/>
    <x v="3"/>
    <n v="427.68"/>
    <n v="337.91"/>
    <n v="6"/>
    <n v="2566.08"/>
    <n v="2027.46"/>
    <n v="538.61999999999989"/>
    <n v="0.20989992517770292"/>
    <x v="19"/>
  </r>
  <r>
    <d v="2023-12-11T00:00:00"/>
    <x v="3"/>
    <x v="2"/>
    <x v="2"/>
    <n v="520.38"/>
    <n v="349.48"/>
    <n v="10"/>
    <n v="5203.8"/>
    <n v="3494.8"/>
    <n v="1709"/>
    <n v="0.32841385141627272"/>
    <x v="30"/>
  </r>
  <r>
    <d v="2023-03-18T00:00:00"/>
    <x v="10"/>
    <x v="2"/>
    <x v="2"/>
    <n v="252.99"/>
    <n v="175.98"/>
    <n v="3"/>
    <n v="758.97"/>
    <n v="527.93999999999994"/>
    <n v="231.03000000000009"/>
    <n v="0.30439938337483707"/>
    <x v="19"/>
  </r>
  <r>
    <d v="2022-06-27T00:00:00"/>
    <x v="2"/>
    <x v="0"/>
    <x v="0"/>
    <n v="433.95"/>
    <n v="378.47"/>
    <n v="7"/>
    <n v="3037.65"/>
    <n v="2649.29"/>
    <n v="388.36000000000013"/>
    <n v="0.1278488305104275"/>
    <x v="18"/>
  </r>
  <r>
    <d v="2023-03-15T00:00:00"/>
    <x v="2"/>
    <x v="0"/>
    <x v="0"/>
    <n v="1486.1"/>
    <n v="1116.56"/>
    <n v="4"/>
    <n v="5944.4"/>
    <n v="4466.24"/>
    <n v="1478.1599999999999"/>
    <n v="0.24866428907879684"/>
    <x v="19"/>
  </r>
  <r>
    <d v="2024-02-28T00:00:00"/>
    <x v="1"/>
    <x v="1"/>
    <x v="1"/>
    <n v="276.31"/>
    <n v="218.52"/>
    <n v="9"/>
    <n v="2486.79"/>
    <n v="1966.68"/>
    <n v="520.1099999999999"/>
    <n v="0.20914914407730445"/>
    <x v="34"/>
  </r>
  <r>
    <d v="2023-10-28T00:00:00"/>
    <x v="6"/>
    <x v="3"/>
    <x v="1"/>
    <n v="965.11"/>
    <n v="861.25"/>
    <n v="4"/>
    <n v="3860.44"/>
    <n v="3445"/>
    <n v="415.44000000000005"/>
    <n v="0.10761467604728996"/>
    <x v="5"/>
  </r>
  <r>
    <d v="2024-07-26T00:00:00"/>
    <x v="7"/>
    <x v="0"/>
    <x v="0"/>
    <n v="907.31"/>
    <n v="751.94"/>
    <n v="10"/>
    <n v="9073.0999999999985"/>
    <n v="7519.4000000000005"/>
    <n v="1553.699999999998"/>
    <n v="0.17124246398695026"/>
    <x v="28"/>
  </r>
  <r>
    <d v="2022-04-06T00:00:00"/>
    <x v="7"/>
    <x v="0"/>
    <x v="1"/>
    <n v="1466.61"/>
    <n v="1221.97"/>
    <n v="8"/>
    <n v="11732.88"/>
    <n v="9775.76"/>
    <n v="1957.119999999999"/>
    <n v="0.16680644479445789"/>
    <x v="32"/>
  </r>
  <r>
    <d v="2022-09-20T00:00:00"/>
    <x v="1"/>
    <x v="1"/>
    <x v="2"/>
    <n v="1682.31"/>
    <n v="954.39"/>
    <n v="8"/>
    <n v="13458.48"/>
    <n v="7635.12"/>
    <n v="5823.36"/>
    <n v="0.43269076448454802"/>
    <x v="12"/>
  </r>
  <r>
    <d v="2023-02-25T00:00:00"/>
    <x v="4"/>
    <x v="2"/>
    <x v="2"/>
    <n v="987.95"/>
    <n v="880.32"/>
    <n v="6"/>
    <n v="5927.7000000000007"/>
    <n v="5281.92"/>
    <n v="645.78000000000065"/>
    <n v="0.10894276026114692"/>
    <x v="27"/>
  </r>
  <r>
    <d v="2023-02-18T00:00:00"/>
    <x v="0"/>
    <x v="0"/>
    <x v="2"/>
    <n v="163.65"/>
    <n v="118.77"/>
    <n v="4"/>
    <n v="654.6"/>
    <n v="475.08"/>
    <n v="179.52000000000004"/>
    <n v="0.27424381301558209"/>
    <x v="27"/>
  </r>
  <r>
    <d v="2022-07-20T00:00:00"/>
    <x v="8"/>
    <x v="1"/>
    <x v="3"/>
    <n v="731.2"/>
    <n v="480.64"/>
    <n v="4"/>
    <n v="2924.8"/>
    <n v="1922.56"/>
    <n v="1002.2400000000002"/>
    <n v="0.34266958424507665"/>
    <x v="8"/>
  </r>
  <r>
    <d v="2022-06-03T00:00:00"/>
    <x v="1"/>
    <x v="1"/>
    <x v="3"/>
    <n v="1826.14"/>
    <n v="1248.1199999999999"/>
    <n v="7"/>
    <n v="12782.980000000001"/>
    <n v="8736.84"/>
    <n v="4046.1400000000012"/>
    <n v="0.31652556759065575"/>
    <x v="18"/>
  </r>
  <r>
    <d v="2023-06-28T00:00:00"/>
    <x v="1"/>
    <x v="1"/>
    <x v="0"/>
    <n v="51.97"/>
    <n v="28.47"/>
    <n v="5"/>
    <n v="259.85000000000002"/>
    <n v="142.35"/>
    <n v="117.50000000000003"/>
    <n v="0.45218395228016173"/>
    <x v="0"/>
  </r>
  <r>
    <d v="2023-07-06T00:00:00"/>
    <x v="1"/>
    <x v="1"/>
    <x v="0"/>
    <n v="1358.21"/>
    <n v="710.67"/>
    <n v="3"/>
    <n v="4074.63"/>
    <n v="2132.0099999999998"/>
    <n v="1942.6200000000003"/>
    <n v="0.47675985304187135"/>
    <x v="11"/>
  </r>
  <r>
    <d v="2022-12-13T00:00:00"/>
    <x v="6"/>
    <x v="3"/>
    <x v="2"/>
    <n v="846.77"/>
    <n v="454.55"/>
    <n v="5"/>
    <n v="4233.8500000000004"/>
    <n v="2272.75"/>
    <n v="1961.1000000000004"/>
    <n v="0.46319543677740121"/>
    <x v="33"/>
  </r>
  <r>
    <d v="2024-07-12T00:00:00"/>
    <x v="8"/>
    <x v="1"/>
    <x v="1"/>
    <n v="1462.04"/>
    <n v="1173.08"/>
    <n v="7"/>
    <n v="10234.279999999999"/>
    <n v="8211.56"/>
    <n v="2022.7199999999993"/>
    <n v="0.19764165139120676"/>
    <x v="28"/>
  </r>
  <r>
    <d v="2024-01-13T00:00:00"/>
    <x v="1"/>
    <x v="1"/>
    <x v="0"/>
    <n v="995.72"/>
    <n v="742.77"/>
    <n v="1"/>
    <n v="995.72"/>
    <n v="742.77"/>
    <n v="252.95000000000005"/>
    <n v="0.25403727955650185"/>
    <x v="26"/>
  </r>
  <r>
    <d v="2023-11-30T00:00:00"/>
    <x v="9"/>
    <x v="3"/>
    <x v="0"/>
    <n v="822.43"/>
    <n v="710.87"/>
    <n v="2"/>
    <n v="1644.86"/>
    <n v="1421.74"/>
    <n v="223.11999999999989"/>
    <n v="0.13564680276740873"/>
    <x v="10"/>
  </r>
  <r>
    <d v="2022-07-24T00:00:00"/>
    <x v="3"/>
    <x v="2"/>
    <x v="3"/>
    <n v="760.25"/>
    <n v="403.47"/>
    <n v="3"/>
    <n v="2280.75"/>
    <n v="1210.4100000000001"/>
    <n v="1070.3399999999999"/>
    <n v="0.46929299572509037"/>
    <x v="8"/>
  </r>
  <r>
    <d v="2024-12-28T00:00:00"/>
    <x v="7"/>
    <x v="0"/>
    <x v="0"/>
    <n v="307.27"/>
    <n v="231.69"/>
    <n v="6"/>
    <n v="1843.62"/>
    <n v="1390.1399999999999"/>
    <n v="453.48"/>
    <n v="0.2459725973899177"/>
    <x v="23"/>
  </r>
  <r>
    <d v="2023-02-07T00:00:00"/>
    <x v="5"/>
    <x v="3"/>
    <x v="3"/>
    <n v="1324.18"/>
    <n v="855.61"/>
    <n v="6"/>
    <n v="7945.08"/>
    <n v="5133.66"/>
    <n v="2811.42"/>
    <n v="0.35385672642692084"/>
    <x v="27"/>
  </r>
  <r>
    <d v="2023-12-12T00:00:00"/>
    <x v="1"/>
    <x v="1"/>
    <x v="1"/>
    <n v="588.52"/>
    <n v="419.61"/>
    <n v="10"/>
    <n v="5885.2"/>
    <n v="4196.1000000000004"/>
    <n v="1689.0999999999995"/>
    <n v="0.2870080880853666"/>
    <x v="30"/>
  </r>
  <r>
    <d v="2022-02-24T00:00:00"/>
    <x v="0"/>
    <x v="0"/>
    <x v="3"/>
    <n v="871.36"/>
    <n v="755.04"/>
    <n v="7"/>
    <n v="6099.52"/>
    <n v="5285.28"/>
    <n v="814.24000000000069"/>
    <n v="0.13349247153874413"/>
    <x v="20"/>
  </r>
  <r>
    <d v="2022-05-18T00:00:00"/>
    <x v="6"/>
    <x v="3"/>
    <x v="2"/>
    <n v="1443.07"/>
    <n v="1225.3900000000001"/>
    <n v="8"/>
    <n v="11544.56"/>
    <n v="9803.1200000000008"/>
    <n v="1741.4399999999987"/>
    <n v="0.15084507335056502"/>
    <x v="35"/>
  </r>
  <r>
    <d v="2024-02-28T00:00:00"/>
    <x v="1"/>
    <x v="1"/>
    <x v="2"/>
    <n v="965.97"/>
    <n v="495.64"/>
    <n v="6"/>
    <n v="5795.82"/>
    <n v="2973.84"/>
    <n v="2821.9799999999996"/>
    <n v="0.48689917906353192"/>
    <x v="34"/>
  </r>
  <r>
    <d v="2024-06-04T00:00:00"/>
    <x v="0"/>
    <x v="0"/>
    <x v="1"/>
    <n v="852.26"/>
    <n v="507.09"/>
    <n v="8"/>
    <n v="6818.08"/>
    <n v="4056.72"/>
    <n v="2761.36"/>
    <n v="0.4050055147490203"/>
    <x v="4"/>
  </r>
  <r>
    <d v="2022-05-04T00:00:00"/>
    <x v="6"/>
    <x v="3"/>
    <x v="1"/>
    <n v="246.74"/>
    <n v="179"/>
    <n v="8"/>
    <n v="1973.92"/>
    <n v="1432"/>
    <n v="541.92000000000007"/>
    <n v="0.27454000162113967"/>
    <x v="35"/>
  </r>
  <r>
    <d v="2023-09-29T00:00:00"/>
    <x v="4"/>
    <x v="2"/>
    <x v="3"/>
    <n v="1293.92"/>
    <n v="779.84"/>
    <n v="8"/>
    <n v="10351.36"/>
    <n v="6238.72"/>
    <n v="4112.6400000000003"/>
    <n v="0.3973043155681959"/>
    <x v="24"/>
  </r>
  <r>
    <d v="2022-03-17T00:00:00"/>
    <x v="4"/>
    <x v="2"/>
    <x v="0"/>
    <n v="1972.4"/>
    <n v="1625.21"/>
    <n v="9"/>
    <n v="17751.600000000002"/>
    <n v="14626.89"/>
    <n v="3124.7100000000028"/>
    <n v="0.17602413303589548"/>
    <x v="7"/>
  </r>
  <r>
    <d v="2022-05-08T00:00:00"/>
    <x v="3"/>
    <x v="2"/>
    <x v="2"/>
    <n v="1242.53"/>
    <n v="1097.19"/>
    <n v="4"/>
    <n v="4970.12"/>
    <n v="4388.76"/>
    <n v="581.35999999999967"/>
    <n v="0.11697101880839893"/>
    <x v="35"/>
  </r>
  <r>
    <d v="2024-05-05T00:00:00"/>
    <x v="2"/>
    <x v="0"/>
    <x v="2"/>
    <n v="1336.69"/>
    <n v="836.4"/>
    <n v="2"/>
    <n v="2673.38"/>
    <n v="1672.8"/>
    <n v="1000.5800000000002"/>
    <n v="0.37427526202784495"/>
    <x v="3"/>
  </r>
  <r>
    <d v="2024-01-12T00:00:00"/>
    <x v="1"/>
    <x v="1"/>
    <x v="0"/>
    <n v="915.29"/>
    <n v="783.63"/>
    <n v="3"/>
    <n v="2745.87"/>
    <n v="2350.89"/>
    <n v="394.98"/>
    <n v="0.14384512012586176"/>
    <x v="26"/>
  </r>
  <r>
    <d v="2023-12-16T00:00:00"/>
    <x v="10"/>
    <x v="2"/>
    <x v="3"/>
    <n v="1420.18"/>
    <n v="1233.54"/>
    <n v="10"/>
    <n v="14201.800000000001"/>
    <n v="12335.4"/>
    <n v="1866.4000000000015"/>
    <n v="0.13141996085003319"/>
    <x v="30"/>
  </r>
  <r>
    <d v="2024-06-30T00:00:00"/>
    <x v="2"/>
    <x v="0"/>
    <x v="2"/>
    <n v="425.55"/>
    <n v="251.17"/>
    <n v="5"/>
    <n v="2127.75"/>
    <n v="1255.8499999999999"/>
    <n v="871.90000000000009"/>
    <n v="0.40977558453765717"/>
    <x v="4"/>
  </r>
  <r>
    <d v="2023-09-01T00:00:00"/>
    <x v="9"/>
    <x v="3"/>
    <x v="2"/>
    <n v="1939.67"/>
    <n v="1227.03"/>
    <n v="5"/>
    <n v="9698.35"/>
    <n v="6135.15"/>
    <n v="3563.2000000000007"/>
    <n v="0.36740270252156298"/>
    <x v="24"/>
  </r>
  <r>
    <d v="2022-03-09T00:00:00"/>
    <x v="5"/>
    <x v="3"/>
    <x v="2"/>
    <n v="1644.55"/>
    <n v="842.1"/>
    <n v="1"/>
    <n v="1644.55"/>
    <n v="842.1"/>
    <n v="802.44999999999993"/>
    <n v="0.48794503055547106"/>
    <x v="7"/>
  </r>
  <r>
    <d v="2024-09-16T00:00:00"/>
    <x v="8"/>
    <x v="1"/>
    <x v="3"/>
    <n v="1607.75"/>
    <n v="1028.1099999999999"/>
    <n v="4"/>
    <n v="6431"/>
    <n v="4112.4399999999996"/>
    <n v="2318.5600000000004"/>
    <n v="0.36052868916187225"/>
    <x v="16"/>
  </r>
  <r>
    <d v="2024-03-22T00:00:00"/>
    <x v="0"/>
    <x v="0"/>
    <x v="1"/>
    <n v="820.32"/>
    <n v="624.67999999999995"/>
    <n v="2"/>
    <n v="1640.64"/>
    <n v="1249.3599999999999"/>
    <n v="391.2800000000002"/>
    <n v="0.23849229568948713"/>
    <x v="29"/>
  </r>
  <r>
    <d v="2024-11-27T00:00:00"/>
    <x v="4"/>
    <x v="2"/>
    <x v="1"/>
    <n v="1003.13"/>
    <n v="677.14"/>
    <n v="8"/>
    <n v="8025.04"/>
    <n v="5417.12"/>
    <n v="2607.92"/>
    <n v="0.32497283502636748"/>
    <x v="2"/>
  </r>
  <r>
    <d v="2022-08-23T00:00:00"/>
    <x v="1"/>
    <x v="1"/>
    <x v="1"/>
    <n v="693.66"/>
    <n v="377.3"/>
    <n v="8"/>
    <n v="5549.28"/>
    <n v="3018.4"/>
    <n v="2530.8799999999997"/>
    <n v="0.45607358071677762"/>
    <x v="15"/>
  </r>
  <r>
    <d v="2022-12-25T00:00:00"/>
    <x v="7"/>
    <x v="0"/>
    <x v="2"/>
    <n v="620.11"/>
    <n v="426.82"/>
    <n v="8"/>
    <n v="4960.88"/>
    <n v="3414.56"/>
    <n v="1546.3200000000002"/>
    <n v="0.31170276241312028"/>
    <x v="33"/>
  </r>
  <r>
    <d v="2022-09-23T00:00:00"/>
    <x v="0"/>
    <x v="0"/>
    <x v="3"/>
    <n v="1358.57"/>
    <n v="988.35"/>
    <n v="7"/>
    <n v="9509.99"/>
    <n v="6918.45"/>
    <n v="2591.54"/>
    <n v="0.27250712145859252"/>
    <x v="12"/>
  </r>
  <r>
    <d v="2024-03-05T00:00:00"/>
    <x v="5"/>
    <x v="3"/>
    <x v="3"/>
    <n v="313.77999999999997"/>
    <n v="170.74"/>
    <n v="1"/>
    <n v="313.77999999999997"/>
    <n v="170.74"/>
    <n v="143.03999999999996"/>
    <n v="0.45586079418700992"/>
    <x v="29"/>
  </r>
  <r>
    <d v="2024-07-31T00:00:00"/>
    <x v="1"/>
    <x v="1"/>
    <x v="3"/>
    <n v="1359.16"/>
    <n v="843.62"/>
    <n v="3"/>
    <n v="4077.4800000000005"/>
    <n v="2530.86"/>
    <n v="1546.6200000000003"/>
    <n v="0.37930780776361872"/>
    <x v="28"/>
  </r>
  <r>
    <d v="2022-06-03T00:00:00"/>
    <x v="6"/>
    <x v="3"/>
    <x v="2"/>
    <n v="854.03"/>
    <n v="430.86"/>
    <n v="7"/>
    <n v="5978.21"/>
    <n v="3016.02"/>
    <n v="2962.19"/>
    <n v="0.49549781623596362"/>
    <x v="18"/>
  </r>
  <r>
    <d v="2023-06-08T00:00:00"/>
    <x v="9"/>
    <x v="3"/>
    <x v="0"/>
    <n v="1259.3699999999999"/>
    <n v="743.35"/>
    <n v="10"/>
    <n v="12593.699999999999"/>
    <n v="7433.5"/>
    <n v="5160.1999999999989"/>
    <n v="0.40974455481709104"/>
    <x v="0"/>
  </r>
  <r>
    <d v="2024-11-12T00:00:00"/>
    <x v="1"/>
    <x v="1"/>
    <x v="1"/>
    <n v="1940.3"/>
    <n v="1400.23"/>
    <n v="1"/>
    <n v="1940.3"/>
    <n v="1400.23"/>
    <n v="540.06999999999994"/>
    <n v="0.2783435551203422"/>
    <x v="2"/>
  </r>
  <r>
    <d v="2023-02-14T00:00:00"/>
    <x v="3"/>
    <x v="2"/>
    <x v="0"/>
    <n v="1010.33"/>
    <n v="768.58"/>
    <n v="7"/>
    <n v="7072.31"/>
    <n v="5380.06"/>
    <n v="1692.25"/>
    <n v="0.23927825561945107"/>
    <x v="27"/>
  </r>
  <r>
    <d v="2022-03-27T00:00:00"/>
    <x v="3"/>
    <x v="2"/>
    <x v="0"/>
    <n v="592.79"/>
    <n v="523.72"/>
    <n v="1"/>
    <n v="592.79"/>
    <n v="523.72"/>
    <n v="69.069999999999936"/>
    <n v="0.1165168103375562"/>
    <x v="7"/>
  </r>
  <r>
    <d v="2022-12-17T00:00:00"/>
    <x v="0"/>
    <x v="0"/>
    <x v="0"/>
    <n v="1841.83"/>
    <n v="1254.22"/>
    <n v="3"/>
    <n v="5525.49"/>
    <n v="3762.66"/>
    <n v="1762.83"/>
    <n v="0.31903595880184382"/>
    <x v="33"/>
  </r>
  <r>
    <d v="2024-01-18T00:00:00"/>
    <x v="6"/>
    <x v="3"/>
    <x v="2"/>
    <n v="762.08"/>
    <n v="441.99"/>
    <n v="2"/>
    <n v="1524.16"/>
    <n v="883.98"/>
    <n v="640.18000000000006"/>
    <n v="0.42002152005038845"/>
    <x v="26"/>
  </r>
  <r>
    <d v="2024-03-11T00:00:00"/>
    <x v="9"/>
    <x v="3"/>
    <x v="1"/>
    <n v="475.95"/>
    <n v="274.48"/>
    <n v="9"/>
    <n v="4283.55"/>
    <n v="2470.3200000000002"/>
    <n v="1813.23"/>
    <n v="0.42330076688727808"/>
    <x v="29"/>
  </r>
  <r>
    <d v="2022-07-22T00:00:00"/>
    <x v="5"/>
    <x v="3"/>
    <x v="3"/>
    <n v="1146.5899999999999"/>
    <n v="611.12"/>
    <n v="1"/>
    <n v="1146.5899999999999"/>
    <n v="611.12"/>
    <n v="535.46999999999991"/>
    <n v="0.46701087572715616"/>
    <x v="8"/>
  </r>
  <r>
    <d v="2022-04-22T00:00:00"/>
    <x v="3"/>
    <x v="2"/>
    <x v="1"/>
    <n v="514.72"/>
    <n v="379.27"/>
    <n v="8"/>
    <n v="4117.76"/>
    <n v="3034.16"/>
    <n v="1083.6000000000004"/>
    <n v="0.26315278209511977"/>
    <x v="32"/>
  </r>
  <r>
    <d v="2023-10-20T00:00:00"/>
    <x v="3"/>
    <x v="2"/>
    <x v="2"/>
    <n v="1651.38"/>
    <n v="988.45"/>
    <n v="5"/>
    <n v="8256.9000000000015"/>
    <n v="4942.25"/>
    <n v="3314.6500000000015"/>
    <n v="0.40144000775109312"/>
    <x v="5"/>
  </r>
  <r>
    <d v="2024-03-20T00:00:00"/>
    <x v="7"/>
    <x v="0"/>
    <x v="3"/>
    <n v="1316.2"/>
    <n v="925.85"/>
    <n v="6"/>
    <n v="7897.2000000000007"/>
    <n v="5555.1"/>
    <n v="2342.1000000000004"/>
    <n v="0.29657346907764781"/>
    <x v="29"/>
  </r>
  <r>
    <d v="2024-08-13T00:00:00"/>
    <x v="7"/>
    <x v="0"/>
    <x v="3"/>
    <n v="1557.23"/>
    <n v="1179.8599999999999"/>
    <n v="3"/>
    <n v="4671.6900000000005"/>
    <n v="3539.58"/>
    <n v="1132.1100000000006"/>
    <n v="0.24233414460291683"/>
    <x v="21"/>
  </r>
  <r>
    <d v="2024-11-10T00:00:00"/>
    <x v="8"/>
    <x v="1"/>
    <x v="2"/>
    <n v="1863.15"/>
    <n v="1627.7"/>
    <n v="2"/>
    <n v="3726.3"/>
    <n v="3255.4"/>
    <n v="470.90000000000009"/>
    <n v="0.12637200440114862"/>
    <x v="2"/>
  </r>
  <r>
    <d v="2023-04-10T00:00:00"/>
    <x v="3"/>
    <x v="2"/>
    <x v="1"/>
    <n v="533.53"/>
    <n v="317.35000000000002"/>
    <n v="2"/>
    <n v="1067.06"/>
    <n v="634.70000000000005"/>
    <n v="432.3599999999999"/>
    <n v="0.40518808689295815"/>
    <x v="6"/>
  </r>
  <r>
    <d v="2022-11-11T00:00:00"/>
    <x v="5"/>
    <x v="3"/>
    <x v="3"/>
    <n v="1441.05"/>
    <n v="1096.51"/>
    <n v="10"/>
    <n v="14410.5"/>
    <n v="10965.1"/>
    <n v="3445.3999999999996"/>
    <n v="0.23908955275667046"/>
    <x v="1"/>
  </r>
  <r>
    <d v="2023-07-28T00:00:00"/>
    <x v="2"/>
    <x v="0"/>
    <x v="2"/>
    <n v="1185.33"/>
    <n v="716.09"/>
    <n v="8"/>
    <n v="9482.64"/>
    <n v="5728.72"/>
    <n v="3753.9199999999992"/>
    <n v="0.3958728792825626"/>
    <x v="11"/>
  </r>
  <r>
    <d v="2024-11-24T00:00:00"/>
    <x v="0"/>
    <x v="0"/>
    <x v="1"/>
    <n v="172.6"/>
    <n v="132.18"/>
    <n v="6"/>
    <n v="1035.5999999999999"/>
    <n v="793.08"/>
    <n v="242.51999999999987"/>
    <n v="0.23418308227114706"/>
    <x v="2"/>
  </r>
  <r>
    <d v="2023-03-31T00:00:00"/>
    <x v="8"/>
    <x v="1"/>
    <x v="3"/>
    <n v="316.64999999999998"/>
    <n v="185.55"/>
    <n v="7"/>
    <n v="2216.5499999999997"/>
    <n v="1298.8500000000001"/>
    <n v="917.69999999999959"/>
    <n v="0.41402179062055883"/>
    <x v="19"/>
  </r>
  <r>
    <d v="2022-04-26T00:00:00"/>
    <x v="7"/>
    <x v="0"/>
    <x v="0"/>
    <n v="1546.31"/>
    <n v="1258.6099999999999"/>
    <n v="6"/>
    <n v="9277.86"/>
    <n v="7551.66"/>
    <n v="1726.2000000000007"/>
    <n v="0.1860558361518713"/>
    <x v="32"/>
  </r>
  <r>
    <d v="2022-08-16T00:00:00"/>
    <x v="4"/>
    <x v="2"/>
    <x v="2"/>
    <n v="1678.38"/>
    <n v="1022.49"/>
    <n v="10"/>
    <n v="16783.800000000003"/>
    <n v="10224.9"/>
    <n v="6558.9000000000033"/>
    <n v="0.39078754513280678"/>
    <x v="15"/>
  </r>
  <r>
    <d v="2023-07-24T00:00:00"/>
    <x v="10"/>
    <x v="2"/>
    <x v="3"/>
    <n v="1583.36"/>
    <n v="1147.06"/>
    <n v="6"/>
    <n v="9500.16"/>
    <n v="6882.36"/>
    <n v="2617.8000000000002"/>
    <n v="0.27555325383993534"/>
    <x v="11"/>
  </r>
  <r>
    <d v="2023-04-16T00:00:00"/>
    <x v="4"/>
    <x v="2"/>
    <x v="2"/>
    <n v="373.76"/>
    <n v="240.77"/>
    <n v="8"/>
    <n v="2990.08"/>
    <n v="1926.16"/>
    <n v="1063.9199999999998"/>
    <n v="0.35581656678082185"/>
    <x v="6"/>
  </r>
  <r>
    <d v="2022-02-03T00:00:00"/>
    <x v="1"/>
    <x v="1"/>
    <x v="0"/>
    <n v="1748.01"/>
    <n v="1258.27"/>
    <n v="4"/>
    <n v="6992.04"/>
    <n v="5033.08"/>
    <n v="1958.96"/>
    <n v="0.28017002191062979"/>
    <x v="20"/>
  </r>
  <r>
    <d v="2023-10-02T00:00:00"/>
    <x v="10"/>
    <x v="2"/>
    <x v="1"/>
    <n v="1111.82"/>
    <n v="823.26"/>
    <n v="7"/>
    <n v="7782.74"/>
    <n v="5762.82"/>
    <n v="2019.92"/>
    <n v="0.2595384144915544"/>
    <x v="5"/>
  </r>
  <r>
    <d v="2022-10-03T00:00:00"/>
    <x v="8"/>
    <x v="1"/>
    <x v="3"/>
    <n v="1175.3399999999999"/>
    <n v="827.47"/>
    <n v="7"/>
    <n v="8227.3799999999992"/>
    <n v="5792.29"/>
    <n v="2435.0899999999992"/>
    <n v="0.29597393094764063"/>
    <x v="25"/>
  </r>
  <r>
    <d v="2024-06-23T00:00:00"/>
    <x v="2"/>
    <x v="0"/>
    <x v="3"/>
    <n v="1879.18"/>
    <n v="1468.24"/>
    <n v="3"/>
    <n v="5637.54"/>
    <n v="4404.72"/>
    <n v="1232.8199999999997"/>
    <n v="0.21868048829808742"/>
    <x v="4"/>
  </r>
  <r>
    <d v="2024-05-10T00:00:00"/>
    <x v="8"/>
    <x v="1"/>
    <x v="0"/>
    <n v="1634.93"/>
    <n v="1209.17"/>
    <n v="3"/>
    <n v="4904.79"/>
    <n v="3627.51"/>
    <n v="1277.2799999999997"/>
    <n v="0.26041481898307567"/>
    <x v="3"/>
  </r>
  <r>
    <d v="2023-02-20T00:00:00"/>
    <x v="2"/>
    <x v="0"/>
    <x v="1"/>
    <n v="1531.74"/>
    <n v="873.32"/>
    <n v="8"/>
    <n v="12253.92"/>
    <n v="6986.56"/>
    <n v="5267.36"/>
    <n v="0.4298510191024586"/>
    <x v="27"/>
  </r>
  <r>
    <d v="2022-09-02T00:00:00"/>
    <x v="7"/>
    <x v="0"/>
    <x v="0"/>
    <n v="1195.05"/>
    <n v="933.39"/>
    <n v="7"/>
    <n v="8365.35"/>
    <n v="6533.73"/>
    <n v="1831.6200000000008"/>
    <n v="0.21895318187523544"/>
    <x v="12"/>
  </r>
  <r>
    <d v="2023-02-07T00:00:00"/>
    <x v="9"/>
    <x v="3"/>
    <x v="2"/>
    <n v="1448.65"/>
    <n v="1135.76"/>
    <n v="9"/>
    <n v="13037.85"/>
    <n v="10221.84"/>
    <n v="2816.01"/>
    <n v="0.21598729851931109"/>
    <x v="27"/>
  </r>
  <r>
    <d v="2022-02-14T00:00:00"/>
    <x v="8"/>
    <x v="1"/>
    <x v="0"/>
    <n v="1794.22"/>
    <n v="1083.78"/>
    <n v="2"/>
    <n v="3588.44"/>
    <n v="2167.56"/>
    <n v="1420.88"/>
    <n v="0.39596036160560022"/>
    <x v="20"/>
  </r>
  <r>
    <d v="2022-09-29T00:00:00"/>
    <x v="10"/>
    <x v="2"/>
    <x v="0"/>
    <n v="1161.8800000000001"/>
    <n v="824.6"/>
    <n v="5"/>
    <n v="5809.4000000000005"/>
    <n v="4123"/>
    <n v="1686.4000000000005"/>
    <n v="0.29028815368196376"/>
    <x v="12"/>
  </r>
  <r>
    <d v="2024-07-28T00:00:00"/>
    <x v="10"/>
    <x v="2"/>
    <x v="1"/>
    <n v="1033.1400000000001"/>
    <n v="714.55"/>
    <n v="7"/>
    <n v="7231.9800000000005"/>
    <n v="5001.8499999999995"/>
    <n v="2230.130000000001"/>
    <n v="0.30837059837001773"/>
    <x v="28"/>
  </r>
  <r>
    <d v="2024-09-28T00:00:00"/>
    <x v="6"/>
    <x v="3"/>
    <x v="2"/>
    <n v="463.86"/>
    <n v="350.24"/>
    <n v="5"/>
    <n v="2319.3000000000002"/>
    <n v="1751.2"/>
    <n v="568.10000000000014"/>
    <n v="0.24494459535204591"/>
    <x v="16"/>
  </r>
  <r>
    <d v="2023-08-11T00:00:00"/>
    <x v="3"/>
    <x v="2"/>
    <x v="2"/>
    <n v="568.70000000000005"/>
    <n v="366.28"/>
    <n v="5"/>
    <n v="2843.5"/>
    <n v="1831.3999999999999"/>
    <n v="1012.1000000000001"/>
    <n v="0.35593458765605773"/>
    <x v="14"/>
  </r>
  <r>
    <d v="2022-07-16T00:00:00"/>
    <x v="0"/>
    <x v="0"/>
    <x v="1"/>
    <n v="314.73"/>
    <n v="214.06"/>
    <n v="6"/>
    <n v="1888.38"/>
    <n v="1284.3600000000001"/>
    <n v="604.02"/>
    <n v="0.3198614685603533"/>
    <x v="8"/>
  </r>
  <r>
    <d v="2024-03-22T00:00:00"/>
    <x v="5"/>
    <x v="3"/>
    <x v="3"/>
    <n v="108.81"/>
    <n v="56.03"/>
    <n v="7"/>
    <n v="761.67000000000007"/>
    <n v="392.21000000000004"/>
    <n v="369.46000000000004"/>
    <n v="0.48506571087216249"/>
    <x v="29"/>
  </r>
  <r>
    <d v="2023-05-08T00:00:00"/>
    <x v="9"/>
    <x v="3"/>
    <x v="1"/>
    <n v="1352.35"/>
    <n v="915.98"/>
    <n v="10"/>
    <n v="13523.5"/>
    <n v="9159.7999999999993"/>
    <n v="4363.7000000000007"/>
    <n v="0.32267534292158101"/>
    <x v="31"/>
  </r>
  <r>
    <d v="2023-11-30T00:00:00"/>
    <x v="2"/>
    <x v="0"/>
    <x v="1"/>
    <n v="555.98"/>
    <n v="293.89"/>
    <n v="5"/>
    <n v="2779.9"/>
    <n v="1469.4499999999998"/>
    <n v="1310.4500000000003"/>
    <n v="0.47140184898737375"/>
    <x v="10"/>
  </r>
  <r>
    <d v="2023-06-13T00:00:00"/>
    <x v="8"/>
    <x v="1"/>
    <x v="3"/>
    <n v="1497.15"/>
    <n v="1109.95"/>
    <n v="10"/>
    <n v="14971.5"/>
    <n v="11099.5"/>
    <n v="3872"/>
    <n v="0.25862472030190697"/>
    <x v="0"/>
  </r>
  <r>
    <d v="2024-12-30T00:00:00"/>
    <x v="4"/>
    <x v="2"/>
    <x v="2"/>
    <n v="94.88"/>
    <n v="51.7"/>
    <n v="1"/>
    <n v="94.88"/>
    <n v="51.7"/>
    <n v="43.179999999999993"/>
    <n v="0.45510118043844849"/>
    <x v="23"/>
  </r>
  <r>
    <d v="2023-12-15T00:00:00"/>
    <x v="9"/>
    <x v="3"/>
    <x v="0"/>
    <n v="1525.55"/>
    <n v="1177.06"/>
    <n v="6"/>
    <n v="9153.2999999999993"/>
    <n v="7062.36"/>
    <n v="2090.9399999999996"/>
    <n v="0.22843564616040113"/>
    <x v="30"/>
  </r>
  <r>
    <d v="2024-12-08T00:00:00"/>
    <x v="0"/>
    <x v="0"/>
    <x v="3"/>
    <n v="230.65"/>
    <n v="139.68"/>
    <n v="6"/>
    <n v="1383.9"/>
    <n v="838.08"/>
    <n v="545.82000000000005"/>
    <n v="0.39440711034034254"/>
    <x v="23"/>
  </r>
  <r>
    <d v="2022-09-08T00:00:00"/>
    <x v="7"/>
    <x v="0"/>
    <x v="1"/>
    <n v="78.59"/>
    <n v="69.36"/>
    <n v="4"/>
    <n v="314.36"/>
    <n v="277.44"/>
    <n v="36.920000000000016"/>
    <n v="0.11744496755312385"/>
    <x v="12"/>
  </r>
  <r>
    <d v="2023-02-17T00:00:00"/>
    <x v="1"/>
    <x v="1"/>
    <x v="0"/>
    <n v="914.36"/>
    <n v="811.55"/>
    <n v="1"/>
    <n v="914.36"/>
    <n v="811.55"/>
    <n v="102.81000000000006"/>
    <n v="0.11243930180672827"/>
    <x v="27"/>
  </r>
  <r>
    <d v="2022-12-28T00:00:00"/>
    <x v="6"/>
    <x v="3"/>
    <x v="0"/>
    <n v="1007.2"/>
    <n v="685.63"/>
    <n v="10"/>
    <n v="10072"/>
    <n v="6856.3"/>
    <n v="3215.7"/>
    <n v="0.31927124702144555"/>
    <x v="33"/>
  </r>
  <r>
    <d v="2024-11-27T00:00:00"/>
    <x v="10"/>
    <x v="2"/>
    <x v="0"/>
    <n v="1158.1600000000001"/>
    <n v="639.17999999999995"/>
    <n v="6"/>
    <n v="6948.9600000000009"/>
    <n v="3835.08"/>
    <n v="3113.880000000001"/>
    <n v="0.44810734268149488"/>
    <x v="2"/>
  </r>
  <r>
    <d v="2023-01-04T00:00:00"/>
    <x v="8"/>
    <x v="1"/>
    <x v="1"/>
    <n v="988.51"/>
    <n v="671.89"/>
    <n v="7"/>
    <n v="6919.57"/>
    <n v="4703.2299999999996"/>
    <n v="2216.34"/>
    <n v="0.32030024987101802"/>
    <x v="13"/>
  </r>
  <r>
    <d v="2024-06-25T00:00:00"/>
    <x v="2"/>
    <x v="0"/>
    <x v="3"/>
    <n v="256.89999999999998"/>
    <n v="208.59"/>
    <n v="10"/>
    <n v="2569"/>
    <n v="2085.9"/>
    <n v="483.09999999999991"/>
    <n v="0.18804982483456595"/>
    <x v="4"/>
  </r>
  <r>
    <d v="2023-02-06T00:00:00"/>
    <x v="5"/>
    <x v="3"/>
    <x v="1"/>
    <n v="975.55"/>
    <n v="674.36"/>
    <n v="3"/>
    <n v="2926.6499999999996"/>
    <n v="2023.08"/>
    <n v="903.56999999999971"/>
    <n v="0.30873866024293983"/>
    <x v="27"/>
  </r>
  <r>
    <d v="2022-10-10T00:00:00"/>
    <x v="10"/>
    <x v="2"/>
    <x v="1"/>
    <n v="657.68"/>
    <n v="499.99"/>
    <n v="6"/>
    <n v="3946.08"/>
    <n v="2999.94"/>
    <n v="946.13999999999987"/>
    <n v="0.23976705996837364"/>
    <x v="25"/>
  </r>
  <r>
    <d v="2023-09-03T00:00:00"/>
    <x v="10"/>
    <x v="2"/>
    <x v="2"/>
    <n v="794.98"/>
    <n v="412.43"/>
    <n v="9"/>
    <n v="7154.82"/>
    <n v="3711.87"/>
    <n v="3442.95"/>
    <n v="0.4812070743918086"/>
    <x v="24"/>
  </r>
  <r>
    <d v="2022-12-07T00:00:00"/>
    <x v="4"/>
    <x v="2"/>
    <x v="1"/>
    <n v="805.23"/>
    <n v="660.67"/>
    <n v="1"/>
    <n v="805.23"/>
    <n v="660.67"/>
    <n v="144.56000000000006"/>
    <n v="0.17952634650969296"/>
    <x v="33"/>
  </r>
  <r>
    <d v="2024-05-18T00:00:00"/>
    <x v="0"/>
    <x v="0"/>
    <x v="1"/>
    <n v="1631.42"/>
    <n v="1432.28"/>
    <n v="8"/>
    <n v="13051.36"/>
    <n v="11458.24"/>
    <n v="1593.1200000000008"/>
    <n v="0.12206543992350229"/>
    <x v="3"/>
  </r>
  <r>
    <d v="2022-02-21T00:00:00"/>
    <x v="10"/>
    <x v="2"/>
    <x v="2"/>
    <n v="877.95"/>
    <n v="586.74"/>
    <n v="7"/>
    <n v="6145.6500000000005"/>
    <n v="4107.18"/>
    <n v="2038.4700000000003"/>
    <n v="0.33169314881257478"/>
    <x v="20"/>
  </r>
  <r>
    <d v="2022-05-27T00:00:00"/>
    <x v="2"/>
    <x v="0"/>
    <x v="3"/>
    <n v="1792.05"/>
    <n v="1393.46"/>
    <n v="7"/>
    <n v="12544.35"/>
    <n v="9754.2200000000012"/>
    <n v="2790.1299999999992"/>
    <n v="0.22242124940710353"/>
    <x v="35"/>
  </r>
  <r>
    <d v="2022-07-03T00:00:00"/>
    <x v="7"/>
    <x v="0"/>
    <x v="0"/>
    <n v="1617.2"/>
    <n v="1090.24"/>
    <n v="8"/>
    <n v="12937.6"/>
    <n v="8721.92"/>
    <n v="4215.68"/>
    <n v="0.3258471432104873"/>
    <x v="8"/>
  </r>
  <r>
    <d v="2023-05-07T00:00:00"/>
    <x v="8"/>
    <x v="1"/>
    <x v="3"/>
    <n v="826.76"/>
    <n v="508.66"/>
    <n v="1"/>
    <n v="826.76"/>
    <n v="508.66"/>
    <n v="318.09999999999997"/>
    <n v="0.38475494702211038"/>
    <x v="31"/>
  </r>
  <r>
    <d v="2022-12-29T00:00:00"/>
    <x v="8"/>
    <x v="1"/>
    <x v="3"/>
    <n v="1183.1099999999999"/>
    <n v="797.44"/>
    <n v="5"/>
    <n v="5915.5499999999993"/>
    <n v="3987.2000000000003"/>
    <n v="1928.349999999999"/>
    <n v="0.32597983281351678"/>
    <x v="33"/>
  </r>
  <r>
    <d v="2022-09-03T00:00:00"/>
    <x v="10"/>
    <x v="2"/>
    <x v="2"/>
    <n v="329.97"/>
    <n v="292.08999999999997"/>
    <n v="3"/>
    <n v="989.91000000000008"/>
    <n v="876.27"/>
    <n v="113.6400000000001"/>
    <n v="0.11479831499833328"/>
    <x v="12"/>
  </r>
  <r>
    <d v="2022-01-26T00:00:00"/>
    <x v="2"/>
    <x v="0"/>
    <x v="1"/>
    <n v="1339.94"/>
    <n v="877.57"/>
    <n v="1"/>
    <n v="1339.94"/>
    <n v="877.57"/>
    <n v="462.37"/>
    <n v="0.34506768959804168"/>
    <x v="9"/>
  </r>
  <r>
    <d v="2024-08-21T00:00:00"/>
    <x v="10"/>
    <x v="2"/>
    <x v="3"/>
    <n v="1471.29"/>
    <n v="801.46"/>
    <n v="3"/>
    <n v="4413.87"/>
    <n v="2404.38"/>
    <n v="2009.4899999999998"/>
    <n v="0.45526714651768174"/>
    <x v="21"/>
  </r>
  <r>
    <d v="2022-03-25T00:00:00"/>
    <x v="4"/>
    <x v="2"/>
    <x v="3"/>
    <n v="1072.67"/>
    <n v="925.89"/>
    <n v="9"/>
    <n v="9654.0300000000007"/>
    <n v="8333.01"/>
    <n v="1321.0200000000004"/>
    <n v="0.13683611921653449"/>
    <x v="7"/>
  </r>
  <r>
    <d v="2022-02-20T00:00:00"/>
    <x v="10"/>
    <x v="2"/>
    <x v="2"/>
    <n v="694.51"/>
    <n v="622.21"/>
    <n v="5"/>
    <n v="3472.55"/>
    <n v="3111.05"/>
    <n v="361.5"/>
    <n v="0.10410217275489193"/>
    <x v="20"/>
  </r>
  <r>
    <d v="2023-03-05T00:00:00"/>
    <x v="4"/>
    <x v="2"/>
    <x v="0"/>
    <n v="1167.1500000000001"/>
    <n v="984.84"/>
    <n v="1"/>
    <n v="1167.1500000000001"/>
    <n v="984.84"/>
    <n v="182.31000000000006"/>
    <n v="0.15620100244184557"/>
    <x v="19"/>
  </r>
  <r>
    <d v="2024-01-21T00:00:00"/>
    <x v="8"/>
    <x v="1"/>
    <x v="2"/>
    <n v="532.76"/>
    <n v="323.48"/>
    <n v="10"/>
    <n v="5327.6"/>
    <n v="3234.8"/>
    <n v="2092.8000000000002"/>
    <n v="0.39282228395525193"/>
    <x v="26"/>
  </r>
  <r>
    <d v="2022-03-03T00:00:00"/>
    <x v="5"/>
    <x v="3"/>
    <x v="0"/>
    <n v="615.05999999999995"/>
    <n v="365.04"/>
    <n v="7"/>
    <n v="4305.42"/>
    <n v="2555.2800000000002"/>
    <n v="1750.1399999999999"/>
    <n v="0.40649692712906055"/>
    <x v="7"/>
  </r>
  <r>
    <d v="2024-02-21T00:00:00"/>
    <x v="6"/>
    <x v="3"/>
    <x v="3"/>
    <n v="1937.08"/>
    <n v="1197.22"/>
    <n v="3"/>
    <n v="5811.24"/>
    <n v="3591.66"/>
    <n v="2219.58"/>
    <n v="0.38194602184731657"/>
    <x v="34"/>
  </r>
  <r>
    <d v="2022-07-09T00:00:00"/>
    <x v="4"/>
    <x v="2"/>
    <x v="3"/>
    <n v="1355.75"/>
    <n v="834.71"/>
    <n v="9"/>
    <n v="12201.75"/>
    <n v="7512.39"/>
    <n v="4689.3599999999997"/>
    <n v="0.38431864281762862"/>
    <x v="8"/>
  </r>
  <r>
    <d v="2024-03-11T00:00:00"/>
    <x v="7"/>
    <x v="0"/>
    <x v="1"/>
    <n v="1379.82"/>
    <n v="920.92"/>
    <n v="6"/>
    <n v="8278.92"/>
    <n v="5525.5199999999995"/>
    <n v="2753.4000000000005"/>
    <n v="0.3325796118334276"/>
    <x v="29"/>
  </r>
  <r>
    <d v="2022-09-13T00:00:00"/>
    <x v="6"/>
    <x v="3"/>
    <x v="2"/>
    <n v="191.3"/>
    <n v="127.5"/>
    <n v="10"/>
    <n v="1913"/>
    <n v="1275"/>
    <n v="638"/>
    <n v="0.33350757971772088"/>
    <x v="12"/>
  </r>
  <r>
    <d v="2023-02-06T00:00:00"/>
    <x v="4"/>
    <x v="2"/>
    <x v="1"/>
    <n v="111.34"/>
    <n v="56.73"/>
    <n v="7"/>
    <n v="779.38"/>
    <n v="397.10999999999996"/>
    <n v="382.27000000000004"/>
    <n v="0.49047961199928153"/>
    <x v="27"/>
  </r>
  <r>
    <d v="2022-12-21T00:00:00"/>
    <x v="3"/>
    <x v="2"/>
    <x v="2"/>
    <n v="669.79"/>
    <n v="433.88"/>
    <n v="5"/>
    <n v="3348.95"/>
    <n v="2169.4"/>
    <n v="1179.5499999999997"/>
    <n v="0.35221487331850276"/>
    <x v="33"/>
  </r>
  <r>
    <d v="2022-02-20T00:00:00"/>
    <x v="3"/>
    <x v="2"/>
    <x v="3"/>
    <n v="1110.3"/>
    <n v="675.52"/>
    <n v="9"/>
    <n v="9992.6999999999989"/>
    <n v="6079.68"/>
    <n v="3913.0199999999986"/>
    <n v="0.39158785913717004"/>
    <x v="20"/>
  </r>
  <r>
    <d v="2022-08-15T00:00:00"/>
    <x v="4"/>
    <x v="2"/>
    <x v="2"/>
    <n v="443.55"/>
    <n v="348.95"/>
    <n v="8"/>
    <n v="3548.4"/>
    <n v="2791.6"/>
    <n v="756.80000000000018"/>
    <n v="0.2132792244391839"/>
    <x v="15"/>
  </r>
  <r>
    <d v="2023-03-18T00:00:00"/>
    <x v="10"/>
    <x v="2"/>
    <x v="1"/>
    <n v="1483.57"/>
    <n v="1218.05"/>
    <n v="2"/>
    <n v="2967.14"/>
    <n v="2436.1"/>
    <n v="531.04"/>
    <n v="0.17897369183793146"/>
    <x v="19"/>
  </r>
  <r>
    <d v="2023-01-12T00:00:00"/>
    <x v="10"/>
    <x v="2"/>
    <x v="3"/>
    <n v="1186.42"/>
    <n v="942.35"/>
    <n v="10"/>
    <n v="11864.2"/>
    <n v="9423.5"/>
    <n v="2440.7000000000007"/>
    <n v="0.20571972825812113"/>
    <x v="13"/>
  </r>
  <r>
    <d v="2023-04-19T00:00:00"/>
    <x v="0"/>
    <x v="0"/>
    <x v="2"/>
    <n v="1809.68"/>
    <n v="1109.3"/>
    <n v="4"/>
    <n v="7238.72"/>
    <n v="4437.2"/>
    <n v="2801.5200000000004"/>
    <n v="0.38701869943857481"/>
    <x v="6"/>
  </r>
  <r>
    <d v="2022-11-12T00:00:00"/>
    <x v="8"/>
    <x v="1"/>
    <x v="1"/>
    <n v="1406.99"/>
    <n v="850.89"/>
    <n v="4"/>
    <n v="5627.96"/>
    <n v="3403.56"/>
    <n v="2224.4"/>
    <n v="0.39524090434189302"/>
    <x v="1"/>
  </r>
  <r>
    <d v="2023-04-01T00:00:00"/>
    <x v="7"/>
    <x v="0"/>
    <x v="1"/>
    <n v="938.48"/>
    <n v="647.33000000000004"/>
    <n v="5"/>
    <n v="4692.3999999999996"/>
    <n v="3236.65"/>
    <n v="1455.7499999999995"/>
    <n v="0.31023570028130587"/>
    <x v="6"/>
  </r>
  <r>
    <d v="2023-02-16T00:00:00"/>
    <x v="1"/>
    <x v="1"/>
    <x v="3"/>
    <n v="1685.95"/>
    <n v="1022.74"/>
    <n v="9"/>
    <n v="15173.550000000001"/>
    <n v="9204.66"/>
    <n v="5968.8900000000012"/>
    <n v="0.39337465523888615"/>
    <x v="27"/>
  </r>
  <r>
    <d v="2024-10-28T00:00:00"/>
    <x v="1"/>
    <x v="1"/>
    <x v="3"/>
    <n v="77.45"/>
    <n v="54.6"/>
    <n v="6"/>
    <n v="464.70000000000005"/>
    <n v="327.60000000000002"/>
    <n v="137.10000000000002"/>
    <n v="0.29502905100064558"/>
    <x v="17"/>
  </r>
  <r>
    <d v="2023-05-19T00:00:00"/>
    <x v="2"/>
    <x v="0"/>
    <x v="3"/>
    <n v="187.96"/>
    <n v="162.44999999999999"/>
    <n v="4"/>
    <n v="751.84"/>
    <n v="649.79999999999995"/>
    <n v="102.04000000000008"/>
    <n v="0.13572036603532675"/>
    <x v="31"/>
  </r>
  <r>
    <d v="2023-07-20T00:00:00"/>
    <x v="2"/>
    <x v="0"/>
    <x v="0"/>
    <n v="512.6"/>
    <n v="288.72000000000003"/>
    <n v="3"/>
    <n v="1537.8000000000002"/>
    <n v="866.16000000000008"/>
    <n v="671.6400000000001"/>
    <n v="0.43675380413577841"/>
    <x v="11"/>
  </r>
  <r>
    <d v="2022-01-26T00:00:00"/>
    <x v="2"/>
    <x v="0"/>
    <x v="1"/>
    <n v="1133.7"/>
    <n v="684.56"/>
    <n v="2"/>
    <n v="2267.4"/>
    <n v="1369.12"/>
    <n v="898.2800000000002"/>
    <n v="0.39617182676193002"/>
    <x v="9"/>
  </r>
  <r>
    <d v="2023-07-20T00:00:00"/>
    <x v="3"/>
    <x v="2"/>
    <x v="0"/>
    <n v="371.87"/>
    <n v="195.66"/>
    <n v="3"/>
    <n v="1115.6100000000001"/>
    <n v="586.98"/>
    <n v="528.63000000000011"/>
    <n v="0.47384838787748412"/>
    <x v="11"/>
  </r>
  <r>
    <d v="2022-09-14T00:00:00"/>
    <x v="10"/>
    <x v="2"/>
    <x v="0"/>
    <n v="1323.12"/>
    <n v="732.02"/>
    <n v="1"/>
    <n v="1323.12"/>
    <n v="732.02"/>
    <n v="591.09999999999991"/>
    <n v="0.44674708265312291"/>
    <x v="12"/>
  </r>
  <r>
    <d v="2024-10-01T00:00:00"/>
    <x v="3"/>
    <x v="2"/>
    <x v="3"/>
    <n v="921.79"/>
    <n v="470.38"/>
    <n v="10"/>
    <n v="9217.9"/>
    <n v="4703.8"/>
    <n v="4514.0999999999995"/>
    <n v="0.48971023768971239"/>
    <x v="17"/>
  </r>
  <r>
    <d v="2023-04-10T00:00:00"/>
    <x v="1"/>
    <x v="1"/>
    <x v="1"/>
    <n v="275.5"/>
    <n v="141.28"/>
    <n v="6"/>
    <n v="1653"/>
    <n v="847.68000000000006"/>
    <n v="805.31999999999994"/>
    <n v="0.48718693284936476"/>
    <x v="6"/>
  </r>
  <r>
    <d v="2024-05-09T00:00:00"/>
    <x v="3"/>
    <x v="2"/>
    <x v="1"/>
    <n v="106.77"/>
    <n v="89.92"/>
    <n v="10"/>
    <n v="1067.7"/>
    <n v="899.2"/>
    <n v="168.5"/>
    <n v="0.15781586587992882"/>
    <x v="3"/>
  </r>
  <r>
    <d v="2022-10-29T00:00:00"/>
    <x v="2"/>
    <x v="0"/>
    <x v="2"/>
    <n v="100.38"/>
    <n v="74.599999999999994"/>
    <n v="7"/>
    <n v="702.66"/>
    <n v="522.19999999999993"/>
    <n v="180.46000000000004"/>
    <n v="0.25682406853954975"/>
    <x v="25"/>
  </r>
  <r>
    <d v="2022-12-22T00:00:00"/>
    <x v="2"/>
    <x v="0"/>
    <x v="0"/>
    <n v="1505.96"/>
    <n v="820.96"/>
    <n v="4"/>
    <n v="6023.84"/>
    <n v="3283.84"/>
    <n v="2740"/>
    <n v="0.45485935881431111"/>
    <x v="33"/>
  </r>
  <r>
    <d v="2023-06-14T00:00:00"/>
    <x v="10"/>
    <x v="2"/>
    <x v="3"/>
    <n v="490.82"/>
    <n v="389.82"/>
    <n v="8"/>
    <n v="3926.56"/>
    <n v="3118.56"/>
    <n v="808"/>
    <n v="0.20577808565258141"/>
    <x v="0"/>
  </r>
  <r>
    <d v="2023-03-25T00:00:00"/>
    <x v="10"/>
    <x v="2"/>
    <x v="0"/>
    <n v="80.53"/>
    <n v="63.9"/>
    <n v="6"/>
    <n v="483.18"/>
    <n v="383.4"/>
    <n v="99.78000000000003"/>
    <n v="0.2065068918415498"/>
    <x v="19"/>
  </r>
  <r>
    <d v="2022-06-13T00:00:00"/>
    <x v="7"/>
    <x v="0"/>
    <x v="0"/>
    <n v="1869.1"/>
    <n v="1561.43"/>
    <n v="9"/>
    <n v="16821.899999999998"/>
    <n v="14052.87"/>
    <n v="2769.029999999997"/>
    <n v="0.16460863517200777"/>
    <x v="18"/>
  </r>
  <r>
    <d v="2024-07-12T00:00:00"/>
    <x v="6"/>
    <x v="3"/>
    <x v="2"/>
    <n v="770.48"/>
    <n v="659.21"/>
    <n v="5"/>
    <n v="3852.4"/>
    <n v="3296.05"/>
    <n v="556.34999999999991"/>
    <n v="0.14441646765652577"/>
    <x v="28"/>
  </r>
  <r>
    <d v="2022-12-03T00:00:00"/>
    <x v="1"/>
    <x v="1"/>
    <x v="0"/>
    <n v="1534.93"/>
    <n v="1350.63"/>
    <n v="3"/>
    <n v="4604.79"/>
    <n v="4051.8900000000003"/>
    <n v="552.89999999999964"/>
    <n v="0.12007062211306045"/>
    <x v="33"/>
  </r>
  <r>
    <d v="2024-07-12T00:00:00"/>
    <x v="6"/>
    <x v="3"/>
    <x v="0"/>
    <n v="975.14"/>
    <n v="666.36"/>
    <n v="2"/>
    <n v="1950.28"/>
    <n v="1332.72"/>
    <n v="617.55999999999995"/>
    <n v="0.31665196792255468"/>
    <x v="28"/>
  </r>
  <r>
    <d v="2024-12-07T00:00:00"/>
    <x v="10"/>
    <x v="2"/>
    <x v="2"/>
    <n v="637.16999999999996"/>
    <n v="465.49"/>
    <n v="6"/>
    <n v="3823.0199999999995"/>
    <n v="2792.94"/>
    <n v="1030.0799999999995"/>
    <n v="0.26944143635136608"/>
    <x v="23"/>
  </r>
  <r>
    <d v="2023-10-27T00:00:00"/>
    <x v="0"/>
    <x v="0"/>
    <x v="3"/>
    <n v="335.97"/>
    <n v="205.17"/>
    <n v="2"/>
    <n v="671.94"/>
    <n v="410.34"/>
    <n v="261.60000000000008"/>
    <n v="0.38932047504241457"/>
    <x v="5"/>
  </r>
  <r>
    <d v="2022-11-22T00:00:00"/>
    <x v="10"/>
    <x v="2"/>
    <x v="0"/>
    <n v="1866.79"/>
    <n v="1327.96"/>
    <n v="10"/>
    <n v="18667.900000000001"/>
    <n v="13279.6"/>
    <n v="5388.3000000000011"/>
    <n v="0.28863985772368617"/>
    <x v="1"/>
  </r>
  <r>
    <d v="2022-02-23T00:00:00"/>
    <x v="8"/>
    <x v="1"/>
    <x v="1"/>
    <n v="957.11"/>
    <n v="578.35"/>
    <n v="2"/>
    <n v="1914.22"/>
    <n v="1156.7"/>
    <n v="757.52"/>
    <n v="0.39573298784883659"/>
    <x v="20"/>
  </r>
  <r>
    <d v="2022-01-26T00:00:00"/>
    <x v="5"/>
    <x v="3"/>
    <x v="3"/>
    <n v="722.07"/>
    <n v="384.34"/>
    <n v="1"/>
    <n v="722.07"/>
    <n v="384.34"/>
    <n v="337.73000000000008"/>
    <n v="0.46772473582893631"/>
    <x v="9"/>
  </r>
  <r>
    <d v="2024-09-26T00:00:00"/>
    <x v="3"/>
    <x v="2"/>
    <x v="3"/>
    <n v="1517.95"/>
    <n v="872.1"/>
    <n v="9"/>
    <n v="13661.550000000001"/>
    <n v="7848.9000000000005"/>
    <n v="5812.6500000000005"/>
    <n v="0.42547514740274711"/>
    <x v="16"/>
  </r>
  <r>
    <d v="2022-05-04T00:00:00"/>
    <x v="0"/>
    <x v="0"/>
    <x v="1"/>
    <n v="489.03"/>
    <n v="253.25"/>
    <n v="5"/>
    <n v="2445.1499999999996"/>
    <n v="1266.25"/>
    <n v="1178.8999999999996"/>
    <n v="0.48213811013639235"/>
    <x v="35"/>
  </r>
  <r>
    <d v="2022-11-06T00:00:00"/>
    <x v="6"/>
    <x v="3"/>
    <x v="1"/>
    <n v="79.260000000000005"/>
    <n v="42.14"/>
    <n v="10"/>
    <n v="792.6"/>
    <n v="421.4"/>
    <n v="371.20000000000005"/>
    <n v="0.46833207166288171"/>
    <x v="1"/>
  </r>
  <r>
    <d v="2022-08-17T00:00:00"/>
    <x v="0"/>
    <x v="0"/>
    <x v="3"/>
    <n v="1544.31"/>
    <n v="1026.31"/>
    <n v="2"/>
    <n v="3088.62"/>
    <n v="2052.62"/>
    <n v="1036"/>
    <n v="0.33542488230989892"/>
    <x v="15"/>
  </r>
  <r>
    <d v="2023-06-11T00:00:00"/>
    <x v="3"/>
    <x v="2"/>
    <x v="0"/>
    <n v="1597.54"/>
    <n v="1282.93"/>
    <n v="9"/>
    <n v="14377.86"/>
    <n v="11546.37"/>
    <n v="2831.49"/>
    <n v="0.19693403608047372"/>
    <x v="0"/>
  </r>
  <r>
    <d v="2024-03-05T00:00:00"/>
    <x v="1"/>
    <x v="1"/>
    <x v="0"/>
    <n v="504.73"/>
    <n v="272.70999999999998"/>
    <n v="2"/>
    <n v="1009.46"/>
    <n v="545.41999999999996"/>
    <n v="464.04000000000008"/>
    <n v="0.45969132011174296"/>
    <x v="29"/>
  </r>
  <r>
    <d v="2022-09-26T00:00:00"/>
    <x v="9"/>
    <x v="3"/>
    <x v="3"/>
    <n v="737.58"/>
    <n v="376.09"/>
    <n v="9"/>
    <n v="6638.22"/>
    <n v="3384.81"/>
    <n v="3253.4100000000003"/>
    <n v="0.49010276851324602"/>
    <x v="12"/>
  </r>
  <r>
    <d v="2023-07-21T00:00:00"/>
    <x v="8"/>
    <x v="1"/>
    <x v="1"/>
    <n v="1757.34"/>
    <n v="998.98"/>
    <n v="9"/>
    <n v="15816.06"/>
    <n v="8990.82"/>
    <n v="6825.24"/>
    <n v="0.43153857534683099"/>
    <x v="11"/>
  </r>
  <r>
    <d v="2022-01-24T00:00:00"/>
    <x v="3"/>
    <x v="2"/>
    <x v="2"/>
    <n v="671.83"/>
    <n v="337.44"/>
    <n v="4"/>
    <n v="2687.32"/>
    <n v="1349.76"/>
    <n v="1337.5600000000002"/>
    <n v="0.49773008052632367"/>
    <x v="9"/>
  </r>
  <r>
    <d v="2022-11-22T00:00:00"/>
    <x v="7"/>
    <x v="0"/>
    <x v="0"/>
    <n v="165.69"/>
    <n v="139.97"/>
    <n v="6"/>
    <n v="994.14"/>
    <n v="839.81999999999994"/>
    <n v="154.32000000000005"/>
    <n v="0.15522964572394235"/>
    <x v="1"/>
  </r>
  <r>
    <d v="2024-07-20T00:00:00"/>
    <x v="2"/>
    <x v="0"/>
    <x v="3"/>
    <n v="1531.56"/>
    <n v="1054.1400000000001"/>
    <n v="1"/>
    <n v="1531.56"/>
    <n v="1054.1400000000001"/>
    <n v="477.41999999999985"/>
    <n v="0.31172138212019107"/>
    <x v="28"/>
  </r>
  <r>
    <d v="2024-10-19T00:00:00"/>
    <x v="2"/>
    <x v="0"/>
    <x v="3"/>
    <n v="241.59"/>
    <n v="176.53"/>
    <n v="4"/>
    <n v="966.36"/>
    <n v="706.12"/>
    <n v="260.24"/>
    <n v="0.26929922596133948"/>
    <x v="17"/>
  </r>
  <r>
    <d v="2022-05-18T00:00:00"/>
    <x v="9"/>
    <x v="3"/>
    <x v="0"/>
    <n v="266.08999999999997"/>
    <n v="196.52"/>
    <n v="10"/>
    <n v="2660.8999999999996"/>
    <n v="1965.2"/>
    <n v="695.69999999999959"/>
    <n v="0.26145289187868753"/>
    <x v="35"/>
  </r>
  <r>
    <d v="2024-05-04T00:00:00"/>
    <x v="2"/>
    <x v="0"/>
    <x v="3"/>
    <n v="450.13"/>
    <n v="296.66000000000003"/>
    <n v="6"/>
    <n v="2700.7799999999997"/>
    <n v="1779.96"/>
    <n v="920.81999999999971"/>
    <n v="0.34094594894808161"/>
    <x v="3"/>
  </r>
  <r>
    <d v="2024-03-25T00:00:00"/>
    <x v="5"/>
    <x v="3"/>
    <x v="1"/>
    <n v="447.61"/>
    <n v="258.33"/>
    <n v="4"/>
    <n v="1790.44"/>
    <n v="1033.32"/>
    <n v="757.12000000000012"/>
    <n v="0.42286812180246203"/>
    <x v="29"/>
  </r>
  <r>
    <d v="2024-09-28T00:00:00"/>
    <x v="7"/>
    <x v="0"/>
    <x v="2"/>
    <n v="165.41"/>
    <n v="140.41999999999999"/>
    <n v="10"/>
    <n v="1654.1"/>
    <n v="1404.1999999999998"/>
    <n v="249.90000000000009"/>
    <n v="0.15107913669064754"/>
    <x v="16"/>
  </r>
  <r>
    <d v="2023-06-12T00:00:00"/>
    <x v="4"/>
    <x v="2"/>
    <x v="0"/>
    <n v="332.8"/>
    <n v="213.02"/>
    <n v="8"/>
    <n v="2662.4"/>
    <n v="1704.16"/>
    <n v="958.24"/>
    <n v="0.3599158653846154"/>
    <x v="0"/>
  </r>
  <r>
    <d v="2022-01-30T00:00:00"/>
    <x v="0"/>
    <x v="0"/>
    <x v="2"/>
    <n v="1231.8499999999999"/>
    <n v="885.57"/>
    <n v="3"/>
    <n v="3695.5499999999997"/>
    <n v="2656.71"/>
    <n v="1038.8399999999997"/>
    <n v="0.28110565409749555"/>
    <x v="9"/>
  </r>
  <r>
    <d v="2022-09-19T00:00:00"/>
    <x v="6"/>
    <x v="3"/>
    <x v="1"/>
    <n v="1183.26"/>
    <n v="1024.4000000000001"/>
    <n v="1"/>
    <n v="1183.26"/>
    <n v="1024.4000000000001"/>
    <n v="158.8599999999999"/>
    <n v="0.13425620742693906"/>
    <x v="12"/>
  </r>
  <r>
    <d v="2024-11-08T00:00:00"/>
    <x v="5"/>
    <x v="3"/>
    <x v="0"/>
    <n v="1817.85"/>
    <n v="1279.83"/>
    <n v="2"/>
    <n v="3635.7"/>
    <n v="2559.66"/>
    <n v="1076.04"/>
    <n v="0.29596501361498473"/>
    <x v="2"/>
  </r>
  <r>
    <d v="2022-11-16T00:00:00"/>
    <x v="2"/>
    <x v="0"/>
    <x v="1"/>
    <n v="704.94"/>
    <n v="469.51"/>
    <n v="6"/>
    <n v="4229.6400000000003"/>
    <n v="2817.06"/>
    <n v="1412.5800000000004"/>
    <n v="0.33397168553352063"/>
    <x v="1"/>
  </r>
  <r>
    <d v="2023-09-04T00:00:00"/>
    <x v="10"/>
    <x v="2"/>
    <x v="0"/>
    <n v="896.81"/>
    <n v="521.75"/>
    <n v="4"/>
    <n v="3587.24"/>
    <n v="2087"/>
    <n v="1500.2399999999998"/>
    <n v="0.41821567556115563"/>
    <x v="24"/>
  </r>
  <r>
    <d v="2024-05-17T00:00:00"/>
    <x v="0"/>
    <x v="0"/>
    <x v="2"/>
    <n v="806.3"/>
    <n v="630.92999999999995"/>
    <n v="3"/>
    <n v="2418.8999999999996"/>
    <n v="1892.79"/>
    <n v="526.10999999999967"/>
    <n v="0.21749968994170893"/>
    <x v="3"/>
  </r>
  <r>
    <d v="2024-12-10T00:00:00"/>
    <x v="9"/>
    <x v="3"/>
    <x v="1"/>
    <n v="769.98"/>
    <n v="394.56"/>
    <n v="6"/>
    <n v="4619.88"/>
    <n v="2367.36"/>
    <n v="2252.52"/>
    <n v="0.48757110574300627"/>
    <x v="23"/>
  </r>
  <r>
    <d v="2022-04-22T00:00:00"/>
    <x v="7"/>
    <x v="0"/>
    <x v="1"/>
    <n v="928.07"/>
    <n v="717.59"/>
    <n v="1"/>
    <n v="928.07"/>
    <n v="717.59"/>
    <n v="210.48000000000002"/>
    <n v="0.22679323757906192"/>
    <x v="32"/>
  </r>
  <r>
    <d v="2023-12-29T00:00:00"/>
    <x v="4"/>
    <x v="2"/>
    <x v="1"/>
    <n v="1188.8499999999999"/>
    <n v="882.57"/>
    <n v="9"/>
    <n v="10699.65"/>
    <n v="7943.13"/>
    <n v="2756.5199999999995"/>
    <n v="0.25762711864406779"/>
    <x v="30"/>
  </r>
  <r>
    <d v="2023-12-18T00:00:00"/>
    <x v="1"/>
    <x v="1"/>
    <x v="1"/>
    <n v="945.72"/>
    <n v="532.59"/>
    <n v="10"/>
    <n v="9457.2000000000007"/>
    <n v="5325.9000000000005"/>
    <n v="4131.3"/>
    <n v="0.43684177134881358"/>
    <x v="30"/>
  </r>
  <r>
    <d v="2022-08-18T00:00:00"/>
    <x v="7"/>
    <x v="0"/>
    <x v="0"/>
    <n v="1600.84"/>
    <n v="1155.1500000000001"/>
    <n v="4"/>
    <n v="6403.36"/>
    <n v="4620.6000000000004"/>
    <n v="1782.7599999999993"/>
    <n v="0.27841008470552953"/>
    <x v="15"/>
  </r>
  <r>
    <d v="2022-03-09T00:00:00"/>
    <x v="10"/>
    <x v="2"/>
    <x v="1"/>
    <n v="705.27"/>
    <n v="613.99"/>
    <n v="9"/>
    <n v="6347.43"/>
    <n v="5525.91"/>
    <n v="821.52000000000044"/>
    <n v="0.12942561005005182"/>
    <x v="7"/>
  </r>
  <r>
    <d v="2024-09-26T00:00:00"/>
    <x v="5"/>
    <x v="3"/>
    <x v="1"/>
    <n v="173.11"/>
    <n v="121.95"/>
    <n v="10"/>
    <n v="1731.1000000000001"/>
    <n v="1219.5"/>
    <n v="511.60000000000014"/>
    <n v="0.2955346311593785"/>
    <x v="16"/>
  </r>
  <r>
    <d v="2022-03-11T00:00:00"/>
    <x v="1"/>
    <x v="1"/>
    <x v="3"/>
    <n v="843.36"/>
    <n v="460.77"/>
    <n v="4"/>
    <n v="3373.44"/>
    <n v="1843.08"/>
    <n v="1530.3600000000001"/>
    <n v="0.45364968696642005"/>
    <x v="7"/>
  </r>
  <r>
    <d v="2022-08-15T00:00:00"/>
    <x v="1"/>
    <x v="1"/>
    <x v="3"/>
    <n v="607.16999999999996"/>
    <n v="510.88"/>
    <n v="3"/>
    <n v="1821.5099999999998"/>
    <n v="1532.6399999999999"/>
    <n v="288.86999999999989"/>
    <n v="0.15858820429204337"/>
    <x v="15"/>
  </r>
  <r>
    <d v="2024-04-23T00:00:00"/>
    <x v="10"/>
    <x v="2"/>
    <x v="2"/>
    <n v="1632.4"/>
    <n v="1047.7"/>
    <n v="7"/>
    <n v="11426.800000000001"/>
    <n v="7333.9000000000005"/>
    <n v="4092.9000000000005"/>
    <n v="0.35818426856162705"/>
    <x v="22"/>
  </r>
  <r>
    <d v="2023-08-08T00:00:00"/>
    <x v="3"/>
    <x v="2"/>
    <x v="3"/>
    <n v="668.24"/>
    <n v="335.21"/>
    <n v="1"/>
    <n v="668.24"/>
    <n v="335.21"/>
    <n v="333.03000000000003"/>
    <n v="0.49836884951514432"/>
    <x v="14"/>
  </r>
  <r>
    <d v="2022-10-10T00:00:00"/>
    <x v="1"/>
    <x v="1"/>
    <x v="3"/>
    <n v="1277.43"/>
    <n v="1103.08"/>
    <n v="4"/>
    <n v="5109.72"/>
    <n v="4412.32"/>
    <n v="697.40000000000055"/>
    <n v="0.13648497373633006"/>
    <x v="25"/>
  </r>
  <r>
    <d v="2024-08-26T00:00:00"/>
    <x v="9"/>
    <x v="3"/>
    <x v="2"/>
    <n v="1831.55"/>
    <n v="988.16"/>
    <n v="6"/>
    <n v="10989.3"/>
    <n v="5928.96"/>
    <n v="5060.3399999999992"/>
    <n v="0.46047882940678658"/>
    <x v="21"/>
  </r>
  <r>
    <d v="2022-06-07T00:00:00"/>
    <x v="4"/>
    <x v="2"/>
    <x v="2"/>
    <n v="1628.77"/>
    <n v="1139.45"/>
    <n v="9"/>
    <n v="14658.93"/>
    <n v="10255.050000000001"/>
    <n v="4403.8799999999992"/>
    <n v="0.30042301859685522"/>
    <x v="18"/>
  </r>
  <r>
    <d v="2024-10-13T00:00:00"/>
    <x v="0"/>
    <x v="0"/>
    <x v="1"/>
    <n v="744.12"/>
    <n v="534.47"/>
    <n v="4"/>
    <n v="2976.48"/>
    <n v="2137.88"/>
    <n v="838.59999999999991"/>
    <n v="0.28174219211955059"/>
    <x v="17"/>
  </r>
  <r>
    <d v="2023-01-16T00:00:00"/>
    <x v="1"/>
    <x v="1"/>
    <x v="2"/>
    <n v="1341.78"/>
    <n v="691.66"/>
    <n v="5"/>
    <n v="6708.9"/>
    <n v="3458.2999999999997"/>
    <n v="3250.6"/>
    <n v="0.48452056223822088"/>
    <x v="13"/>
  </r>
  <r>
    <d v="2024-05-17T00:00:00"/>
    <x v="2"/>
    <x v="0"/>
    <x v="1"/>
    <n v="368.11"/>
    <n v="192.5"/>
    <n v="10"/>
    <n v="3681.1000000000004"/>
    <n v="1925"/>
    <n v="1756.1000000000004"/>
    <n v="0.47705848795197092"/>
    <x v="3"/>
  </r>
  <r>
    <d v="2024-02-11T00:00:00"/>
    <x v="6"/>
    <x v="3"/>
    <x v="0"/>
    <n v="1928.96"/>
    <n v="1523.94"/>
    <n v="6"/>
    <n v="11573.76"/>
    <n v="9143.64"/>
    <n v="2430.1200000000008"/>
    <n v="0.20996806569343071"/>
    <x v="34"/>
  </r>
  <r>
    <d v="2023-03-29T00:00:00"/>
    <x v="9"/>
    <x v="3"/>
    <x v="1"/>
    <n v="1454.15"/>
    <n v="1112.6500000000001"/>
    <n v="2"/>
    <n v="2908.3"/>
    <n v="2225.3000000000002"/>
    <n v="683"/>
    <n v="0.2348450985111577"/>
    <x v="19"/>
  </r>
  <r>
    <d v="2024-10-28T00:00:00"/>
    <x v="9"/>
    <x v="3"/>
    <x v="2"/>
    <n v="509.05"/>
    <n v="271.08"/>
    <n v="6"/>
    <n v="3054.3"/>
    <n v="1626.48"/>
    <n v="1427.8200000000002"/>
    <n v="0.46747863667616152"/>
    <x v="17"/>
  </r>
  <r>
    <d v="2024-08-05T00:00:00"/>
    <x v="1"/>
    <x v="1"/>
    <x v="2"/>
    <n v="912.71"/>
    <n v="572.92999999999995"/>
    <n v="3"/>
    <n v="2738.13"/>
    <n v="1718.79"/>
    <n v="1019.3400000000001"/>
    <n v="0.3722759693659542"/>
    <x v="21"/>
  </r>
  <r>
    <d v="2023-05-30T00:00:00"/>
    <x v="3"/>
    <x v="2"/>
    <x v="2"/>
    <n v="1716.07"/>
    <n v="1419.27"/>
    <n v="6"/>
    <n v="10296.42"/>
    <n v="8515.619999999999"/>
    <n v="1780.8000000000011"/>
    <n v="0.17295331775510334"/>
    <x v="31"/>
  </r>
  <r>
    <d v="2022-12-20T00:00:00"/>
    <x v="7"/>
    <x v="0"/>
    <x v="2"/>
    <n v="449.48"/>
    <n v="239.11"/>
    <n v="1"/>
    <n v="449.48"/>
    <n v="239.11"/>
    <n v="210.37"/>
    <n v="0.46802972323573905"/>
    <x v="33"/>
  </r>
  <r>
    <d v="2024-06-10T00:00:00"/>
    <x v="7"/>
    <x v="0"/>
    <x v="3"/>
    <n v="1340.4"/>
    <n v="675.11"/>
    <n v="2"/>
    <n v="2680.8"/>
    <n v="1350.22"/>
    <n v="1330.5800000000002"/>
    <n v="0.49633691435392424"/>
    <x v="4"/>
  </r>
  <r>
    <d v="2024-11-18T00:00:00"/>
    <x v="1"/>
    <x v="1"/>
    <x v="0"/>
    <n v="804.15"/>
    <n v="517.62"/>
    <n v="5"/>
    <n v="4020.75"/>
    <n v="2588.1"/>
    <n v="1432.65"/>
    <n v="0.35631412049990674"/>
    <x v="2"/>
  </r>
  <r>
    <d v="2024-09-11T00:00:00"/>
    <x v="3"/>
    <x v="2"/>
    <x v="2"/>
    <n v="1350.05"/>
    <n v="837.51"/>
    <n v="2"/>
    <n v="2700.1"/>
    <n v="1675.02"/>
    <n v="1025.08"/>
    <n v="0.37964519832598792"/>
    <x v="16"/>
  </r>
  <r>
    <d v="2023-10-22T00:00:00"/>
    <x v="4"/>
    <x v="2"/>
    <x v="0"/>
    <n v="717.41"/>
    <n v="597.65"/>
    <n v="7"/>
    <n v="5021.87"/>
    <n v="4183.55"/>
    <n v="838.31999999999971"/>
    <n v="0.16693383142136289"/>
    <x v="5"/>
  </r>
  <r>
    <d v="2022-03-27T00:00:00"/>
    <x v="3"/>
    <x v="2"/>
    <x v="0"/>
    <n v="242.44"/>
    <n v="185.85"/>
    <n v="10"/>
    <n v="2424.4"/>
    <n v="1858.5"/>
    <n v="565.90000000000009"/>
    <n v="0.23341857779244352"/>
    <x v="7"/>
  </r>
  <r>
    <d v="2024-02-10T00:00:00"/>
    <x v="0"/>
    <x v="0"/>
    <x v="1"/>
    <n v="1781.69"/>
    <n v="1131.52"/>
    <n v="8"/>
    <n v="14253.52"/>
    <n v="9052.16"/>
    <n v="5201.3600000000006"/>
    <n v="0.36491757825435406"/>
    <x v="34"/>
  </r>
  <r>
    <d v="2022-02-27T00:00:00"/>
    <x v="5"/>
    <x v="3"/>
    <x v="1"/>
    <n v="851.28"/>
    <n v="496.78"/>
    <n v="8"/>
    <n v="6810.24"/>
    <n v="3974.24"/>
    <n v="2836"/>
    <n v="0.41643172634150927"/>
    <x v="20"/>
  </r>
  <r>
    <d v="2022-12-21T00:00:00"/>
    <x v="0"/>
    <x v="0"/>
    <x v="3"/>
    <n v="523.86"/>
    <n v="379.55"/>
    <n v="8"/>
    <n v="4190.88"/>
    <n v="3036.4"/>
    <n v="1154.48"/>
    <n v="0.27547436337952885"/>
    <x v="33"/>
  </r>
  <r>
    <d v="2024-08-31T00:00:00"/>
    <x v="5"/>
    <x v="3"/>
    <x v="1"/>
    <n v="1765.43"/>
    <n v="1317.54"/>
    <n v="7"/>
    <n v="12358.01"/>
    <n v="9222.7799999999988"/>
    <n v="3135.2300000000014"/>
    <n v="0.25370023167160421"/>
    <x v="21"/>
  </r>
  <r>
    <d v="2022-07-25T00:00:00"/>
    <x v="3"/>
    <x v="2"/>
    <x v="1"/>
    <n v="1372.26"/>
    <n v="1086.78"/>
    <n v="5"/>
    <n v="6861.3"/>
    <n v="5433.9"/>
    <n v="1427.4000000000005"/>
    <n v="0.20803637794587038"/>
    <x v="8"/>
  </r>
  <r>
    <d v="2022-06-23T00:00:00"/>
    <x v="0"/>
    <x v="0"/>
    <x v="0"/>
    <n v="1797.2"/>
    <n v="1234.19"/>
    <n v="5"/>
    <n v="8986"/>
    <n v="6170.9500000000007"/>
    <n v="2815.0499999999993"/>
    <n v="0.31327064322279091"/>
    <x v="18"/>
  </r>
  <r>
    <d v="2022-02-18T00:00:00"/>
    <x v="1"/>
    <x v="1"/>
    <x v="3"/>
    <n v="1538.78"/>
    <n v="1199.8399999999999"/>
    <n v="5"/>
    <n v="7693.9"/>
    <n v="5999.2"/>
    <n v="1694.6999999999998"/>
    <n v="0.22026540506115233"/>
    <x v="20"/>
  </r>
  <r>
    <d v="2024-05-04T00:00:00"/>
    <x v="6"/>
    <x v="3"/>
    <x v="0"/>
    <n v="1842.6"/>
    <n v="1203.1300000000001"/>
    <n v="1"/>
    <n v="1842.6"/>
    <n v="1203.1300000000001"/>
    <n v="639.4699999999998"/>
    <n v="0.34704765005969818"/>
    <x v="3"/>
  </r>
  <r>
    <d v="2022-12-23T00:00:00"/>
    <x v="8"/>
    <x v="1"/>
    <x v="1"/>
    <n v="368.58"/>
    <n v="223.32"/>
    <n v="4"/>
    <n v="1474.32"/>
    <n v="893.28"/>
    <n v="581.04"/>
    <n v="0.39410711378805141"/>
    <x v="33"/>
  </r>
  <r>
    <d v="2023-08-03T00:00:00"/>
    <x v="2"/>
    <x v="0"/>
    <x v="3"/>
    <n v="1069.78"/>
    <n v="873.23"/>
    <n v="10"/>
    <n v="10697.8"/>
    <n v="8732.2999999999993"/>
    <n v="1965.5"/>
    <n v="0.18372936491615099"/>
    <x v="14"/>
  </r>
  <r>
    <d v="2023-12-24T00:00:00"/>
    <x v="10"/>
    <x v="2"/>
    <x v="0"/>
    <n v="466.88"/>
    <n v="334.76"/>
    <n v="3"/>
    <n v="1400.6399999999999"/>
    <n v="1004.28"/>
    <n v="396.3599999999999"/>
    <n v="0.28298492117888963"/>
    <x v="30"/>
  </r>
  <r>
    <d v="2022-03-04T00:00:00"/>
    <x v="10"/>
    <x v="2"/>
    <x v="2"/>
    <n v="1229.28"/>
    <n v="855.85"/>
    <n v="7"/>
    <n v="8604.9599999999991"/>
    <n v="5990.95"/>
    <n v="2614.0099999999993"/>
    <n v="0.30377944813223995"/>
    <x v="7"/>
  </r>
  <r>
    <d v="2023-02-17T00:00:00"/>
    <x v="10"/>
    <x v="2"/>
    <x v="0"/>
    <n v="581.65"/>
    <n v="350.46"/>
    <n v="2"/>
    <n v="1163.3"/>
    <n v="700.92"/>
    <n v="462.38"/>
    <n v="0.39747270695435399"/>
    <x v="27"/>
  </r>
  <r>
    <d v="2024-01-31T00:00:00"/>
    <x v="1"/>
    <x v="1"/>
    <x v="1"/>
    <n v="728.01"/>
    <n v="445.91"/>
    <n v="3"/>
    <n v="2184.0299999999997"/>
    <n v="1337.73"/>
    <n v="846.29999999999973"/>
    <n v="0.38749467727091652"/>
    <x v="26"/>
  </r>
  <r>
    <d v="2024-02-24T00:00:00"/>
    <x v="5"/>
    <x v="3"/>
    <x v="3"/>
    <n v="322.69"/>
    <n v="210.6"/>
    <n v="10"/>
    <n v="3226.9"/>
    <n v="2106"/>
    <n v="1120.9000000000001"/>
    <n v="0.34736124453810158"/>
    <x v="34"/>
  </r>
  <r>
    <d v="2023-07-29T00:00:00"/>
    <x v="5"/>
    <x v="3"/>
    <x v="0"/>
    <n v="229.51"/>
    <n v="121.74"/>
    <n v="8"/>
    <n v="1836.08"/>
    <n v="973.92"/>
    <n v="862.16"/>
    <n v="0.46956559627031502"/>
    <x v="11"/>
  </r>
  <r>
    <d v="2023-07-20T00:00:00"/>
    <x v="7"/>
    <x v="0"/>
    <x v="3"/>
    <n v="1143.83"/>
    <n v="633.86"/>
    <n v="9"/>
    <n v="10294.469999999999"/>
    <n v="5704.74"/>
    <n v="4589.7299999999996"/>
    <n v="0.44584422510338073"/>
    <x v="11"/>
  </r>
  <r>
    <d v="2024-01-21T00:00:00"/>
    <x v="7"/>
    <x v="0"/>
    <x v="0"/>
    <n v="127.28"/>
    <n v="103.94"/>
    <n v="10"/>
    <n v="1272.8"/>
    <n v="1039.4000000000001"/>
    <n v="233.39999999999986"/>
    <n v="0.18337523570081699"/>
    <x v="26"/>
  </r>
  <r>
    <d v="2023-04-01T00:00:00"/>
    <x v="1"/>
    <x v="1"/>
    <x v="1"/>
    <n v="944.28"/>
    <n v="624.57000000000005"/>
    <n v="5"/>
    <n v="4721.3999999999996"/>
    <n v="3122.8500000000004"/>
    <n v="1598.5499999999993"/>
    <n v="0.33857542254416051"/>
    <x v="6"/>
  </r>
  <r>
    <d v="2024-06-01T00:00:00"/>
    <x v="4"/>
    <x v="2"/>
    <x v="3"/>
    <n v="792.58"/>
    <n v="423.65"/>
    <n v="8"/>
    <n v="6340.64"/>
    <n v="3389.2"/>
    <n v="2951.4400000000005"/>
    <n v="0.46547982538040328"/>
    <x v="4"/>
  </r>
  <r>
    <d v="2022-02-07T00:00:00"/>
    <x v="10"/>
    <x v="2"/>
    <x v="0"/>
    <n v="1069.98"/>
    <n v="869.5"/>
    <n v="6"/>
    <n v="6419.88"/>
    <n v="5217"/>
    <n v="1202.8800000000001"/>
    <n v="0.18736798818669509"/>
    <x v="20"/>
  </r>
  <r>
    <d v="2024-12-26T00:00:00"/>
    <x v="6"/>
    <x v="3"/>
    <x v="1"/>
    <n v="758.75"/>
    <n v="663.77"/>
    <n v="7"/>
    <n v="5311.25"/>
    <n v="4646.3899999999994"/>
    <n v="664.86000000000058"/>
    <n v="0.12517957166392102"/>
    <x v="23"/>
  </r>
  <r>
    <d v="2023-09-26T00:00:00"/>
    <x v="7"/>
    <x v="0"/>
    <x v="3"/>
    <n v="1491.61"/>
    <n v="1144.21"/>
    <n v="9"/>
    <n v="13424.49"/>
    <n v="10297.89"/>
    <n v="3126.6000000000004"/>
    <n v="0.23290270244903161"/>
    <x v="24"/>
  </r>
  <r>
    <d v="2024-09-16T00:00:00"/>
    <x v="10"/>
    <x v="2"/>
    <x v="0"/>
    <n v="1087.28"/>
    <n v="700.89"/>
    <n v="2"/>
    <n v="2174.56"/>
    <n v="1401.78"/>
    <n v="772.78"/>
    <n v="0.35537304098300343"/>
    <x v="16"/>
  </r>
  <r>
    <d v="2023-06-29T00:00:00"/>
    <x v="5"/>
    <x v="3"/>
    <x v="0"/>
    <n v="1174.83"/>
    <n v="597.02"/>
    <n v="9"/>
    <n v="10573.47"/>
    <n v="5373.18"/>
    <n v="5200.2899999999991"/>
    <n v="0.4918243490547568"/>
    <x v="0"/>
  </r>
  <r>
    <d v="2022-03-01T00:00:00"/>
    <x v="5"/>
    <x v="3"/>
    <x v="0"/>
    <n v="1843.22"/>
    <n v="1477.25"/>
    <n v="4"/>
    <n v="7372.88"/>
    <n v="5909"/>
    <n v="1463.88"/>
    <n v="0.19854927789412008"/>
    <x v="7"/>
  </r>
  <r>
    <d v="2022-09-20T00:00:00"/>
    <x v="3"/>
    <x v="2"/>
    <x v="1"/>
    <n v="971.11"/>
    <n v="727.85"/>
    <n v="10"/>
    <n v="9711.1"/>
    <n v="7278.5"/>
    <n v="2432.6000000000004"/>
    <n v="0.25049685411539374"/>
    <x v="12"/>
  </r>
  <r>
    <d v="2022-10-15T00:00:00"/>
    <x v="9"/>
    <x v="3"/>
    <x v="1"/>
    <n v="389.01"/>
    <n v="239.17"/>
    <n v="3"/>
    <n v="1167.03"/>
    <n v="717.51"/>
    <n v="449.52"/>
    <n v="0.38518290018251461"/>
    <x v="25"/>
  </r>
  <r>
    <d v="2024-11-11T00:00:00"/>
    <x v="4"/>
    <x v="2"/>
    <x v="0"/>
    <n v="1944.31"/>
    <n v="1384.1"/>
    <n v="3"/>
    <n v="5832.93"/>
    <n v="4152.2999999999993"/>
    <n v="1680.630000000001"/>
    <n v="0.288127921987749"/>
    <x v="2"/>
  </r>
  <r>
    <d v="2024-10-31T00:00:00"/>
    <x v="3"/>
    <x v="2"/>
    <x v="0"/>
    <n v="895.01"/>
    <n v="562.42999999999995"/>
    <n v="9"/>
    <n v="8055.09"/>
    <n v="5061.87"/>
    <n v="2993.2200000000003"/>
    <n v="0.37159361347917902"/>
    <x v="17"/>
  </r>
  <r>
    <d v="2022-11-08T00:00:00"/>
    <x v="5"/>
    <x v="3"/>
    <x v="1"/>
    <n v="1505.69"/>
    <n v="1059.02"/>
    <n v="3"/>
    <n v="4517.07"/>
    <n v="3177.06"/>
    <n v="1340.0099999999998"/>
    <n v="0.29665468987640214"/>
    <x v="1"/>
  </r>
  <r>
    <d v="2023-01-08T00:00:00"/>
    <x v="2"/>
    <x v="0"/>
    <x v="0"/>
    <n v="1979.75"/>
    <n v="1675.79"/>
    <n v="1"/>
    <n v="1979.75"/>
    <n v="1675.79"/>
    <n v="303.96000000000004"/>
    <n v="0.15353453718903903"/>
    <x v="13"/>
  </r>
  <r>
    <d v="2024-02-11T00:00:00"/>
    <x v="9"/>
    <x v="3"/>
    <x v="3"/>
    <n v="595.04999999999995"/>
    <n v="496.27"/>
    <n v="1"/>
    <n v="595.04999999999995"/>
    <n v="496.27"/>
    <n v="98.779999999999973"/>
    <n v="0.16600285690278124"/>
    <x v="34"/>
  </r>
  <r>
    <d v="2023-12-08T00:00:00"/>
    <x v="7"/>
    <x v="0"/>
    <x v="1"/>
    <n v="1926.18"/>
    <n v="1393.91"/>
    <n v="4"/>
    <n v="7704.72"/>
    <n v="5575.64"/>
    <n v="2129.08"/>
    <n v="0.27633450664008552"/>
    <x v="30"/>
  </r>
  <r>
    <d v="2024-12-12T00:00:00"/>
    <x v="4"/>
    <x v="2"/>
    <x v="1"/>
    <n v="1686.27"/>
    <n v="1352.22"/>
    <n v="7"/>
    <n v="11803.89"/>
    <n v="9465.5400000000009"/>
    <n v="2338.3499999999985"/>
    <n v="0.19809994840683864"/>
    <x v="23"/>
  </r>
  <r>
    <d v="2023-08-13T00:00:00"/>
    <x v="4"/>
    <x v="2"/>
    <x v="3"/>
    <n v="279.35000000000002"/>
    <n v="200.11"/>
    <n v="6"/>
    <n v="1676.1000000000001"/>
    <n v="1200.6600000000001"/>
    <n v="475.44000000000005"/>
    <n v="0.2836584929300161"/>
    <x v="14"/>
  </r>
  <r>
    <d v="2022-09-21T00:00:00"/>
    <x v="1"/>
    <x v="1"/>
    <x v="3"/>
    <n v="368.02"/>
    <n v="310.66000000000003"/>
    <n v="4"/>
    <n v="1472.08"/>
    <n v="1242.6400000000001"/>
    <n v="229.43999999999983"/>
    <n v="0.15586109450573327"/>
    <x v="12"/>
  </r>
  <r>
    <d v="2024-08-09T00:00:00"/>
    <x v="10"/>
    <x v="2"/>
    <x v="2"/>
    <n v="1685.99"/>
    <n v="935.06"/>
    <n v="3"/>
    <n v="5057.97"/>
    <n v="2805.18"/>
    <n v="2252.7900000000004"/>
    <n v="0.44539410079537844"/>
    <x v="21"/>
  </r>
  <r>
    <d v="2022-12-08T00:00:00"/>
    <x v="0"/>
    <x v="0"/>
    <x v="0"/>
    <n v="568.57000000000005"/>
    <n v="345.04"/>
    <n v="9"/>
    <n v="5117.13"/>
    <n v="3105.36"/>
    <n v="2011.77"/>
    <n v="0.39314420387990923"/>
    <x v="33"/>
  </r>
  <r>
    <d v="2022-11-05T00:00:00"/>
    <x v="3"/>
    <x v="2"/>
    <x v="3"/>
    <n v="845.84"/>
    <n v="641.09"/>
    <n v="10"/>
    <n v="8458.4"/>
    <n v="6410.9000000000005"/>
    <n v="2047.4999999999991"/>
    <n v="0.24206705759954592"/>
    <x v="1"/>
  </r>
  <r>
    <d v="2023-12-02T00:00:00"/>
    <x v="1"/>
    <x v="1"/>
    <x v="0"/>
    <n v="85.04"/>
    <n v="52.81"/>
    <n v="10"/>
    <n v="850.40000000000009"/>
    <n v="528.1"/>
    <n v="322.30000000000007"/>
    <n v="0.37899811853245535"/>
    <x v="30"/>
  </r>
  <r>
    <d v="2024-09-27T00:00:00"/>
    <x v="3"/>
    <x v="2"/>
    <x v="0"/>
    <n v="1895.52"/>
    <n v="1455.5"/>
    <n v="2"/>
    <n v="3791.04"/>
    <n v="2911"/>
    <n v="880.04"/>
    <n v="0.23213682788891701"/>
    <x v="16"/>
  </r>
  <r>
    <d v="2024-01-16T00:00:00"/>
    <x v="5"/>
    <x v="3"/>
    <x v="2"/>
    <n v="295.02999999999997"/>
    <n v="180.85"/>
    <n v="2"/>
    <n v="590.05999999999995"/>
    <n v="361.7"/>
    <n v="228.35999999999996"/>
    <n v="0.38701149035691285"/>
    <x v="26"/>
  </r>
  <r>
    <d v="2024-12-02T00:00:00"/>
    <x v="5"/>
    <x v="3"/>
    <x v="1"/>
    <n v="1219.3699999999999"/>
    <n v="645.38"/>
    <n v="9"/>
    <n v="10974.329999999998"/>
    <n v="5808.42"/>
    <n v="5165.909999999998"/>
    <n v="0.47072668673167284"/>
    <x v="23"/>
  </r>
  <r>
    <d v="2022-10-17T00:00:00"/>
    <x v="5"/>
    <x v="3"/>
    <x v="2"/>
    <n v="802.36"/>
    <n v="540.28"/>
    <n v="10"/>
    <n v="8023.6"/>
    <n v="5402.7999999999993"/>
    <n v="2620.8000000000011"/>
    <n v="0.32663642255346742"/>
    <x v="25"/>
  </r>
  <r>
    <d v="2023-08-15T00:00:00"/>
    <x v="5"/>
    <x v="3"/>
    <x v="0"/>
    <n v="952.97"/>
    <n v="525.23"/>
    <n v="5"/>
    <n v="4764.8500000000004"/>
    <n v="2626.15"/>
    <n v="2138.7000000000003"/>
    <n v="0.44884938665435431"/>
    <x v="14"/>
  </r>
  <r>
    <d v="2023-07-20T00:00:00"/>
    <x v="5"/>
    <x v="3"/>
    <x v="1"/>
    <n v="826.68"/>
    <n v="715.06"/>
    <n v="6"/>
    <n v="4960.08"/>
    <n v="4290.3599999999997"/>
    <n v="669.72000000000025"/>
    <n v="0.13502201577393919"/>
    <x v="11"/>
  </r>
  <r>
    <d v="2024-11-01T00:00:00"/>
    <x v="7"/>
    <x v="0"/>
    <x v="1"/>
    <n v="1146.68"/>
    <n v="761.08"/>
    <n v="4"/>
    <n v="4586.72"/>
    <n v="3044.32"/>
    <n v="1542.4"/>
    <n v="0.33627515959116755"/>
    <x v="2"/>
  </r>
  <r>
    <d v="2022-03-10T00:00:00"/>
    <x v="5"/>
    <x v="3"/>
    <x v="2"/>
    <n v="391.94"/>
    <n v="197.31"/>
    <n v="10"/>
    <n v="3919.4"/>
    <n v="1973.1"/>
    <n v="1946.3000000000002"/>
    <n v="0.49658110935347249"/>
    <x v="7"/>
  </r>
  <r>
    <d v="2023-06-07T00:00:00"/>
    <x v="10"/>
    <x v="2"/>
    <x v="3"/>
    <n v="1017.75"/>
    <n v="527.49"/>
    <n v="3"/>
    <n v="3053.25"/>
    <n v="1582.47"/>
    <n v="1470.78"/>
    <n v="0.48170965364775237"/>
    <x v="0"/>
  </r>
  <r>
    <d v="2024-01-16T00:00:00"/>
    <x v="6"/>
    <x v="3"/>
    <x v="0"/>
    <n v="574.5"/>
    <n v="370.18"/>
    <n v="4"/>
    <n v="2298"/>
    <n v="1480.72"/>
    <n v="817.28"/>
    <n v="0.35564838990426456"/>
    <x v="26"/>
  </r>
  <r>
    <d v="2022-10-06T00:00:00"/>
    <x v="10"/>
    <x v="2"/>
    <x v="1"/>
    <n v="722.02"/>
    <n v="451.95"/>
    <n v="8"/>
    <n v="5776.16"/>
    <n v="3615.6"/>
    <n v="2160.56"/>
    <n v="0.3740478103099637"/>
    <x v="25"/>
  </r>
  <r>
    <d v="2023-04-08T00:00:00"/>
    <x v="9"/>
    <x v="3"/>
    <x v="3"/>
    <n v="721.4"/>
    <n v="557.1"/>
    <n v="6"/>
    <n v="4328.3999999999996"/>
    <n v="3342.6000000000004"/>
    <n v="985.79999999999927"/>
    <n v="0.22775159412253937"/>
    <x v="6"/>
  </r>
  <r>
    <d v="2023-04-08T00:00:00"/>
    <x v="0"/>
    <x v="0"/>
    <x v="1"/>
    <n v="1901.79"/>
    <n v="1057.67"/>
    <n v="7"/>
    <n v="13312.529999999999"/>
    <n v="7403.6900000000005"/>
    <n v="5908.8399999999983"/>
    <n v="0.44385552558379204"/>
    <x v="6"/>
  </r>
  <r>
    <d v="2022-03-13T00:00:00"/>
    <x v="6"/>
    <x v="3"/>
    <x v="2"/>
    <n v="1154.18"/>
    <n v="729.39"/>
    <n v="8"/>
    <n v="9233.44"/>
    <n v="5835.12"/>
    <n v="3398.3200000000006"/>
    <n v="0.36804484569131335"/>
    <x v="7"/>
  </r>
  <r>
    <d v="2022-03-01T00:00:00"/>
    <x v="4"/>
    <x v="2"/>
    <x v="1"/>
    <n v="547.41999999999996"/>
    <n v="363.29"/>
    <n v="9"/>
    <n v="4926.78"/>
    <n v="3269.61"/>
    <n v="1657.1699999999996"/>
    <n v="0.33635965072522006"/>
    <x v="7"/>
  </r>
  <r>
    <d v="2022-03-03T00:00:00"/>
    <x v="0"/>
    <x v="0"/>
    <x v="0"/>
    <n v="443.94"/>
    <n v="301.39999999999998"/>
    <n v="3"/>
    <n v="1331.82"/>
    <n v="904.19999999999993"/>
    <n v="427.62"/>
    <n v="0.32107942514754245"/>
    <x v="7"/>
  </r>
  <r>
    <d v="2024-10-07T00:00:00"/>
    <x v="4"/>
    <x v="2"/>
    <x v="2"/>
    <n v="1603.59"/>
    <n v="852.99"/>
    <n v="9"/>
    <n v="14432.31"/>
    <n v="7676.91"/>
    <n v="6755.4"/>
    <n v="0.46807475726339026"/>
    <x v="17"/>
  </r>
  <r>
    <d v="2024-08-12T00:00:00"/>
    <x v="2"/>
    <x v="0"/>
    <x v="3"/>
    <n v="1094.28"/>
    <n v="934.77"/>
    <n v="9"/>
    <n v="9848.52"/>
    <n v="8412.93"/>
    <n v="1435.5900000000001"/>
    <n v="0.14576707972365391"/>
    <x v="21"/>
  </r>
  <r>
    <d v="2023-09-19T00:00:00"/>
    <x v="3"/>
    <x v="2"/>
    <x v="3"/>
    <n v="22.23"/>
    <n v="15.14"/>
    <n v="10"/>
    <n v="222.3"/>
    <n v="151.4"/>
    <n v="70.900000000000006"/>
    <n v="0.31893837156995053"/>
    <x v="24"/>
  </r>
  <r>
    <d v="2022-05-10T00:00:00"/>
    <x v="5"/>
    <x v="3"/>
    <x v="3"/>
    <n v="830.6"/>
    <n v="618.53"/>
    <n v="3"/>
    <n v="2491.8000000000002"/>
    <n v="1855.59"/>
    <n v="636.21000000000026"/>
    <n v="0.25532145437033477"/>
    <x v="35"/>
  </r>
  <r>
    <d v="2024-02-19T00:00:00"/>
    <x v="5"/>
    <x v="3"/>
    <x v="1"/>
    <n v="225.49"/>
    <n v="186.95"/>
    <n v="6"/>
    <n v="1352.94"/>
    <n v="1121.6999999999998"/>
    <n v="231.24000000000024"/>
    <n v="0.17091667036232222"/>
    <x v="34"/>
  </r>
  <r>
    <d v="2022-10-15T00:00:00"/>
    <x v="10"/>
    <x v="2"/>
    <x v="1"/>
    <n v="1129.68"/>
    <n v="1014.99"/>
    <n v="8"/>
    <n v="9037.44"/>
    <n v="8119.92"/>
    <n v="917.52000000000044"/>
    <n v="0.10152432547270028"/>
    <x v="25"/>
  </r>
  <r>
    <d v="2024-01-23T00:00:00"/>
    <x v="2"/>
    <x v="0"/>
    <x v="2"/>
    <n v="653.35"/>
    <n v="355.95"/>
    <n v="9"/>
    <n v="5880.1500000000005"/>
    <n v="3203.5499999999997"/>
    <n v="2676.6000000000008"/>
    <n v="0.45519246957985776"/>
    <x v="26"/>
  </r>
  <r>
    <d v="2023-09-21T00:00:00"/>
    <x v="3"/>
    <x v="2"/>
    <x v="1"/>
    <n v="1079.33"/>
    <n v="756.97"/>
    <n v="6"/>
    <n v="6475.98"/>
    <n v="4541.82"/>
    <n v="1934.1599999999999"/>
    <n v="0.29866676549340793"/>
    <x v="24"/>
  </r>
  <r>
    <d v="2024-04-11T00:00:00"/>
    <x v="10"/>
    <x v="2"/>
    <x v="0"/>
    <n v="1687.89"/>
    <n v="1085.31"/>
    <n v="4"/>
    <n v="6751.56"/>
    <n v="4341.24"/>
    <n v="2410.3200000000006"/>
    <n v="0.35700193733003938"/>
    <x v="22"/>
  </r>
  <r>
    <d v="2022-08-22T00:00:00"/>
    <x v="4"/>
    <x v="2"/>
    <x v="0"/>
    <n v="1318.45"/>
    <n v="817.06"/>
    <n v="5"/>
    <n v="6592.25"/>
    <n v="4085.2999999999997"/>
    <n v="2506.9500000000003"/>
    <n v="0.3802874587583906"/>
    <x v="15"/>
  </r>
  <r>
    <d v="2022-03-25T00:00:00"/>
    <x v="2"/>
    <x v="0"/>
    <x v="0"/>
    <n v="29.33"/>
    <n v="19.21"/>
    <n v="8"/>
    <n v="234.64"/>
    <n v="153.68"/>
    <n v="80.95999999999998"/>
    <n v="0.34503920900102275"/>
    <x v="7"/>
  </r>
  <r>
    <d v="2023-02-26T00:00:00"/>
    <x v="4"/>
    <x v="2"/>
    <x v="1"/>
    <n v="1928.41"/>
    <n v="1044.29"/>
    <n v="6"/>
    <n v="11570.460000000001"/>
    <n v="6265.74"/>
    <n v="5304.7200000000012"/>
    <n v="0.4584709683106809"/>
    <x v="27"/>
  </r>
  <r>
    <d v="2024-11-11T00:00:00"/>
    <x v="2"/>
    <x v="0"/>
    <x v="0"/>
    <n v="1137.1600000000001"/>
    <n v="650.16999999999996"/>
    <n v="8"/>
    <n v="9097.2800000000007"/>
    <n v="5201.3599999999997"/>
    <n v="3895.920000000001"/>
    <n v="0.42825108164198539"/>
    <x v="2"/>
  </r>
  <r>
    <d v="2023-01-26T00:00:00"/>
    <x v="3"/>
    <x v="2"/>
    <x v="0"/>
    <n v="45.06"/>
    <n v="23.69"/>
    <n v="3"/>
    <n v="135.18"/>
    <n v="71.070000000000007"/>
    <n v="64.11"/>
    <n v="0.47425654682645357"/>
    <x v="13"/>
  </r>
  <r>
    <d v="2024-07-16T00:00:00"/>
    <x v="1"/>
    <x v="1"/>
    <x v="1"/>
    <n v="663.02"/>
    <n v="365.15"/>
    <n v="10"/>
    <n v="6630.2"/>
    <n v="3651.5"/>
    <n v="2978.7"/>
    <n v="0.44926246568730954"/>
    <x v="28"/>
  </r>
  <r>
    <d v="2022-05-02T00:00:00"/>
    <x v="9"/>
    <x v="3"/>
    <x v="3"/>
    <n v="125.26"/>
    <n v="87.94"/>
    <n v="7"/>
    <n v="876.82"/>
    <n v="615.57999999999993"/>
    <n v="261.24000000000012"/>
    <n v="0.29794028420884572"/>
    <x v="35"/>
  </r>
  <r>
    <d v="2024-06-30T00:00:00"/>
    <x v="1"/>
    <x v="1"/>
    <x v="3"/>
    <n v="1312.06"/>
    <n v="1125.58"/>
    <n v="7"/>
    <n v="9184.42"/>
    <n v="7879.0599999999995"/>
    <n v="1305.3600000000006"/>
    <n v="0.14212764660152744"/>
    <x v="4"/>
  </r>
  <r>
    <d v="2024-04-20T00:00:00"/>
    <x v="3"/>
    <x v="2"/>
    <x v="0"/>
    <n v="824.04"/>
    <n v="636.17999999999995"/>
    <n v="9"/>
    <n v="7416.36"/>
    <n v="5725.62"/>
    <n v="1690.7399999999998"/>
    <n v="0.22797437017620503"/>
    <x v="22"/>
  </r>
  <r>
    <d v="2023-04-16T00:00:00"/>
    <x v="5"/>
    <x v="3"/>
    <x v="2"/>
    <n v="207.7"/>
    <n v="129.53"/>
    <n v="6"/>
    <n v="1246.1999999999998"/>
    <n v="777.18000000000006"/>
    <n v="469.01999999999975"/>
    <n v="0.37636013480982172"/>
    <x v="6"/>
  </r>
  <r>
    <d v="2023-02-26T00:00:00"/>
    <x v="6"/>
    <x v="3"/>
    <x v="2"/>
    <n v="1217.3900000000001"/>
    <n v="1003.74"/>
    <n v="1"/>
    <n v="1217.3900000000001"/>
    <n v="1003.74"/>
    <n v="213.65000000000009"/>
    <n v="0.17549840231971683"/>
    <x v="27"/>
  </r>
  <r>
    <d v="2022-02-01T00:00:00"/>
    <x v="6"/>
    <x v="3"/>
    <x v="2"/>
    <n v="679.43"/>
    <n v="359.48"/>
    <n v="7"/>
    <n v="4756.0099999999993"/>
    <n v="2516.36"/>
    <n v="2239.6499999999992"/>
    <n v="0.47090943879428332"/>
    <x v="20"/>
  </r>
  <r>
    <d v="2024-01-31T00:00:00"/>
    <x v="8"/>
    <x v="1"/>
    <x v="0"/>
    <n v="526.47"/>
    <n v="438.47"/>
    <n v="9"/>
    <n v="4738.2300000000005"/>
    <n v="3946.2300000000005"/>
    <n v="792"/>
    <n v="0.1671510247497483"/>
    <x v="26"/>
  </r>
  <r>
    <d v="2023-09-12T00:00:00"/>
    <x v="4"/>
    <x v="2"/>
    <x v="1"/>
    <n v="941.09"/>
    <n v="752.81"/>
    <n v="6"/>
    <n v="5646.54"/>
    <n v="4516.8599999999997"/>
    <n v="1129.6800000000003"/>
    <n v="0.20006588105282178"/>
    <x v="24"/>
  </r>
  <r>
    <d v="2023-05-02T00:00:00"/>
    <x v="9"/>
    <x v="3"/>
    <x v="1"/>
    <n v="1548.69"/>
    <n v="922.58"/>
    <n v="8"/>
    <n v="12389.52"/>
    <n v="7380.64"/>
    <n v="5008.88"/>
    <n v="0.40428362035010235"/>
    <x v="31"/>
  </r>
  <r>
    <d v="2024-08-27T00:00:00"/>
    <x v="10"/>
    <x v="2"/>
    <x v="1"/>
    <n v="627.45000000000005"/>
    <n v="324.19"/>
    <n v="10"/>
    <n v="6274.5"/>
    <n v="3241.9"/>
    <n v="3032.6"/>
    <n v="0.48332138018965654"/>
    <x v="21"/>
  </r>
  <r>
    <d v="2024-04-19T00:00:00"/>
    <x v="3"/>
    <x v="2"/>
    <x v="0"/>
    <n v="562.62"/>
    <n v="390.38"/>
    <n v="5"/>
    <n v="2813.1"/>
    <n v="1951.9"/>
    <n v="861.19999999999982"/>
    <n v="0.30613913476236176"/>
    <x v="22"/>
  </r>
  <r>
    <d v="2022-03-08T00:00:00"/>
    <x v="0"/>
    <x v="0"/>
    <x v="2"/>
    <n v="1887.81"/>
    <n v="1394.58"/>
    <n v="10"/>
    <n v="18878.099999999999"/>
    <n v="13945.8"/>
    <n v="4932.2999999999993"/>
    <n v="0.26127099655155972"/>
    <x v="7"/>
  </r>
  <r>
    <d v="2024-06-02T00:00:00"/>
    <x v="9"/>
    <x v="3"/>
    <x v="0"/>
    <n v="235.9"/>
    <n v="138.83000000000001"/>
    <n v="9"/>
    <n v="2123.1"/>
    <n v="1249.47"/>
    <n v="873.62999999999988"/>
    <n v="0.41148791860958028"/>
    <x v="4"/>
  </r>
  <r>
    <d v="2024-07-31T00:00:00"/>
    <x v="7"/>
    <x v="0"/>
    <x v="2"/>
    <n v="773.82"/>
    <n v="400.04"/>
    <n v="7"/>
    <n v="5416.7400000000007"/>
    <n v="2800.28"/>
    <n v="2616.4600000000005"/>
    <n v="0.48303222971750537"/>
    <x v="28"/>
  </r>
  <r>
    <d v="2022-12-23T00:00:00"/>
    <x v="4"/>
    <x v="2"/>
    <x v="2"/>
    <n v="694.89"/>
    <n v="380.9"/>
    <n v="3"/>
    <n v="2084.67"/>
    <n v="1142.6999999999998"/>
    <n v="941.97000000000025"/>
    <n v="0.45185568938968768"/>
    <x v="33"/>
  </r>
  <r>
    <d v="2024-12-29T00:00:00"/>
    <x v="2"/>
    <x v="0"/>
    <x v="3"/>
    <n v="850.02"/>
    <n v="761.19"/>
    <n v="4"/>
    <n v="3400.08"/>
    <n v="3044.76"/>
    <n v="355.31999999999971"/>
    <n v="0.10450342344885995"/>
    <x v="23"/>
  </r>
  <r>
    <d v="2024-03-24T00:00:00"/>
    <x v="8"/>
    <x v="1"/>
    <x v="3"/>
    <n v="1227.27"/>
    <n v="1069.6199999999999"/>
    <n v="1"/>
    <n v="1227.27"/>
    <n v="1069.6199999999999"/>
    <n v="157.65000000000009"/>
    <n v="0.1284558410129801"/>
    <x v="29"/>
  </r>
  <r>
    <d v="2023-08-11T00:00:00"/>
    <x v="7"/>
    <x v="0"/>
    <x v="2"/>
    <n v="1849.22"/>
    <n v="1570.02"/>
    <n v="6"/>
    <n v="11095.32"/>
    <n v="9420.119999999999"/>
    <n v="1675.2000000000007"/>
    <n v="0.15098257643763324"/>
    <x v="14"/>
  </r>
  <r>
    <d v="2022-08-30T00:00:00"/>
    <x v="10"/>
    <x v="2"/>
    <x v="1"/>
    <n v="1924.4"/>
    <n v="1163.17"/>
    <n v="1"/>
    <n v="1924.4"/>
    <n v="1163.17"/>
    <n v="761.23"/>
    <n v="0.39556744959467888"/>
    <x v="15"/>
  </r>
  <r>
    <d v="2024-05-17T00:00:00"/>
    <x v="4"/>
    <x v="2"/>
    <x v="0"/>
    <n v="1371.94"/>
    <n v="968.07"/>
    <n v="7"/>
    <n v="9603.58"/>
    <n v="6776.4900000000007"/>
    <n v="2827.0899999999992"/>
    <n v="0.29437876291966114"/>
    <x v="3"/>
  </r>
  <r>
    <d v="2023-01-31T00:00:00"/>
    <x v="2"/>
    <x v="0"/>
    <x v="0"/>
    <n v="1446.13"/>
    <n v="1124.5"/>
    <n v="7"/>
    <n v="10122.91"/>
    <n v="7871.5"/>
    <n v="2251.41"/>
    <n v="0.22240739076016677"/>
    <x v="13"/>
  </r>
  <r>
    <d v="2024-06-11T00:00:00"/>
    <x v="9"/>
    <x v="3"/>
    <x v="0"/>
    <n v="1476.33"/>
    <n v="962.41"/>
    <n v="7"/>
    <n v="10334.31"/>
    <n v="6736.87"/>
    <n v="3597.4399999999996"/>
    <n v="0.34810645316426542"/>
    <x v="4"/>
  </r>
  <r>
    <d v="2023-03-18T00:00:00"/>
    <x v="6"/>
    <x v="3"/>
    <x v="1"/>
    <n v="768.26"/>
    <n v="457.09"/>
    <n v="5"/>
    <n v="3841.3"/>
    <n v="2285.4499999999998"/>
    <n v="1555.8500000000004"/>
    <n v="0.40503215057402447"/>
    <x v="19"/>
  </r>
  <r>
    <d v="2024-02-10T00:00:00"/>
    <x v="0"/>
    <x v="0"/>
    <x v="2"/>
    <n v="185.9"/>
    <n v="127.61"/>
    <n v="4"/>
    <n v="743.6"/>
    <n v="510.44"/>
    <n v="233.16000000000003"/>
    <n v="0.31355567509413668"/>
    <x v="34"/>
  </r>
  <r>
    <d v="2022-09-19T00:00:00"/>
    <x v="6"/>
    <x v="3"/>
    <x v="0"/>
    <n v="363.38"/>
    <n v="225.73"/>
    <n v="4"/>
    <n v="1453.52"/>
    <n v="902.92"/>
    <n v="550.6"/>
    <n v="0.37880455721283507"/>
    <x v="12"/>
  </r>
  <r>
    <d v="2022-01-07T00:00:00"/>
    <x v="1"/>
    <x v="1"/>
    <x v="1"/>
    <n v="1548.48"/>
    <n v="921.48"/>
    <n v="3"/>
    <n v="4645.4400000000005"/>
    <n v="2764.44"/>
    <n v="1881.0000000000005"/>
    <n v="0.40491320520768759"/>
    <x v="9"/>
  </r>
  <r>
    <d v="2024-05-07T00:00:00"/>
    <x v="4"/>
    <x v="2"/>
    <x v="2"/>
    <n v="505.61"/>
    <n v="331.12"/>
    <n v="10"/>
    <n v="5056.1000000000004"/>
    <n v="3311.2"/>
    <n v="1744.9000000000005"/>
    <n v="0.34510788948003412"/>
    <x v="3"/>
  </r>
  <r>
    <d v="2023-01-12T00:00:00"/>
    <x v="0"/>
    <x v="0"/>
    <x v="3"/>
    <n v="1025.5899999999999"/>
    <n v="641.03"/>
    <n v="5"/>
    <n v="5127.95"/>
    <n v="3205.1499999999996"/>
    <n v="1922.8000000000002"/>
    <n v="0.37496465449156102"/>
    <x v="13"/>
  </r>
  <r>
    <d v="2022-02-14T00:00:00"/>
    <x v="8"/>
    <x v="1"/>
    <x v="1"/>
    <n v="386.52"/>
    <n v="294.12"/>
    <n v="10"/>
    <n v="3865.2"/>
    <n v="2941.2"/>
    <n v="924"/>
    <n v="0.23905619372865572"/>
    <x v="20"/>
  </r>
  <r>
    <d v="2022-06-19T00:00:00"/>
    <x v="2"/>
    <x v="0"/>
    <x v="0"/>
    <n v="537.82000000000005"/>
    <n v="311.93"/>
    <n v="7"/>
    <n v="3764.7400000000002"/>
    <n v="2183.5100000000002"/>
    <n v="1581.23"/>
    <n v="0.42001041240563758"/>
    <x v="18"/>
  </r>
  <r>
    <d v="2022-04-20T00:00:00"/>
    <x v="5"/>
    <x v="3"/>
    <x v="1"/>
    <n v="1006.77"/>
    <n v="852.15"/>
    <n v="3"/>
    <n v="3020.31"/>
    <n v="2556.4499999999998"/>
    <n v="463.86000000000013"/>
    <n v="0.15358026162877325"/>
    <x v="32"/>
  </r>
  <r>
    <d v="2024-03-23T00:00:00"/>
    <x v="3"/>
    <x v="2"/>
    <x v="3"/>
    <n v="1612.6"/>
    <n v="1357.74"/>
    <n v="4"/>
    <n v="6450.4"/>
    <n v="5430.96"/>
    <n v="1019.4399999999996"/>
    <n v="0.15804291206746862"/>
    <x v="29"/>
  </r>
  <r>
    <d v="2024-03-02T00:00:00"/>
    <x v="7"/>
    <x v="0"/>
    <x v="1"/>
    <n v="1450.45"/>
    <n v="1289.6099999999999"/>
    <n v="6"/>
    <n v="8702.7000000000007"/>
    <n v="7737.66"/>
    <n v="965.04000000000087"/>
    <n v="0.11088972387879632"/>
    <x v="29"/>
  </r>
  <r>
    <d v="2023-10-17T00:00:00"/>
    <x v="1"/>
    <x v="1"/>
    <x v="1"/>
    <n v="860.22"/>
    <n v="467.76"/>
    <n v="3"/>
    <n v="2580.66"/>
    <n v="1403.28"/>
    <n v="1177.3799999999999"/>
    <n v="0.45623212666527163"/>
    <x v="5"/>
  </r>
  <r>
    <d v="2023-02-14T00:00:00"/>
    <x v="5"/>
    <x v="3"/>
    <x v="3"/>
    <n v="1123.27"/>
    <n v="788.13"/>
    <n v="10"/>
    <n v="11232.7"/>
    <n v="7881.3"/>
    <n v="3351.4000000000005"/>
    <n v="0.29836103519189511"/>
    <x v="27"/>
  </r>
  <r>
    <d v="2024-02-10T00:00:00"/>
    <x v="10"/>
    <x v="2"/>
    <x v="1"/>
    <n v="746.86"/>
    <n v="550.76"/>
    <n v="7"/>
    <n v="5228.0200000000004"/>
    <n v="3855.3199999999997"/>
    <n v="1372.7000000000007"/>
    <n v="0.26256594274696743"/>
    <x v="34"/>
  </r>
  <r>
    <d v="2023-10-08T00:00:00"/>
    <x v="6"/>
    <x v="3"/>
    <x v="0"/>
    <n v="735.4"/>
    <n v="441.05"/>
    <n v="2"/>
    <n v="1470.8"/>
    <n v="882.1"/>
    <n v="588.69999999999993"/>
    <n v="0.40025836279575738"/>
    <x v="5"/>
  </r>
  <r>
    <d v="2024-09-23T00:00:00"/>
    <x v="7"/>
    <x v="0"/>
    <x v="1"/>
    <n v="1819.64"/>
    <n v="1442.38"/>
    <n v="7"/>
    <n v="12737.480000000001"/>
    <n v="10096.66"/>
    <n v="2640.8200000000015"/>
    <n v="0.20732672396737825"/>
    <x v="16"/>
  </r>
  <r>
    <d v="2024-10-29T00:00:00"/>
    <x v="4"/>
    <x v="2"/>
    <x v="3"/>
    <n v="316.05"/>
    <n v="222.69"/>
    <n v="4"/>
    <n v="1264.2"/>
    <n v="890.76"/>
    <n v="373.44000000000005"/>
    <n v="0.29539629805410539"/>
    <x v="17"/>
  </r>
  <r>
    <d v="2024-04-14T00:00:00"/>
    <x v="8"/>
    <x v="1"/>
    <x v="0"/>
    <n v="1858.77"/>
    <n v="1047.8599999999999"/>
    <n v="2"/>
    <n v="3717.54"/>
    <n v="2095.7199999999998"/>
    <n v="1621.8200000000002"/>
    <n v="0.43626161386293089"/>
    <x v="22"/>
  </r>
  <r>
    <d v="2024-12-16T00:00:00"/>
    <x v="10"/>
    <x v="2"/>
    <x v="0"/>
    <n v="526.17999999999995"/>
    <n v="385.35"/>
    <n v="2"/>
    <n v="1052.3599999999999"/>
    <n v="770.7"/>
    <n v="281.65999999999985"/>
    <n v="0.26764605268159175"/>
    <x v="23"/>
  </r>
  <r>
    <d v="2023-11-15T00:00:00"/>
    <x v="1"/>
    <x v="1"/>
    <x v="1"/>
    <n v="1449.91"/>
    <n v="1304.31"/>
    <n v="6"/>
    <n v="8699.4600000000009"/>
    <n v="7825.86"/>
    <n v="873.60000000000127"/>
    <n v="0.10042002607058383"/>
    <x v="10"/>
  </r>
  <r>
    <d v="2024-11-30T00:00:00"/>
    <x v="3"/>
    <x v="2"/>
    <x v="3"/>
    <n v="1957.27"/>
    <n v="1571.26"/>
    <n v="7"/>
    <n v="13700.89"/>
    <n v="10998.82"/>
    <n v="2702.0699999999997"/>
    <n v="0.19721857485170671"/>
    <x v="2"/>
  </r>
  <r>
    <d v="2024-04-18T00:00:00"/>
    <x v="6"/>
    <x v="3"/>
    <x v="3"/>
    <n v="1323.91"/>
    <n v="773.19"/>
    <n v="3"/>
    <n v="3971.7300000000005"/>
    <n v="2319.5700000000002"/>
    <n v="1652.1600000000003"/>
    <n v="0.41597993821332269"/>
    <x v="22"/>
  </r>
  <r>
    <d v="2023-07-24T00:00:00"/>
    <x v="5"/>
    <x v="3"/>
    <x v="0"/>
    <n v="659"/>
    <n v="556.94000000000005"/>
    <n v="3"/>
    <n v="1977"/>
    <n v="1670.8200000000002"/>
    <n v="306.17999999999984"/>
    <n v="0.15487101669195744"/>
    <x v="11"/>
  </r>
  <r>
    <d v="2023-04-16T00:00:00"/>
    <x v="2"/>
    <x v="0"/>
    <x v="3"/>
    <n v="1856"/>
    <n v="1387.99"/>
    <n v="6"/>
    <n v="11136"/>
    <n v="8327.94"/>
    <n v="2808.0599999999995"/>
    <n v="0.25216056034482753"/>
    <x v="6"/>
  </r>
  <r>
    <d v="2024-10-02T00:00:00"/>
    <x v="10"/>
    <x v="2"/>
    <x v="3"/>
    <n v="1768.23"/>
    <n v="1228.04"/>
    <n v="3"/>
    <n v="5304.6900000000005"/>
    <n v="3684.12"/>
    <n v="1620.5700000000006"/>
    <n v="0.30549758798346377"/>
    <x v="17"/>
  </r>
  <r>
    <d v="2022-06-26T00:00:00"/>
    <x v="0"/>
    <x v="0"/>
    <x v="2"/>
    <n v="983.55"/>
    <n v="856.17"/>
    <n v="5"/>
    <n v="4917.75"/>
    <n v="4280.8499999999995"/>
    <n v="636.90000000000055"/>
    <n v="0.12951044685069402"/>
    <x v="18"/>
  </r>
  <r>
    <d v="2023-06-07T00:00:00"/>
    <x v="9"/>
    <x v="3"/>
    <x v="3"/>
    <n v="1622.07"/>
    <n v="1109.79"/>
    <n v="5"/>
    <n v="8110.3499999999995"/>
    <n v="5548.95"/>
    <n v="2561.3999999999996"/>
    <n v="0.31581867613604836"/>
    <x v="0"/>
  </r>
  <r>
    <d v="2023-03-10T00:00:00"/>
    <x v="0"/>
    <x v="0"/>
    <x v="3"/>
    <n v="78.66"/>
    <n v="68.48"/>
    <n v="4"/>
    <n v="314.64"/>
    <n v="273.92"/>
    <n v="40.71999999999997"/>
    <n v="0.12941774726671743"/>
    <x v="19"/>
  </r>
  <r>
    <d v="2024-02-24T00:00:00"/>
    <x v="3"/>
    <x v="2"/>
    <x v="0"/>
    <n v="265.38"/>
    <n v="199.59"/>
    <n v="6"/>
    <n v="1592.28"/>
    <n v="1197.54"/>
    <n v="394.74"/>
    <n v="0.24790865928103098"/>
    <x v="34"/>
  </r>
  <r>
    <d v="2024-06-19T00:00:00"/>
    <x v="5"/>
    <x v="3"/>
    <x v="2"/>
    <n v="1769.46"/>
    <n v="1366.53"/>
    <n v="2"/>
    <n v="3538.92"/>
    <n v="2733.06"/>
    <n v="805.86000000000013"/>
    <n v="0.22771353972398362"/>
    <x v="4"/>
  </r>
  <r>
    <d v="2023-11-09T00:00:00"/>
    <x v="6"/>
    <x v="3"/>
    <x v="3"/>
    <n v="405.31"/>
    <n v="221.1"/>
    <n v="9"/>
    <n v="3647.79"/>
    <n v="1989.8999999999999"/>
    <n v="1657.89"/>
    <n v="0.45449162369544305"/>
    <x v="10"/>
  </r>
  <r>
    <d v="2024-02-02T00:00:00"/>
    <x v="3"/>
    <x v="2"/>
    <x v="0"/>
    <n v="1577.87"/>
    <n v="949.77"/>
    <n v="2"/>
    <n v="3155.74"/>
    <n v="1899.54"/>
    <n v="1256.1999999999998"/>
    <n v="0.39806828192436639"/>
    <x v="34"/>
  </r>
  <r>
    <d v="2023-02-17T00:00:00"/>
    <x v="0"/>
    <x v="0"/>
    <x v="2"/>
    <n v="1282.0899999999999"/>
    <n v="707.89"/>
    <n v="1"/>
    <n v="1282.0899999999999"/>
    <n v="707.89"/>
    <n v="574.19999999999993"/>
    <n v="0.44786247455326844"/>
    <x v="27"/>
  </r>
  <r>
    <d v="2024-04-26T00:00:00"/>
    <x v="7"/>
    <x v="0"/>
    <x v="1"/>
    <n v="582.41"/>
    <n v="513.29"/>
    <n v="4"/>
    <n v="2329.64"/>
    <n v="2053.16"/>
    <n v="276.48"/>
    <n v="0.11867928091894028"/>
    <x v="22"/>
  </r>
  <r>
    <d v="2022-10-25T00:00:00"/>
    <x v="7"/>
    <x v="0"/>
    <x v="0"/>
    <n v="402.54"/>
    <n v="338.39"/>
    <n v="6"/>
    <n v="2415.2400000000002"/>
    <n v="2030.34"/>
    <n v="384.90000000000032"/>
    <n v="0.15936304466636866"/>
    <x v="25"/>
  </r>
  <r>
    <d v="2022-05-16T00:00:00"/>
    <x v="5"/>
    <x v="3"/>
    <x v="3"/>
    <n v="1646.38"/>
    <n v="1089.6600000000001"/>
    <n v="6"/>
    <n v="9878.2800000000007"/>
    <n v="6537.9600000000009"/>
    <n v="3340.3199999999997"/>
    <n v="0.33814793668533383"/>
    <x v="35"/>
  </r>
  <r>
    <d v="2023-06-03T00:00:00"/>
    <x v="6"/>
    <x v="3"/>
    <x v="2"/>
    <n v="1906.41"/>
    <n v="1300.94"/>
    <n v="4"/>
    <n v="7625.64"/>
    <n v="5203.76"/>
    <n v="2421.88"/>
    <n v="0.31759694923967036"/>
    <x v="0"/>
  </r>
  <r>
    <d v="2023-10-18T00:00:00"/>
    <x v="9"/>
    <x v="3"/>
    <x v="3"/>
    <n v="132.66999999999999"/>
    <n v="90.21"/>
    <n v="8"/>
    <n v="1061.3599999999999"/>
    <n v="721.68"/>
    <n v="339.67999999999995"/>
    <n v="0.32004220999472371"/>
    <x v="5"/>
  </r>
  <r>
    <d v="2022-04-23T00:00:00"/>
    <x v="0"/>
    <x v="0"/>
    <x v="3"/>
    <n v="35.15"/>
    <n v="28.92"/>
    <n v="3"/>
    <n v="105.44999999999999"/>
    <n v="86.76"/>
    <n v="18.689999999999984"/>
    <n v="0.17724039829302973"/>
    <x v="32"/>
  </r>
  <r>
    <d v="2022-11-25T00:00:00"/>
    <x v="1"/>
    <x v="1"/>
    <x v="3"/>
    <n v="798.66"/>
    <n v="541"/>
    <n v="2"/>
    <n v="1597.32"/>
    <n v="1082"/>
    <n v="515.31999999999994"/>
    <n v="0.32261538076277763"/>
    <x v="1"/>
  </r>
  <r>
    <d v="2024-03-31T00:00:00"/>
    <x v="9"/>
    <x v="3"/>
    <x v="1"/>
    <n v="1675.85"/>
    <n v="932.14"/>
    <n v="3"/>
    <n v="5027.5499999999993"/>
    <n v="2796.42"/>
    <n v="2231.1299999999992"/>
    <n v="0.44378076796849353"/>
    <x v="29"/>
  </r>
  <r>
    <d v="2024-06-24T00:00:00"/>
    <x v="7"/>
    <x v="0"/>
    <x v="2"/>
    <n v="1951.99"/>
    <n v="1169.8800000000001"/>
    <n v="8"/>
    <n v="15615.92"/>
    <n v="9359.0400000000009"/>
    <n v="6256.8799999999992"/>
    <n v="0.40067315918626628"/>
    <x v="4"/>
  </r>
  <r>
    <d v="2024-07-03T00:00:00"/>
    <x v="2"/>
    <x v="0"/>
    <x v="3"/>
    <n v="608.02"/>
    <n v="372.71"/>
    <n v="4"/>
    <n v="2432.08"/>
    <n v="1490.84"/>
    <n v="941.24"/>
    <n v="0.38701029571395679"/>
    <x v="28"/>
  </r>
  <r>
    <d v="2024-12-05T00:00:00"/>
    <x v="10"/>
    <x v="2"/>
    <x v="2"/>
    <n v="661.52"/>
    <n v="445.01"/>
    <n v="3"/>
    <n v="1984.56"/>
    <n v="1335.03"/>
    <n v="649.53"/>
    <n v="0.32729169186116819"/>
    <x v="23"/>
  </r>
  <r>
    <d v="2022-07-22T00:00:00"/>
    <x v="7"/>
    <x v="0"/>
    <x v="0"/>
    <n v="1193.76"/>
    <n v="772.45"/>
    <n v="5"/>
    <n v="5968.8"/>
    <n v="3862.25"/>
    <n v="2106.5500000000002"/>
    <n v="0.35292688647634368"/>
    <x v="8"/>
  </r>
  <r>
    <d v="2022-12-26T00:00:00"/>
    <x v="4"/>
    <x v="2"/>
    <x v="0"/>
    <n v="1520.81"/>
    <n v="1139.48"/>
    <n v="1"/>
    <n v="1520.81"/>
    <n v="1139.48"/>
    <n v="381.32999999999993"/>
    <n v="0.2507413812376299"/>
    <x v="33"/>
  </r>
  <r>
    <d v="2022-12-03T00:00:00"/>
    <x v="9"/>
    <x v="3"/>
    <x v="1"/>
    <n v="1808.84"/>
    <n v="985.41"/>
    <n v="4"/>
    <n v="7235.36"/>
    <n v="3941.64"/>
    <n v="3293.72"/>
    <n v="0.45522544835364098"/>
    <x v="33"/>
  </r>
  <r>
    <d v="2022-01-30T00:00:00"/>
    <x v="1"/>
    <x v="1"/>
    <x v="2"/>
    <n v="1832.05"/>
    <n v="926.25"/>
    <n v="10"/>
    <n v="18320.5"/>
    <n v="9262.5"/>
    <n v="9058"/>
    <n v="0.49441882044704022"/>
    <x v="9"/>
  </r>
  <r>
    <d v="2023-03-17T00:00:00"/>
    <x v="2"/>
    <x v="0"/>
    <x v="0"/>
    <n v="1527.25"/>
    <n v="772.68"/>
    <n v="5"/>
    <n v="7636.25"/>
    <n v="3863.3999999999996"/>
    <n v="3772.8500000000004"/>
    <n v="0.49407104272385011"/>
    <x v="19"/>
  </r>
  <r>
    <d v="2022-04-13T00:00:00"/>
    <x v="4"/>
    <x v="2"/>
    <x v="0"/>
    <n v="1902.08"/>
    <n v="1217.47"/>
    <n v="7"/>
    <n v="13314.56"/>
    <n v="8522.2900000000009"/>
    <n v="4792.2699999999986"/>
    <n v="0.35992702725437409"/>
    <x v="32"/>
  </r>
  <r>
    <d v="2022-03-18T00:00:00"/>
    <x v="6"/>
    <x v="3"/>
    <x v="1"/>
    <n v="1580.46"/>
    <n v="1229.52"/>
    <n v="2"/>
    <n v="3160.92"/>
    <n v="2459.04"/>
    <n v="701.88000000000011"/>
    <n v="0.22204927679283248"/>
    <x v="7"/>
  </r>
  <r>
    <d v="2022-04-04T00:00:00"/>
    <x v="5"/>
    <x v="3"/>
    <x v="0"/>
    <n v="149.32"/>
    <n v="113.81"/>
    <n v="10"/>
    <n v="1493.1999999999998"/>
    <n v="1138.0999999999999"/>
    <n v="355.09999999999991"/>
    <n v="0.23781141173319043"/>
    <x v="32"/>
  </r>
  <r>
    <d v="2024-11-22T00:00:00"/>
    <x v="1"/>
    <x v="1"/>
    <x v="3"/>
    <n v="1774.53"/>
    <n v="1491.39"/>
    <n v="2"/>
    <n v="3549.06"/>
    <n v="2982.78"/>
    <n v="566.27999999999975"/>
    <n v="0.15955774205000753"/>
    <x v="2"/>
  </r>
  <r>
    <d v="2023-09-26T00:00:00"/>
    <x v="4"/>
    <x v="2"/>
    <x v="0"/>
    <n v="1828.27"/>
    <n v="1202.83"/>
    <n v="4"/>
    <n v="7313.08"/>
    <n v="4811.32"/>
    <n v="2501.7600000000002"/>
    <n v="0.342093892040016"/>
    <x v="24"/>
  </r>
  <r>
    <d v="2023-12-24T00:00:00"/>
    <x v="8"/>
    <x v="1"/>
    <x v="3"/>
    <n v="1052.1400000000001"/>
    <n v="745.91"/>
    <n v="4"/>
    <n v="4208.5600000000004"/>
    <n v="2983.64"/>
    <n v="1224.9200000000005"/>
    <n v="0.29105442241526802"/>
    <x v="30"/>
  </r>
  <r>
    <d v="2023-11-10T00:00:00"/>
    <x v="5"/>
    <x v="3"/>
    <x v="1"/>
    <n v="1372.82"/>
    <n v="1018.84"/>
    <n v="4"/>
    <n v="5491.28"/>
    <n v="4075.36"/>
    <n v="1415.9199999999996"/>
    <n v="0.25784880756399231"/>
    <x v="10"/>
  </r>
  <r>
    <d v="2023-08-04T00:00:00"/>
    <x v="8"/>
    <x v="1"/>
    <x v="2"/>
    <n v="891.53"/>
    <n v="705.58"/>
    <n v="4"/>
    <n v="3566.12"/>
    <n v="2822.32"/>
    <n v="743.79999999999973"/>
    <n v="0.20857402442991255"/>
    <x v="14"/>
  </r>
  <r>
    <d v="2022-10-28T00:00:00"/>
    <x v="6"/>
    <x v="3"/>
    <x v="1"/>
    <n v="1329.51"/>
    <n v="671.01"/>
    <n v="8"/>
    <n v="10636.08"/>
    <n v="5368.08"/>
    <n v="5268"/>
    <n v="0.49529525915562878"/>
    <x v="25"/>
  </r>
  <r>
    <d v="2024-01-18T00:00:00"/>
    <x v="10"/>
    <x v="2"/>
    <x v="0"/>
    <n v="240.53"/>
    <n v="144.27000000000001"/>
    <n v="5"/>
    <n v="1202.6500000000001"/>
    <n v="721.35"/>
    <n v="481.30000000000007"/>
    <n v="0.40019955930653145"/>
    <x v="26"/>
  </r>
  <r>
    <d v="2024-07-16T00:00:00"/>
    <x v="2"/>
    <x v="0"/>
    <x v="3"/>
    <n v="1035.57"/>
    <n v="653.99"/>
    <n v="10"/>
    <n v="10355.699999999999"/>
    <n v="6539.9"/>
    <n v="3815.7999999999993"/>
    <n v="0.36847340112208732"/>
    <x v="28"/>
  </r>
  <r>
    <d v="2022-12-18T00:00:00"/>
    <x v="0"/>
    <x v="0"/>
    <x v="1"/>
    <n v="334.54"/>
    <n v="277.91000000000003"/>
    <n v="2"/>
    <n v="669.08"/>
    <n v="555.82000000000005"/>
    <n v="113.25999999999999"/>
    <n v="0.16927721647635557"/>
    <x v="33"/>
  </r>
  <r>
    <d v="2022-06-25T00:00:00"/>
    <x v="9"/>
    <x v="3"/>
    <x v="1"/>
    <n v="368.78"/>
    <n v="252.45"/>
    <n v="1"/>
    <n v="368.78"/>
    <n v="252.45"/>
    <n v="116.32999999999998"/>
    <n v="0.3154455230760887"/>
    <x v="18"/>
  </r>
  <r>
    <d v="2022-07-07T00:00:00"/>
    <x v="6"/>
    <x v="3"/>
    <x v="1"/>
    <n v="1532.83"/>
    <n v="1116.3900000000001"/>
    <n v="8"/>
    <n v="12262.64"/>
    <n v="8931.1200000000008"/>
    <n v="3331.5199999999986"/>
    <n v="0.27168048642054232"/>
    <x v="8"/>
  </r>
  <r>
    <d v="2024-01-10T00:00:00"/>
    <x v="2"/>
    <x v="0"/>
    <x v="0"/>
    <n v="614.91"/>
    <n v="395.4"/>
    <n v="6"/>
    <n v="3689.46"/>
    <n v="2372.3999999999996"/>
    <n v="1317.0600000000004"/>
    <n v="0.35697907010782076"/>
    <x v="26"/>
  </r>
  <r>
    <d v="2023-05-01T00:00:00"/>
    <x v="6"/>
    <x v="3"/>
    <x v="1"/>
    <n v="1527.87"/>
    <n v="879.46"/>
    <n v="5"/>
    <n v="7639.3499999999995"/>
    <n v="4397.3"/>
    <n v="3242.0499999999993"/>
    <n v="0.4243882005668021"/>
    <x v="31"/>
  </r>
  <r>
    <d v="2023-04-08T00:00:00"/>
    <x v="3"/>
    <x v="2"/>
    <x v="1"/>
    <n v="664.54"/>
    <n v="371.18"/>
    <n v="10"/>
    <n v="6645.4"/>
    <n v="3711.8"/>
    <n v="2933.5999999999995"/>
    <n v="0.44144821982122967"/>
    <x v="6"/>
  </r>
  <r>
    <d v="2022-10-30T00:00:00"/>
    <x v="2"/>
    <x v="0"/>
    <x v="1"/>
    <n v="780.9"/>
    <n v="620.73"/>
    <n v="5"/>
    <n v="3904.5"/>
    <n v="3103.65"/>
    <n v="800.84999999999991"/>
    <n v="0.20510948905109486"/>
    <x v="25"/>
  </r>
  <r>
    <d v="2024-03-06T00:00:00"/>
    <x v="7"/>
    <x v="0"/>
    <x v="1"/>
    <n v="235.24"/>
    <n v="130.49"/>
    <n v="7"/>
    <n v="1646.68"/>
    <n v="913.43000000000006"/>
    <n v="733.25"/>
    <n v="0.44528991668083656"/>
    <x v="29"/>
  </r>
  <r>
    <d v="2022-03-07T00:00:00"/>
    <x v="9"/>
    <x v="3"/>
    <x v="0"/>
    <n v="1625.61"/>
    <n v="1263.82"/>
    <n v="7"/>
    <n v="11379.269999999999"/>
    <n v="8846.74"/>
    <n v="2532.5299999999988"/>
    <n v="0.22255645573046418"/>
    <x v="7"/>
  </r>
  <r>
    <d v="2024-04-04T00:00:00"/>
    <x v="8"/>
    <x v="1"/>
    <x v="3"/>
    <n v="626.51"/>
    <n v="362.69"/>
    <n v="1"/>
    <n v="626.51"/>
    <n v="362.69"/>
    <n v="263.82"/>
    <n v="0.42109463536096792"/>
    <x v="22"/>
  </r>
  <r>
    <d v="2022-09-13T00:00:00"/>
    <x v="4"/>
    <x v="2"/>
    <x v="3"/>
    <n v="215.41"/>
    <n v="148.58000000000001"/>
    <n v="6"/>
    <n v="1292.46"/>
    <n v="891.48"/>
    <n v="400.98"/>
    <n v="0.31024557819971216"/>
    <x v="12"/>
  </r>
  <r>
    <d v="2022-12-21T00:00:00"/>
    <x v="4"/>
    <x v="2"/>
    <x v="2"/>
    <n v="339.67"/>
    <n v="303.33999999999997"/>
    <n v="3"/>
    <n v="1019.01"/>
    <n v="910.02"/>
    <n v="108.99000000000001"/>
    <n v="0.10695675214178468"/>
    <x v="33"/>
  </r>
  <r>
    <d v="2023-06-22T00:00:00"/>
    <x v="2"/>
    <x v="0"/>
    <x v="0"/>
    <n v="43.23"/>
    <n v="24.68"/>
    <n v="8"/>
    <n v="345.84"/>
    <n v="197.44"/>
    <n v="148.39999999999998"/>
    <n v="0.42910016192458938"/>
    <x v="0"/>
  </r>
  <r>
    <d v="2023-04-27T00:00:00"/>
    <x v="10"/>
    <x v="2"/>
    <x v="2"/>
    <n v="720.43"/>
    <n v="468.59"/>
    <n v="8"/>
    <n v="5763.44"/>
    <n v="3748.72"/>
    <n v="2014.7199999999998"/>
    <n v="0.34956900739835928"/>
    <x v="6"/>
  </r>
  <r>
    <d v="2024-06-01T00:00:00"/>
    <x v="10"/>
    <x v="2"/>
    <x v="0"/>
    <n v="565.41"/>
    <n v="460.96"/>
    <n v="5"/>
    <n v="2827.0499999999997"/>
    <n v="2304.7999999999997"/>
    <n v="522.25"/>
    <n v="0.18473320245485578"/>
    <x v="4"/>
  </r>
  <r>
    <d v="2023-08-09T00:00:00"/>
    <x v="10"/>
    <x v="2"/>
    <x v="1"/>
    <n v="926.02"/>
    <n v="643.23"/>
    <n v="4"/>
    <n v="3704.08"/>
    <n v="2572.92"/>
    <n v="1131.1599999999999"/>
    <n v="0.30538217317120575"/>
    <x v="14"/>
  </r>
  <r>
    <d v="2024-08-12T00:00:00"/>
    <x v="7"/>
    <x v="0"/>
    <x v="2"/>
    <n v="608.71"/>
    <n v="477.6"/>
    <n v="6"/>
    <n v="3652.26"/>
    <n v="2865.6000000000004"/>
    <n v="786.65999999999985"/>
    <n v="0.21538992295181608"/>
    <x v="21"/>
  </r>
  <r>
    <d v="2023-01-20T00:00:00"/>
    <x v="10"/>
    <x v="2"/>
    <x v="2"/>
    <n v="254.42"/>
    <n v="193.32"/>
    <n v="2"/>
    <n v="508.84"/>
    <n v="386.64"/>
    <n v="122.19999999999999"/>
    <n v="0.2401540759374263"/>
    <x v="13"/>
  </r>
  <r>
    <d v="2022-04-08T00:00:00"/>
    <x v="4"/>
    <x v="2"/>
    <x v="2"/>
    <n v="752"/>
    <n v="442.65"/>
    <n v="3"/>
    <n v="2256"/>
    <n v="1327.9499999999998"/>
    <n v="928.05000000000018"/>
    <n v="0.4113696808510639"/>
    <x v="32"/>
  </r>
  <r>
    <d v="2024-05-11T00:00:00"/>
    <x v="8"/>
    <x v="1"/>
    <x v="3"/>
    <n v="1785.19"/>
    <n v="1441.5"/>
    <n v="1"/>
    <n v="1785.19"/>
    <n v="1441.5"/>
    <n v="343.69000000000005"/>
    <n v="0.19252292473070096"/>
    <x v="3"/>
  </r>
  <r>
    <d v="2024-07-25T00:00:00"/>
    <x v="4"/>
    <x v="2"/>
    <x v="1"/>
    <n v="1670.49"/>
    <n v="1250.8"/>
    <n v="4"/>
    <n v="6681.96"/>
    <n v="5003.2"/>
    <n v="1678.7600000000002"/>
    <n v="0.25123766080611082"/>
    <x v="28"/>
  </r>
  <r>
    <d v="2024-03-27T00:00:00"/>
    <x v="6"/>
    <x v="3"/>
    <x v="2"/>
    <n v="1426.44"/>
    <n v="1016.93"/>
    <n v="6"/>
    <n v="8558.64"/>
    <n v="6101.58"/>
    <n v="2457.0599999999995"/>
    <n v="0.2870853313143209"/>
    <x v="29"/>
  </r>
  <r>
    <d v="2023-10-26T00:00:00"/>
    <x v="6"/>
    <x v="3"/>
    <x v="2"/>
    <n v="1273.74"/>
    <n v="836.13"/>
    <n v="9"/>
    <n v="11463.66"/>
    <n v="7525.17"/>
    <n v="3938.49"/>
    <n v="0.34356305054406705"/>
    <x v="5"/>
  </r>
  <r>
    <d v="2023-08-25T00:00:00"/>
    <x v="0"/>
    <x v="0"/>
    <x v="2"/>
    <n v="1453.66"/>
    <n v="1010.38"/>
    <n v="10"/>
    <n v="14536.6"/>
    <n v="10103.799999999999"/>
    <n v="4432.8000000000011"/>
    <n v="0.30494063261010146"/>
    <x v="14"/>
  </r>
  <r>
    <d v="2022-12-23T00:00:00"/>
    <x v="5"/>
    <x v="3"/>
    <x v="3"/>
    <n v="42.7"/>
    <n v="37.770000000000003"/>
    <n v="5"/>
    <n v="213.5"/>
    <n v="188.85000000000002"/>
    <n v="24.649999999999977"/>
    <n v="0.1154566744730678"/>
    <x v="33"/>
  </r>
  <r>
    <d v="2024-04-21T00:00:00"/>
    <x v="3"/>
    <x v="2"/>
    <x v="2"/>
    <n v="1458.51"/>
    <n v="1078.31"/>
    <n v="10"/>
    <n v="14585.1"/>
    <n v="10783.099999999999"/>
    <n v="3802.0000000000018"/>
    <n v="0.26067699227293617"/>
    <x v="22"/>
  </r>
  <r>
    <d v="2023-06-24T00:00:00"/>
    <x v="1"/>
    <x v="1"/>
    <x v="1"/>
    <n v="99.15"/>
    <n v="55.85"/>
    <n v="5"/>
    <n v="495.75"/>
    <n v="279.25"/>
    <n v="216.5"/>
    <n v="0.4367120524457892"/>
    <x v="0"/>
  </r>
  <r>
    <d v="2024-12-03T00:00:00"/>
    <x v="3"/>
    <x v="2"/>
    <x v="2"/>
    <n v="1884.18"/>
    <n v="1594"/>
    <n v="2"/>
    <n v="3768.36"/>
    <n v="3188"/>
    <n v="580.36000000000013"/>
    <n v="0.15400864036344725"/>
    <x v="23"/>
  </r>
  <r>
    <d v="2022-02-21T00:00:00"/>
    <x v="5"/>
    <x v="3"/>
    <x v="1"/>
    <n v="1625.25"/>
    <n v="1015.52"/>
    <n v="7"/>
    <n v="11376.75"/>
    <n v="7108.6399999999994"/>
    <n v="4268.1100000000006"/>
    <n v="0.37516074450084608"/>
    <x v="20"/>
  </r>
  <r>
    <d v="2024-09-27T00:00:00"/>
    <x v="1"/>
    <x v="1"/>
    <x v="3"/>
    <n v="315.06"/>
    <n v="195.54"/>
    <n v="10"/>
    <n v="3150.6"/>
    <n v="1955.3999999999999"/>
    <n v="1195.2"/>
    <n v="0.37935631308322226"/>
    <x v="16"/>
  </r>
  <r>
    <d v="2023-11-11T00:00:00"/>
    <x v="1"/>
    <x v="1"/>
    <x v="1"/>
    <n v="71.36"/>
    <n v="51.28"/>
    <n v="10"/>
    <n v="713.6"/>
    <n v="512.79999999999995"/>
    <n v="200.80000000000007"/>
    <n v="0.28139013452914807"/>
    <x v="10"/>
  </r>
  <r>
    <d v="2023-03-24T00:00:00"/>
    <x v="7"/>
    <x v="0"/>
    <x v="1"/>
    <n v="541.54999999999995"/>
    <n v="422"/>
    <n v="1"/>
    <n v="541.54999999999995"/>
    <n v="422"/>
    <n v="119.54999999999995"/>
    <n v="0.22075523959006549"/>
    <x v="19"/>
  </r>
  <r>
    <d v="2023-12-21T00:00:00"/>
    <x v="3"/>
    <x v="2"/>
    <x v="2"/>
    <n v="980.71"/>
    <n v="794.77"/>
    <n v="3"/>
    <n v="2942.13"/>
    <n v="2384.31"/>
    <n v="557.82000000000016"/>
    <n v="0.18959733254478903"/>
    <x v="30"/>
  </r>
  <r>
    <d v="2024-05-29T00:00:00"/>
    <x v="5"/>
    <x v="3"/>
    <x v="1"/>
    <n v="257.97000000000003"/>
    <n v="160.13"/>
    <n v="5"/>
    <n v="1289.8500000000001"/>
    <n v="800.65"/>
    <n v="489.20000000000016"/>
    <n v="0.37926890723727574"/>
    <x v="3"/>
  </r>
  <r>
    <d v="2024-05-03T00:00:00"/>
    <x v="6"/>
    <x v="3"/>
    <x v="3"/>
    <n v="1893.59"/>
    <n v="1644.72"/>
    <n v="10"/>
    <n v="18935.899999999998"/>
    <n v="16447.2"/>
    <n v="2488.6999999999971"/>
    <n v="0.13142760576471132"/>
    <x v="3"/>
  </r>
  <r>
    <d v="2022-05-11T00:00:00"/>
    <x v="3"/>
    <x v="2"/>
    <x v="0"/>
    <n v="261.3"/>
    <n v="211.03"/>
    <n v="9"/>
    <n v="2351.7000000000003"/>
    <n v="1899.27"/>
    <n v="452.43000000000029"/>
    <n v="0.19238423268274024"/>
    <x v="35"/>
  </r>
  <r>
    <d v="2023-12-20T00:00:00"/>
    <x v="6"/>
    <x v="3"/>
    <x v="2"/>
    <n v="1360.1"/>
    <n v="728.01"/>
    <n v="7"/>
    <n v="9520.6999999999989"/>
    <n v="5096.07"/>
    <n v="4424.6299999999992"/>
    <n v="0.46473788692007939"/>
    <x v="30"/>
  </r>
  <r>
    <d v="2022-02-02T00:00:00"/>
    <x v="2"/>
    <x v="0"/>
    <x v="1"/>
    <n v="612.46"/>
    <n v="396.24"/>
    <n v="7"/>
    <n v="4287.22"/>
    <n v="2773.6800000000003"/>
    <n v="1513.54"/>
    <n v="0.35303530026450702"/>
    <x v="20"/>
  </r>
  <r>
    <d v="2022-08-06T00:00:00"/>
    <x v="5"/>
    <x v="3"/>
    <x v="2"/>
    <n v="860.07"/>
    <n v="717.89"/>
    <n v="9"/>
    <n v="7740.63"/>
    <n v="6461.01"/>
    <n v="1279.6199999999999"/>
    <n v="0.1653121257572058"/>
    <x v="15"/>
  </r>
  <r>
    <d v="2022-07-20T00:00:00"/>
    <x v="6"/>
    <x v="3"/>
    <x v="3"/>
    <n v="60.22"/>
    <n v="35.200000000000003"/>
    <n v="5"/>
    <n v="301.10000000000002"/>
    <n v="176"/>
    <n v="125.10000000000002"/>
    <n v="0.41547658585187652"/>
    <x v="8"/>
  </r>
  <r>
    <d v="2023-11-06T00:00:00"/>
    <x v="10"/>
    <x v="2"/>
    <x v="3"/>
    <n v="826.91"/>
    <n v="649.30999999999995"/>
    <n v="5"/>
    <n v="4134.55"/>
    <n v="3246.5499999999997"/>
    <n v="888.00000000000045"/>
    <n v="0.21477548947285688"/>
    <x v="10"/>
  </r>
  <r>
    <d v="2023-05-11T00:00:00"/>
    <x v="6"/>
    <x v="3"/>
    <x v="2"/>
    <n v="1568.31"/>
    <n v="982.42"/>
    <n v="4"/>
    <n v="6273.24"/>
    <n v="3929.68"/>
    <n v="2343.56"/>
    <n v="0.37358047834930597"/>
    <x v="31"/>
  </r>
  <r>
    <d v="2024-12-10T00:00:00"/>
    <x v="6"/>
    <x v="3"/>
    <x v="1"/>
    <n v="74.11"/>
    <n v="47.52"/>
    <n v="5"/>
    <n v="370.55"/>
    <n v="237.60000000000002"/>
    <n v="132.94999999999999"/>
    <n v="0.35879098637160972"/>
    <x v="23"/>
  </r>
  <r>
    <d v="2023-02-10T00:00:00"/>
    <x v="7"/>
    <x v="0"/>
    <x v="3"/>
    <n v="717.52"/>
    <n v="401.63"/>
    <n v="10"/>
    <n v="7175.2"/>
    <n v="4016.3"/>
    <n v="3158.8999999999996"/>
    <n v="0.44025253651466156"/>
    <x v="27"/>
  </r>
  <r>
    <d v="2024-04-21T00:00:00"/>
    <x v="7"/>
    <x v="0"/>
    <x v="0"/>
    <n v="535.98"/>
    <n v="357.18"/>
    <n v="5"/>
    <n v="2679.9"/>
    <n v="1785.9"/>
    <n v="894"/>
    <n v="0.33359453710959364"/>
    <x v="22"/>
  </r>
  <r>
    <d v="2024-06-10T00:00:00"/>
    <x v="2"/>
    <x v="0"/>
    <x v="0"/>
    <n v="1436.84"/>
    <n v="1099.76"/>
    <n v="7"/>
    <n v="10057.879999999999"/>
    <n v="7698.32"/>
    <n v="2359.5599999999995"/>
    <n v="0.23459814593134931"/>
    <x v="4"/>
  </r>
  <r>
    <d v="2023-04-28T00:00:00"/>
    <x v="1"/>
    <x v="1"/>
    <x v="3"/>
    <n v="1671.9"/>
    <n v="1083.9000000000001"/>
    <n v="10"/>
    <n v="16719"/>
    <n v="10839"/>
    <n v="5880"/>
    <n v="0.35169567557868292"/>
    <x v="6"/>
  </r>
  <r>
    <d v="2024-08-09T00:00:00"/>
    <x v="0"/>
    <x v="0"/>
    <x v="0"/>
    <n v="1612.94"/>
    <n v="1138.02"/>
    <n v="5"/>
    <n v="8064.7000000000007"/>
    <n v="5690.1"/>
    <n v="2374.6000000000004"/>
    <n v="0.29444368668394361"/>
    <x v="21"/>
  </r>
  <r>
    <d v="2022-01-27T00:00:00"/>
    <x v="8"/>
    <x v="1"/>
    <x v="2"/>
    <n v="1258.77"/>
    <n v="880.93"/>
    <n v="4"/>
    <n v="5035.08"/>
    <n v="3523.72"/>
    <n v="1511.3600000000001"/>
    <n v="0.30016603509775419"/>
    <x v="9"/>
  </r>
  <r>
    <d v="2023-10-03T00:00:00"/>
    <x v="5"/>
    <x v="3"/>
    <x v="2"/>
    <n v="1814.53"/>
    <n v="1128.3499999999999"/>
    <n v="3"/>
    <n v="5443.59"/>
    <n v="3385.0499999999997"/>
    <n v="2058.5400000000004"/>
    <n v="0.37815853141033773"/>
    <x v="5"/>
  </r>
  <r>
    <d v="2023-08-25T00:00:00"/>
    <x v="1"/>
    <x v="1"/>
    <x v="3"/>
    <n v="669.52"/>
    <n v="596.59"/>
    <n v="7"/>
    <n v="4686.6399999999994"/>
    <n v="4176.13"/>
    <n v="510.50999999999931"/>
    <n v="0.10892878480105136"/>
    <x v="14"/>
  </r>
  <r>
    <d v="2022-06-12T00:00:00"/>
    <x v="5"/>
    <x v="3"/>
    <x v="3"/>
    <n v="1289.3900000000001"/>
    <n v="863.14"/>
    <n v="2"/>
    <n v="2578.7800000000002"/>
    <n v="1726.28"/>
    <n v="852.50000000000023"/>
    <n v="0.33058267863098062"/>
    <x v="18"/>
  </r>
  <r>
    <d v="2024-08-28T00:00:00"/>
    <x v="5"/>
    <x v="3"/>
    <x v="0"/>
    <n v="1578.54"/>
    <n v="877.17"/>
    <n v="10"/>
    <n v="15785.4"/>
    <n v="8771.6999999999989"/>
    <n v="7013.7000000000007"/>
    <n v="0.44431563343342589"/>
    <x v="21"/>
  </r>
  <r>
    <d v="2024-03-05T00:00:00"/>
    <x v="6"/>
    <x v="3"/>
    <x v="3"/>
    <n v="1744.56"/>
    <n v="989.63"/>
    <n v="3"/>
    <n v="5233.68"/>
    <n v="2968.89"/>
    <n v="2264.7900000000004"/>
    <n v="0.43273375521621504"/>
    <x v="29"/>
  </r>
  <r>
    <d v="2022-08-14T00:00:00"/>
    <x v="3"/>
    <x v="2"/>
    <x v="3"/>
    <n v="624.79"/>
    <n v="454.3"/>
    <n v="8"/>
    <n v="4998.32"/>
    <n v="3634.4"/>
    <n v="1363.9199999999996"/>
    <n v="0.2728756862305734"/>
    <x v="15"/>
  </r>
  <r>
    <d v="2024-04-25T00:00:00"/>
    <x v="5"/>
    <x v="3"/>
    <x v="0"/>
    <n v="1206.8800000000001"/>
    <n v="690.65"/>
    <n v="8"/>
    <n v="9655.0400000000009"/>
    <n v="5525.2"/>
    <n v="4129.8400000000011"/>
    <n v="0.42773929471032751"/>
    <x v="22"/>
  </r>
  <r>
    <d v="2023-08-31T00:00:00"/>
    <x v="4"/>
    <x v="2"/>
    <x v="3"/>
    <n v="547.26"/>
    <n v="302.07"/>
    <n v="9"/>
    <n v="4925.34"/>
    <n v="2718.63"/>
    <n v="2206.71"/>
    <n v="0.44803201403354892"/>
    <x v="14"/>
  </r>
  <r>
    <d v="2022-11-25T00:00:00"/>
    <x v="9"/>
    <x v="3"/>
    <x v="0"/>
    <n v="1291.73"/>
    <n v="1109.56"/>
    <n v="9"/>
    <n v="11625.57"/>
    <n v="9986.0399999999991"/>
    <n v="1639.5300000000007"/>
    <n v="0.14102792379212381"/>
    <x v="1"/>
  </r>
  <r>
    <d v="2022-07-19T00:00:00"/>
    <x v="10"/>
    <x v="2"/>
    <x v="0"/>
    <n v="1838.67"/>
    <n v="1443.28"/>
    <n v="8"/>
    <n v="14709.36"/>
    <n v="11546.24"/>
    <n v="3163.1200000000008"/>
    <n v="0.21504130703171317"/>
    <x v="8"/>
  </r>
  <r>
    <d v="2022-02-23T00:00:00"/>
    <x v="10"/>
    <x v="2"/>
    <x v="2"/>
    <n v="1480.05"/>
    <n v="755.08"/>
    <n v="1"/>
    <n v="1480.05"/>
    <n v="755.08"/>
    <n v="724.96999999999991"/>
    <n v="0.48982804634978544"/>
    <x v="20"/>
  </r>
  <r>
    <d v="2024-11-24T00:00:00"/>
    <x v="7"/>
    <x v="0"/>
    <x v="3"/>
    <n v="557.17999999999995"/>
    <n v="401.8"/>
    <n v="2"/>
    <n v="1114.3599999999999"/>
    <n v="803.6"/>
    <n v="310.75999999999988"/>
    <n v="0.27886858824796285"/>
    <x v="2"/>
  </r>
  <r>
    <d v="2024-01-04T00:00:00"/>
    <x v="1"/>
    <x v="1"/>
    <x v="1"/>
    <n v="1199.32"/>
    <n v="718.96"/>
    <n v="9"/>
    <n v="10793.88"/>
    <n v="6470.64"/>
    <n v="4323.2399999999989"/>
    <n v="0.40052696528032544"/>
    <x v="26"/>
  </r>
  <r>
    <d v="2024-07-12T00:00:00"/>
    <x v="7"/>
    <x v="0"/>
    <x v="3"/>
    <n v="1876.14"/>
    <n v="1163.55"/>
    <n v="6"/>
    <n v="11256.84"/>
    <n v="6981.2999999999993"/>
    <n v="4275.5400000000009"/>
    <n v="0.37981707122069791"/>
    <x v="28"/>
  </r>
  <r>
    <d v="2023-11-28T00:00:00"/>
    <x v="0"/>
    <x v="0"/>
    <x v="0"/>
    <n v="629.46"/>
    <n v="516.69000000000005"/>
    <n v="10"/>
    <n v="6294.6"/>
    <n v="5166.9000000000005"/>
    <n v="1127.6999999999998"/>
    <n v="0.17915356019445236"/>
    <x v="10"/>
  </r>
  <r>
    <d v="2022-02-18T00:00:00"/>
    <x v="3"/>
    <x v="2"/>
    <x v="1"/>
    <n v="1993.51"/>
    <n v="1426.48"/>
    <n v="5"/>
    <n v="9967.5499999999993"/>
    <n v="7132.4"/>
    <n v="2835.1499999999996"/>
    <n v="0.28443800131426478"/>
    <x v="20"/>
  </r>
  <r>
    <d v="2024-04-20T00:00:00"/>
    <x v="1"/>
    <x v="1"/>
    <x v="3"/>
    <n v="514.76"/>
    <n v="443.44"/>
    <n v="5"/>
    <n v="2573.8000000000002"/>
    <n v="2217.1999999999998"/>
    <n v="356.60000000000036"/>
    <n v="0.13855000388530592"/>
    <x v="22"/>
  </r>
  <r>
    <d v="2024-04-03T00:00:00"/>
    <x v="4"/>
    <x v="2"/>
    <x v="2"/>
    <n v="938.65"/>
    <n v="547.75"/>
    <n v="2"/>
    <n v="1877.3"/>
    <n v="1095.5"/>
    <n v="781.8"/>
    <n v="0.41644915570233842"/>
    <x v="22"/>
  </r>
  <r>
    <d v="2023-09-30T00:00:00"/>
    <x v="2"/>
    <x v="0"/>
    <x v="3"/>
    <n v="834.65"/>
    <n v="494.23"/>
    <n v="2"/>
    <n v="1669.3"/>
    <n v="988.46"/>
    <n v="680.83999999999992"/>
    <n v="0.40785958186066013"/>
    <x v="24"/>
  </r>
  <r>
    <d v="2023-12-25T00:00:00"/>
    <x v="3"/>
    <x v="2"/>
    <x v="3"/>
    <n v="812"/>
    <n v="478.44"/>
    <n v="4"/>
    <n v="3248"/>
    <n v="1913.76"/>
    <n v="1334.24"/>
    <n v="0.41078817733990147"/>
    <x v="30"/>
  </r>
  <r>
    <d v="2022-07-24T00:00:00"/>
    <x v="1"/>
    <x v="1"/>
    <x v="0"/>
    <n v="1674.34"/>
    <n v="877.07"/>
    <n v="10"/>
    <n v="16743.399999999998"/>
    <n v="8770.7000000000007"/>
    <n v="7972.6999999999971"/>
    <n v="0.47616971463382574"/>
    <x v="8"/>
  </r>
  <r>
    <d v="2024-12-03T00:00:00"/>
    <x v="6"/>
    <x v="3"/>
    <x v="1"/>
    <n v="198.9"/>
    <n v="112.08"/>
    <n v="7"/>
    <n v="1392.3"/>
    <n v="784.56"/>
    <n v="607.74"/>
    <n v="0.43650075414781297"/>
    <x v="23"/>
  </r>
  <r>
    <d v="2024-01-15T00:00:00"/>
    <x v="7"/>
    <x v="0"/>
    <x v="3"/>
    <n v="49.82"/>
    <n v="31.12"/>
    <n v="1"/>
    <n v="49.82"/>
    <n v="31.12"/>
    <n v="18.7"/>
    <n v="0.3753512645523886"/>
    <x v="26"/>
  </r>
  <r>
    <d v="2022-12-11T00:00:00"/>
    <x v="5"/>
    <x v="3"/>
    <x v="0"/>
    <n v="800.01"/>
    <n v="553.85"/>
    <n v="2"/>
    <n v="1600.02"/>
    <n v="1107.7"/>
    <n v="492.31999999999994"/>
    <n v="0.30769615379807747"/>
    <x v="33"/>
  </r>
  <r>
    <d v="2024-01-08T00:00:00"/>
    <x v="1"/>
    <x v="1"/>
    <x v="2"/>
    <n v="1298.79"/>
    <n v="716.73"/>
    <n v="3"/>
    <n v="3896.37"/>
    <n v="2150.19"/>
    <n v="1746.1799999999998"/>
    <n v="0.44815559097313651"/>
    <x v="26"/>
  </r>
  <r>
    <d v="2023-07-22T00:00:00"/>
    <x v="3"/>
    <x v="2"/>
    <x v="3"/>
    <n v="1708.41"/>
    <n v="1419.9"/>
    <n v="2"/>
    <n v="3416.82"/>
    <n v="2839.8"/>
    <n v="577.02"/>
    <n v="0.16887632359913601"/>
    <x v="11"/>
  </r>
  <r>
    <d v="2024-06-11T00:00:00"/>
    <x v="3"/>
    <x v="2"/>
    <x v="0"/>
    <n v="81.28"/>
    <n v="59.63"/>
    <n v="3"/>
    <n v="243.84"/>
    <n v="178.89000000000001"/>
    <n v="64.949999999999989"/>
    <n v="0.2663631889763779"/>
    <x v="4"/>
  </r>
  <r>
    <d v="2023-12-20T00:00:00"/>
    <x v="1"/>
    <x v="1"/>
    <x v="3"/>
    <n v="520.71"/>
    <n v="366.39"/>
    <n v="10"/>
    <n v="5207.1000000000004"/>
    <n v="3663.8999999999996"/>
    <n v="1543.2000000000007"/>
    <n v="0.29636457913233866"/>
    <x v="30"/>
  </r>
  <r>
    <d v="2023-02-11T00:00:00"/>
    <x v="8"/>
    <x v="1"/>
    <x v="1"/>
    <n v="1290.03"/>
    <n v="1159.6600000000001"/>
    <n v="2"/>
    <n v="2580.06"/>
    <n v="2319.3200000000002"/>
    <n v="260.73999999999978"/>
    <n v="0.10105966527910196"/>
    <x v="27"/>
  </r>
  <r>
    <d v="2024-11-21T00:00:00"/>
    <x v="6"/>
    <x v="3"/>
    <x v="1"/>
    <n v="1422.38"/>
    <n v="890.19"/>
    <n v="7"/>
    <n v="9956.66"/>
    <n v="6231.33"/>
    <n v="3725.33"/>
    <n v="0.37415458597561835"/>
    <x v="2"/>
  </r>
  <r>
    <d v="2022-02-13T00:00:00"/>
    <x v="3"/>
    <x v="2"/>
    <x v="3"/>
    <n v="1310.87"/>
    <n v="738.47"/>
    <n v="5"/>
    <n v="6554.3499999999995"/>
    <n v="3692.3500000000004"/>
    <n v="2861.9999999999991"/>
    <n v="0.43665657158986004"/>
    <x v="20"/>
  </r>
  <r>
    <d v="2024-02-23T00:00:00"/>
    <x v="1"/>
    <x v="1"/>
    <x v="1"/>
    <n v="471.88"/>
    <n v="268.76"/>
    <n v="4"/>
    <n v="1887.52"/>
    <n v="1075.04"/>
    <n v="812.48"/>
    <n v="0.43044841908959908"/>
    <x v="34"/>
  </r>
  <r>
    <d v="2024-12-27T00:00:00"/>
    <x v="8"/>
    <x v="1"/>
    <x v="2"/>
    <n v="305.98"/>
    <n v="177.02"/>
    <n v="8"/>
    <n v="2447.84"/>
    <n v="1416.16"/>
    <n v="1031.68"/>
    <n v="0.42146545525851364"/>
    <x v="23"/>
  </r>
  <r>
    <d v="2024-03-13T00:00:00"/>
    <x v="9"/>
    <x v="3"/>
    <x v="0"/>
    <n v="1697.04"/>
    <n v="1116.1400000000001"/>
    <n v="3"/>
    <n v="5091.12"/>
    <n v="3348.42"/>
    <n v="1742.6999999999998"/>
    <n v="0.34230189035025688"/>
    <x v="29"/>
  </r>
  <r>
    <d v="2023-01-04T00:00:00"/>
    <x v="1"/>
    <x v="1"/>
    <x v="1"/>
    <n v="123.11"/>
    <n v="68.63"/>
    <n v="9"/>
    <n v="1107.99"/>
    <n v="617.66999999999996"/>
    <n v="490.32000000000005"/>
    <n v="0.44253106977499801"/>
    <x v="13"/>
  </r>
  <r>
    <d v="2024-03-31T00:00:00"/>
    <x v="7"/>
    <x v="0"/>
    <x v="3"/>
    <n v="1981.98"/>
    <n v="1774.41"/>
    <n v="7"/>
    <n v="13873.86"/>
    <n v="12420.87"/>
    <n v="1452.9899999999998"/>
    <n v="0.10472860472860471"/>
    <x v="29"/>
  </r>
  <r>
    <d v="2024-10-19T00:00:00"/>
    <x v="7"/>
    <x v="0"/>
    <x v="2"/>
    <n v="925.84"/>
    <n v="567.1"/>
    <n v="10"/>
    <n v="9258.4"/>
    <n v="5671"/>
    <n v="3587.3999999999996"/>
    <n v="0.38747515769463403"/>
    <x v="17"/>
  </r>
  <r>
    <d v="2022-10-06T00:00:00"/>
    <x v="3"/>
    <x v="2"/>
    <x v="0"/>
    <n v="25.95"/>
    <n v="22.54"/>
    <n v="6"/>
    <n v="155.69999999999999"/>
    <n v="135.24"/>
    <n v="20.45999999999998"/>
    <n v="0.13140655105973012"/>
    <x v="25"/>
  </r>
  <r>
    <d v="2024-09-28T00:00:00"/>
    <x v="10"/>
    <x v="2"/>
    <x v="3"/>
    <n v="1389.84"/>
    <n v="1135.92"/>
    <n v="4"/>
    <n v="5559.36"/>
    <n v="4543.68"/>
    <n v="1015.6799999999994"/>
    <n v="0.18269728889656353"/>
    <x v="16"/>
  </r>
  <r>
    <d v="2023-02-02T00:00:00"/>
    <x v="9"/>
    <x v="3"/>
    <x v="2"/>
    <n v="187.35"/>
    <n v="100.52"/>
    <n v="8"/>
    <n v="1498.8"/>
    <n v="804.16"/>
    <n v="694.64"/>
    <n v="0.46346410461702697"/>
    <x v="27"/>
  </r>
  <r>
    <d v="2024-11-14T00:00:00"/>
    <x v="4"/>
    <x v="2"/>
    <x v="0"/>
    <n v="941.25"/>
    <n v="753.52"/>
    <n v="3"/>
    <n v="2823.75"/>
    <n v="2260.56"/>
    <n v="563.19000000000005"/>
    <n v="0.19944754316069058"/>
    <x v="2"/>
  </r>
  <r>
    <d v="2023-05-11T00:00:00"/>
    <x v="4"/>
    <x v="2"/>
    <x v="2"/>
    <n v="1766.23"/>
    <n v="1083.73"/>
    <n v="4"/>
    <n v="7064.92"/>
    <n v="4334.92"/>
    <n v="2730"/>
    <n v="0.38641626515233007"/>
    <x v="31"/>
  </r>
  <r>
    <d v="2023-09-10T00:00:00"/>
    <x v="0"/>
    <x v="0"/>
    <x v="0"/>
    <n v="1460.78"/>
    <n v="1301.08"/>
    <n v="4"/>
    <n v="5843.12"/>
    <n v="5204.32"/>
    <n v="638.80000000000018"/>
    <n v="0.10932515505414919"/>
    <x v="24"/>
  </r>
  <r>
    <d v="2022-02-15T00:00:00"/>
    <x v="10"/>
    <x v="2"/>
    <x v="1"/>
    <n v="445.43"/>
    <n v="231.46"/>
    <n v="4"/>
    <n v="1781.72"/>
    <n v="925.84"/>
    <n v="855.88"/>
    <n v="0.48036728554430547"/>
    <x v="20"/>
  </r>
  <r>
    <d v="2024-01-07T00:00:00"/>
    <x v="0"/>
    <x v="0"/>
    <x v="1"/>
    <n v="761.9"/>
    <n v="652.79999999999995"/>
    <n v="3"/>
    <n v="2285.6999999999998"/>
    <n v="1958.3999999999999"/>
    <n v="327.29999999999995"/>
    <n v="0.14319464496653103"/>
    <x v="26"/>
  </r>
  <r>
    <d v="2022-11-29T00:00:00"/>
    <x v="4"/>
    <x v="2"/>
    <x v="2"/>
    <n v="1720.72"/>
    <n v="1086.6500000000001"/>
    <n v="7"/>
    <n v="12045.04"/>
    <n v="7606.5500000000011"/>
    <n v="4438.49"/>
    <n v="0.36849109675019753"/>
    <x v="1"/>
  </r>
  <r>
    <d v="2024-06-21T00:00:00"/>
    <x v="5"/>
    <x v="3"/>
    <x v="2"/>
    <n v="1566.39"/>
    <n v="1219.53"/>
    <n v="6"/>
    <n v="9398.34"/>
    <n v="7317.18"/>
    <n v="2081.16"/>
    <n v="0.2214391052036849"/>
    <x v="4"/>
  </r>
  <r>
    <d v="2024-06-03T00:00:00"/>
    <x v="7"/>
    <x v="0"/>
    <x v="0"/>
    <n v="1209.1099999999999"/>
    <n v="997.22"/>
    <n v="1"/>
    <n v="1209.1099999999999"/>
    <n v="997.22"/>
    <n v="211.88999999999987"/>
    <n v="0.17524460140103043"/>
    <x v="4"/>
  </r>
  <r>
    <d v="2024-11-13T00:00:00"/>
    <x v="9"/>
    <x v="3"/>
    <x v="0"/>
    <n v="906.76"/>
    <n v="710.8"/>
    <n v="1"/>
    <n v="906.76"/>
    <n v="710.8"/>
    <n v="195.96000000000004"/>
    <n v="0.21611010631258551"/>
    <x v="2"/>
  </r>
  <r>
    <d v="2024-01-22T00:00:00"/>
    <x v="8"/>
    <x v="1"/>
    <x v="2"/>
    <n v="824.47"/>
    <n v="535"/>
    <n v="8"/>
    <n v="6595.76"/>
    <n v="4280"/>
    <n v="2315.7600000000002"/>
    <n v="0.35109828132012083"/>
    <x v="26"/>
  </r>
  <r>
    <d v="2024-12-10T00:00:00"/>
    <x v="3"/>
    <x v="2"/>
    <x v="2"/>
    <n v="662.71"/>
    <n v="356.83"/>
    <n v="4"/>
    <n v="2650.84"/>
    <n v="1427.32"/>
    <n v="1223.5200000000002"/>
    <n v="0.46155935477056337"/>
    <x v="23"/>
  </r>
  <r>
    <d v="2023-01-15T00:00:00"/>
    <x v="8"/>
    <x v="1"/>
    <x v="3"/>
    <n v="1136.48"/>
    <n v="810.89"/>
    <n v="5"/>
    <n v="5682.4"/>
    <n v="4054.45"/>
    <n v="1627.9499999999998"/>
    <n v="0.28648986343798394"/>
    <x v="13"/>
  </r>
  <r>
    <d v="2023-06-03T00:00:00"/>
    <x v="4"/>
    <x v="2"/>
    <x v="2"/>
    <n v="580.58000000000004"/>
    <n v="418.07"/>
    <n v="10"/>
    <n v="5805.8"/>
    <n v="4180.7"/>
    <n v="1625.1000000000004"/>
    <n v="0.27990974542698688"/>
    <x v="0"/>
  </r>
  <r>
    <d v="2022-05-30T00:00:00"/>
    <x v="7"/>
    <x v="0"/>
    <x v="3"/>
    <n v="370.64"/>
    <n v="289.58999999999997"/>
    <n v="3"/>
    <n v="1111.92"/>
    <n v="868.77"/>
    <n v="243.15000000000009"/>
    <n v="0.21867580401467737"/>
    <x v="35"/>
  </r>
  <r>
    <d v="2023-05-17T00:00:00"/>
    <x v="3"/>
    <x v="2"/>
    <x v="2"/>
    <n v="463.28"/>
    <n v="305.58"/>
    <n v="3"/>
    <n v="1389.84"/>
    <n v="916.74"/>
    <n v="473.09999999999991"/>
    <n v="0.34039889483681568"/>
    <x v="31"/>
  </r>
  <r>
    <d v="2024-04-29T00:00:00"/>
    <x v="2"/>
    <x v="0"/>
    <x v="1"/>
    <n v="1015.31"/>
    <n v="847.3"/>
    <n v="2"/>
    <n v="2030.62"/>
    <n v="1694.6"/>
    <n v="336.02"/>
    <n v="0.16547655395888941"/>
    <x v="22"/>
  </r>
  <r>
    <d v="2022-02-13T00:00:00"/>
    <x v="0"/>
    <x v="0"/>
    <x v="0"/>
    <n v="563"/>
    <n v="293.39"/>
    <n v="2"/>
    <n v="1126"/>
    <n v="586.78"/>
    <n v="539.22"/>
    <n v="0.47888099467140322"/>
    <x v="20"/>
  </r>
  <r>
    <d v="2022-05-19T00:00:00"/>
    <x v="5"/>
    <x v="3"/>
    <x v="1"/>
    <n v="422.94"/>
    <n v="296.93"/>
    <n v="2"/>
    <n v="845.88"/>
    <n v="593.86"/>
    <n v="252.01999999999998"/>
    <n v="0.29793824183099255"/>
    <x v="35"/>
  </r>
  <r>
    <d v="2023-03-17T00:00:00"/>
    <x v="1"/>
    <x v="1"/>
    <x v="0"/>
    <n v="254.82"/>
    <n v="220.72"/>
    <n v="4"/>
    <n v="1019.28"/>
    <n v="882.88"/>
    <n v="136.39999999999998"/>
    <n v="0.13381995133819949"/>
    <x v="19"/>
  </r>
  <r>
    <d v="2023-03-19T00:00:00"/>
    <x v="0"/>
    <x v="0"/>
    <x v="1"/>
    <n v="183.79"/>
    <n v="109.33"/>
    <n v="9"/>
    <n v="1654.11"/>
    <n v="983.97"/>
    <n v="670.13999999999987"/>
    <n v="0.40513629686054731"/>
    <x v="19"/>
  </r>
  <r>
    <d v="2024-01-19T00:00:00"/>
    <x v="9"/>
    <x v="3"/>
    <x v="0"/>
    <n v="1192.97"/>
    <n v="838.71"/>
    <n v="9"/>
    <n v="10736.73"/>
    <n v="7548.39"/>
    <n v="3188.3399999999992"/>
    <n v="0.29695633586762443"/>
    <x v="26"/>
  </r>
  <r>
    <d v="2023-09-16T00:00:00"/>
    <x v="4"/>
    <x v="2"/>
    <x v="0"/>
    <n v="725.8"/>
    <n v="400.71"/>
    <n v="3"/>
    <n v="2177.3999999999996"/>
    <n v="1202.1299999999999"/>
    <n v="975.26999999999975"/>
    <n v="0.44790575916230363"/>
    <x v="24"/>
  </r>
  <r>
    <d v="2023-02-16T00:00:00"/>
    <x v="10"/>
    <x v="2"/>
    <x v="0"/>
    <n v="1950.69"/>
    <n v="1676.87"/>
    <n v="2"/>
    <n v="3901.38"/>
    <n v="3353.74"/>
    <n v="547.64000000000033"/>
    <n v="0.14037084313755654"/>
    <x v="27"/>
  </r>
  <r>
    <d v="2023-11-15T00:00:00"/>
    <x v="1"/>
    <x v="1"/>
    <x v="2"/>
    <n v="1490.47"/>
    <n v="1164.58"/>
    <n v="7"/>
    <n v="10433.290000000001"/>
    <n v="8152.0599999999995"/>
    <n v="2281.2300000000014"/>
    <n v="0.21864915093896567"/>
    <x v="10"/>
  </r>
  <r>
    <d v="2022-04-10T00:00:00"/>
    <x v="4"/>
    <x v="2"/>
    <x v="2"/>
    <n v="1778.73"/>
    <n v="1507.73"/>
    <n v="10"/>
    <n v="17787.3"/>
    <n v="15077.3"/>
    <n v="2710"/>
    <n v="0.1523558943740759"/>
    <x v="32"/>
  </r>
  <r>
    <d v="2023-09-03T00:00:00"/>
    <x v="7"/>
    <x v="0"/>
    <x v="1"/>
    <n v="307.14"/>
    <n v="273.39999999999998"/>
    <n v="7"/>
    <n v="2149.98"/>
    <n v="1913.7999999999997"/>
    <n v="236.18000000000029"/>
    <n v="0.10985218467148546"/>
    <x v="24"/>
  </r>
  <r>
    <d v="2022-09-21T00:00:00"/>
    <x v="7"/>
    <x v="0"/>
    <x v="3"/>
    <n v="1110.01"/>
    <n v="784.07"/>
    <n v="1"/>
    <n v="1110.01"/>
    <n v="784.07"/>
    <n v="325.93999999999994"/>
    <n v="0.2936369942613129"/>
    <x v="12"/>
  </r>
  <r>
    <d v="2022-08-03T00:00:00"/>
    <x v="0"/>
    <x v="0"/>
    <x v="2"/>
    <n v="761.72"/>
    <n v="531.58000000000004"/>
    <n v="6"/>
    <n v="4570.32"/>
    <n v="3189.4800000000005"/>
    <n v="1380.8399999999992"/>
    <n v="0.30213201701412579"/>
    <x v="15"/>
  </r>
  <r>
    <d v="2022-03-08T00:00:00"/>
    <x v="0"/>
    <x v="0"/>
    <x v="2"/>
    <n v="131.62"/>
    <n v="85"/>
    <n v="7"/>
    <n v="921.34"/>
    <n v="595"/>
    <n v="326.34000000000003"/>
    <n v="0.35420148913538979"/>
    <x v="7"/>
  </r>
  <r>
    <d v="2023-03-15T00:00:00"/>
    <x v="9"/>
    <x v="3"/>
    <x v="0"/>
    <n v="803.17"/>
    <n v="428.63"/>
    <n v="7"/>
    <n v="5622.19"/>
    <n v="3000.41"/>
    <n v="2621.7799999999997"/>
    <n v="0.46632717855497591"/>
    <x v="19"/>
  </r>
  <r>
    <d v="2023-05-12T00:00:00"/>
    <x v="9"/>
    <x v="3"/>
    <x v="1"/>
    <n v="130.91"/>
    <n v="96.81"/>
    <n v="2"/>
    <n v="261.82"/>
    <n v="193.62"/>
    <n v="68.199999999999989"/>
    <n v="0.26048430219234586"/>
    <x v="31"/>
  </r>
  <r>
    <d v="2022-05-27T00:00:00"/>
    <x v="5"/>
    <x v="3"/>
    <x v="3"/>
    <n v="1800.9"/>
    <n v="1058.23"/>
    <n v="4"/>
    <n v="7203.6"/>
    <n v="4232.92"/>
    <n v="2970.6800000000003"/>
    <n v="0.41238825031928483"/>
    <x v="35"/>
  </r>
  <r>
    <d v="2023-08-01T00:00:00"/>
    <x v="10"/>
    <x v="2"/>
    <x v="2"/>
    <n v="281.33999999999997"/>
    <n v="141.03"/>
    <n v="2"/>
    <n v="562.67999999999995"/>
    <n v="282.06"/>
    <n v="280.61999999999995"/>
    <n v="0.49872040946896989"/>
    <x v="14"/>
  </r>
  <r>
    <d v="2022-12-10T00:00:00"/>
    <x v="5"/>
    <x v="3"/>
    <x v="1"/>
    <n v="362.1"/>
    <n v="323.95999999999998"/>
    <n v="6"/>
    <n v="2172.6000000000004"/>
    <n v="1943.7599999999998"/>
    <n v="228.8400000000006"/>
    <n v="0.10533001933167659"/>
    <x v="33"/>
  </r>
  <r>
    <d v="2022-01-02T00:00:00"/>
    <x v="6"/>
    <x v="3"/>
    <x v="2"/>
    <n v="102.2"/>
    <n v="74.56"/>
    <n v="1"/>
    <n v="102.2"/>
    <n v="74.56"/>
    <n v="27.64"/>
    <n v="0.27045009784735813"/>
    <x v="9"/>
  </r>
  <r>
    <d v="2022-01-02T00:00:00"/>
    <x v="3"/>
    <x v="2"/>
    <x v="1"/>
    <n v="554.17999999999995"/>
    <n v="472.43"/>
    <n v="10"/>
    <n v="5541.7999999999993"/>
    <n v="4724.3"/>
    <n v="817.49999999999909"/>
    <n v="0.14751524775343736"/>
    <x v="9"/>
  </r>
  <r>
    <d v="2023-08-15T00:00:00"/>
    <x v="4"/>
    <x v="2"/>
    <x v="0"/>
    <n v="644.16"/>
    <n v="490.46"/>
    <n v="2"/>
    <n v="1288.32"/>
    <n v="980.92"/>
    <n v="307.39999999999998"/>
    <n v="0.23860531544957775"/>
    <x v="14"/>
  </r>
  <r>
    <d v="2023-11-04T00:00:00"/>
    <x v="9"/>
    <x v="3"/>
    <x v="2"/>
    <n v="1961.29"/>
    <n v="1329.31"/>
    <n v="4"/>
    <n v="7845.16"/>
    <n v="5317.24"/>
    <n v="2527.92"/>
    <n v="0.32222669773465423"/>
    <x v="10"/>
  </r>
  <r>
    <d v="2023-03-15T00:00:00"/>
    <x v="10"/>
    <x v="2"/>
    <x v="1"/>
    <n v="252.15"/>
    <n v="212.46"/>
    <n v="9"/>
    <n v="2269.35"/>
    <n v="1912.14"/>
    <n v="357.20999999999981"/>
    <n v="0.1574063057703747"/>
    <x v="19"/>
  </r>
  <r>
    <d v="2023-01-19T00:00:00"/>
    <x v="3"/>
    <x v="2"/>
    <x v="3"/>
    <n v="1970.48"/>
    <n v="1310.85"/>
    <n v="3"/>
    <n v="5911.4400000000005"/>
    <n v="3932.5499999999997"/>
    <n v="1978.8900000000008"/>
    <n v="0.3347559985384273"/>
    <x v="13"/>
  </r>
  <r>
    <d v="2024-06-20T00:00:00"/>
    <x v="6"/>
    <x v="3"/>
    <x v="3"/>
    <n v="1340.79"/>
    <n v="1047.19"/>
    <n v="5"/>
    <n v="6703.95"/>
    <n v="5235.9500000000007"/>
    <n v="1467.9999999999991"/>
    <n v="0.21897538018630794"/>
    <x v="4"/>
  </r>
  <r>
    <d v="2023-11-07T00:00:00"/>
    <x v="6"/>
    <x v="3"/>
    <x v="1"/>
    <n v="1879.9"/>
    <n v="1129.43"/>
    <n v="4"/>
    <n v="7519.6"/>
    <n v="4517.72"/>
    <n v="3001.88"/>
    <n v="0.39920740464918347"/>
    <x v="10"/>
  </r>
  <r>
    <d v="2023-08-24T00:00:00"/>
    <x v="3"/>
    <x v="2"/>
    <x v="2"/>
    <n v="729.46"/>
    <n v="365.92"/>
    <n v="1"/>
    <n v="729.46"/>
    <n v="365.92"/>
    <n v="363.54"/>
    <n v="0.49836865626627919"/>
    <x v="14"/>
  </r>
  <r>
    <d v="2023-09-22T00:00:00"/>
    <x v="5"/>
    <x v="3"/>
    <x v="0"/>
    <n v="1154.06"/>
    <n v="877.72"/>
    <n v="5"/>
    <n v="5770.2999999999993"/>
    <n v="4388.6000000000004"/>
    <n v="1381.6999999999989"/>
    <n v="0.23945028854652256"/>
    <x v="24"/>
  </r>
  <r>
    <d v="2023-02-10T00:00:00"/>
    <x v="2"/>
    <x v="0"/>
    <x v="2"/>
    <n v="581.54"/>
    <n v="308.54000000000002"/>
    <n v="4"/>
    <n v="2326.16"/>
    <n v="1234.1600000000001"/>
    <n v="1091.9999999999998"/>
    <n v="0.46944320253121019"/>
    <x v="27"/>
  </r>
  <r>
    <d v="2022-06-28T00:00:00"/>
    <x v="9"/>
    <x v="3"/>
    <x v="1"/>
    <n v="281.49"/>
    <n v="252.25"/>
    <n v="5"/>
    <n v="1407.45"/>
    <n v="1261.25"/>
    <n v="146.20000000000005"/>
    <n v="0.10387580375857049"/>
    <x v="18"/>
  </r>
  <r>
    <d v="2023-11-24T00:00:00"/>
    <x v="1"/>
    <x v="1"/>
    <x v="0"/>
    <n v="1855.18"/>
    <n v="1427.7"/>
    <n v="10"/>
    <n v="18551.8"/>
    <n v="14277"/>
    <n v="4274.7999999999993"/>
    <n v="0.23042508004614104"/>
    <x v="10"/>
  </r>
  <r>
    <d v="2022-08-25T00:00:00"/>
    <x v="0"/>
    <x v="0"/>
    <x v="0"/>
    <n v="731.3"/>
    <n v="582.98"/>
    <n v="9"/>
    <n v="6581.7"/>
    <n v="5246.82"/>
    <n v="1334.88"/>
    <n v="0.20281690140845074"/>
    <x v="15"/>
  </r>
  <r>
    <d v="2023-05-11T00:00:00"/>
    <x v="5"/>
    <x v="3"/>
    <x v="0"/>
    <n v="871.99"/>
    <n v="660.9"/>
    <n v="9"/>
    <n v="7847.91"/>
    <n v="5948.0999999999995"/>
    <n v="1899.8100000000004"/>
    <n v="0.24207846420257118"/>
    <x v="31"/>
  </r>
  <r>
    <d v="2022-11-27T00:00:00"/>
    <x v="10"/>
    <x v="2"/>
    <x v="2"/>
    <n v="1710.4"/>
    <n v="924.47"/>
    <n v="4"/>
    <n v="6841.6"/>
    <n v="3697.88"/>
    <n v="3143.7200000000003"/>
    <n v="0.45950070159027129"/>
    <x v="1"/>
  </r>
  <r>
    <d v="2022-08-14T00:00:00"/>
    <x v="9"/>
    <x v="3"/>
    <x v="2"/>
    <n v="808.25"/>
    <n v="530.92999999999995"/>
    <n v="10"/>
    <n v="8082.5"/>
    <n v="5309.2999999999993"/>
    <n v="2773.2000000000007"/>
    <n v="0.34311166099597906"/>
    <x v="15"/>
  </r>
  <r>
    <d v="2022-02-18T00:00:00"/>
    <x v="6"/>
    <x v="3"/>
    <x v="3"/>
    <n v="568.36"/>
    <n v="453.1"/>
    <n v="4"/>
    <n v="2273.44"/>
    <n v="1812.4"/>
    <n v="461.03999999999996"/>
    <n v="0.20279400380040818"/>
    <x v="20"/>
  </r>
  <r>
    <d v="2024-01-28T00:00:00"/>
    <x v="1"/>
    <x v="1"/>
    <x v="2"/>
    <n v="457.85"/>
    <n v="272.35000000000002"/>
    <n v="5"/>
    <n v="2289.25"/>
    <n v="1361.75"/>
    <n v="927.5"/>
    <n v="0.4051545265916785"/>
    <x v="26"/>
  </r>
  <r>
    <d v="2024-04-12T00:00:00"/>
    <x v="10"/>
    <x v="2"/>
    <x v="0"/>
    <n v="1621.19"/>
    <n v="1033.04"/>
    <n v="5"/>
    <n v="8105.9500000000007"/>
    <n v="5165.2"/>
    <n v="2940.7500000000009"/>
    <n v="0.36278906235543035"/>
    <x v="22"/>
  </r>
  <r>
    <d v="2022-09-25T00:00:00"/>
    <x v="5"/>
    <x v="3"/>
    <x v="3"/>
    <n v="459.93"/>
    <n v="298.85000000000002"/>
    <n v="8"/>
    <n v="3679.44"/>
    <n v="2390.8000000000002"/>
    <n v="1288.6399999999999"/>
    <n v="0.35022720848824818"/>
    <x v="12"/>
  </r>
  <r>
    <d v="2022-04-29T00:00:00"/>
    <x v="9"/>
    <x v="3"/>
    <x v="0"/>
    <n v="1677.01"/>
    <n v="1104.1500000000001"/>
    <n v="10"/>
    <n v="16770.099999999999"/>
    <n v="11041.5"/>
    <n v="5728.5999999999985"/>
    <n v="0.34159605488339362"/>
    <x v="32"/>
  </r>
  <r>
    <d v="2024-11-25T00:00:00"/>
    <x v="10"/>
    <x v="2"/>
    <x v="2"/>
    <n v="1276.1199999999999"/>
    <n v="792.14"/>
    <n v="6"/>
    <n v="7656.7199999999993"/>
    <n v="4752.84"/>
    <n v="2903.8799999999992"/>
    <n v="0.3792590038554367"/>
    <x v="2"/>
  </r>
  <r>
    <d v="2023-11-28T00:00:00"/>
    <x v="7"/>
    <x v="0"/>
    <x v="2"/>
    <n v="291.51"/>
    <n v="195.32"/>
    <n v="9"/>
    <n v="2623.59"/>
    <n v="1757.8799999999999"/>
    <n v="865.71000000000026"/>
    <n v="0.329971527563377"/>
    <x v="10"/>
  </r>
  <r>
    <d v="2022-06-16T00:00:00"/>
    <x v="8"/>
    <x v="1"/>
    <x v="0"/>
    <n v="182.2"/>
    <n v="143.63999999999999"/>
    <n v="7"/>
    <n v="1275.3999999999999"/>
    <n v="1005.4799999999999"/>
    <n v="269.91999999999996"/>
    <n v="0.21163556531284303"/>
    <x v="18"/>
  </r>
  <r>
    <d v="2022-05-10T00:00:00"/>
    <x v="8"/>
    <x v="1"/>
    <x v="2"/>
    <n v="1530.86"/>
    <n v="773.08"/>
    <n v="1"/>
    <n v="1530.86"/>
    <n v="773.08"/>
    <n v="757.77999999999986"/>
    <n v="0.49500280887866943"/>
    <x v="35"/>
  </r>
  <r>
    <d v="2024-09-21T00:00:00"/>
    <x v="5"/>
    <x v="3"/>
    <x v="0"/>
    <n v="1705.43"/>
    <n v="970.32"/>
    <n v="10"/>
    <n v="17054.3"/>
    <n v="9703.2000000000007"/>
    <n v="7351.0999999999985"/>
    <n v="0.43104085186727092"/>
    <x v="16"/>
  </r>
  <r>
    <d v="2022-02-26T00:00:00"/>
    <x v="0"/>
    <x v="0"/>
    <x v="0"/>
    <n v="369.35"/>
    <n v="190.17"/>
    <n v="1"/>
    <n v="369.35"/>
    <n v="190.17"/>
    <n v="179.18000000000004"/>
    <n v="0.48512251252199817"/>
    <x v="20"/>
  </r>
  <r>
    <d v="2024-08-31T00:00:00"/>
    <x v="1"/>
    <x v="1"/>
    <x v="2"/>
    <n v="1424.83"/>
    <n v="806.19"/>
    <n v="2"/>
    <n v="2849.66"/>
    <n v="1612.38"/>
    <n v="1237.2799999999997"/>
    <n v="0.43418513085771632"/>
    <x v="21"/>
  </r>
  <r>
    <d v="2022-09-09T00:00:00"/>
    <x v="8"/>
    <x v="1"/>
    <x v="1"/>
    <n v="441.37"/>
    <n v="306.20999999999998"/>
    <n v="2"/>
    <n v="882.74"/>
    <n v="612.41999999999996"/>
    <n v="270.32000000000005"/>
    <n v="0.306228334503931"/>
    <x v="12"/>
  </r>
  <r>
    <d v="2022-03-06T00:00:00"/>
    <x v="8"/>
    <x v="1"/>
    <x v="0"/>
    <n v="1355.89"/>
    <n v="1197.83"/>
    <n v="3"/>
    <n v="4067.67"/>
    <n v="3593.49"/>
    <n v="474.18000000000029"/>
    <n v="0.11657287833083811"/>
    <x v="7"/>
  </r>
  <r>
    <d v="2023-12-29T00:00:00"/>
    <x v="3"/>
    <x v="2"/>
    <x v="3"/>
    <n v="623.45000000000005"/>
    <n v="364.52"/>
    <n v="3"/>
    <n v="1870.3500000000001"/>
    <n v="1093.56"/>
    <n v="776.79000000000019"/>
    <n v="0.41531798861175723"/>
    <x v="30"/>
  </r>
  <r>
    <d v="2024-01-10T00:00:00"/>
    <x v="10"/>
    <x v="2"/>
    <x v="1"/>
    <n v="1422.17"/>
    <n v="1164.6500000000001"/>
    <n v="6"/>
    <n v="8533.02"/>
    <n v="6987.9000000000005"/>
    <n v="1545.12"/>
    <n v="0.18107539886230195"/>
    <x v="26"/>
  </r>
  <r>
    <d v="2023-06-13T00:00:00"/>
    <x v="9"/>
    <x v="3"/>
    <x v="2"/>
    <n v="1641.84"/>
    <n v="1426.98"/>
    <n v="7"/>
    <n v="11492.88"/>
    <n v="9988.86"/>
    <n v="1504.0199999999986"/>
    <n v="0.13086537055985956"/>
    <x v="0"/>
  </r>
  <r>
    <d v="2024-06-17T00:00:00"/>
    <x v="8"/>
    <x v="1"/>
    <x v="3"/>
    <n v="392.63"/>
    <n v="241.75"/>
    <n v="10"/>
    <n v="3926.3"/>
    <n v="2417.5"/>
    <n v="1508.8000000000002"/>
    <n v="0.38428036573873625"/>
    <x v="4"/>
  </r>
  <r>
    <d v="2022-06-20T00:00:00"/>
    <x v="7"/>
    <x v="0"/>
    <x v="2"/>
    <n v="356.95"/>
    <n v="242.3"/>
    <n v="9"/>
    <n v="3212.5499999999997"/>
    <n v="2180.7000000000003"/>
    <n v="1031.8499999999995"/>
    <n v="0.32119344446000825"/>
    <x v="18"/>
  </r>
  <r>
    <d v="2024-03-04T00:00:00"/>
    <x v="1"/>
    <x v="1"/>
    <x v="0"/>
    <n v="1749.16"/>
    <n v="999.13"/>
    <n v="1"/>
    <n v="1749.16"/>
    <n v="999.13"/>
    <n v="750.03000000000009"/>
    <n v="0.42879439273708525"/>
    <x v="29"/>
  </r>
  <r>
    <d v="2023-04-13T00:00:00"/>
    <x v="3"/>
    <x v="2"/>
    <x v="3"/>
    <n v="1160.8499999999999"/>
    <n v="852.57"/>
    <n v="6"/>
    <n v="6965.0999999999995"/>
    <n v="5115.42"/>
    <n v="1849.6799999999994"/>
    <n v="0.26556402635999476"/>
    <x v="6"/>
  </r>
  <r>
    <d v="2023-10-05T00:00:00"/>
    <x v="3"/>
    <x v="2"/>
    <x v="1"/>
    <n v="439.5"/>
    <n v="348.75"/>
    <n v="4"/>
    <n v="1758"/>
    <n v="1395"/>
    <n v="363"/>
    <n v="0.20648464163822525"/>
    <x v="5"/>
  </r>
  <r>
    <d v="2024-10-18T00:00:00"/>
    <x v="2"/>
    <x v="0"/>
    <x v="2"/>
    <n v="620.38"/>
    <n v="554.87"/>
    <n v="8"/>
    <n v="4963.04"/>
    <n v="4438.96"/>
    <n v="524.07999999999993"/>
    <n v="0.10559656984428897"/>
    <x v="17"/>
  </r>
  <r>
    <d v="2023-11-04T00:00:00"/>
    <x v="4"/>
    <x v="2"/>
    <x v="2"/>
    <n v="1134.48"/>
    <n v="745.63"/>
    <n v="6"/>
    <n v="6806.88"/>
    <n v="4473.78"/>
    <n v="2333.1000000000004"/>
    <n v="0.34275615259854741"/>
    <x v="10"/>
  </r>
  <r>
    <d v="2023-08-05T00:00:00"/>
    <x v="4"/>
    <x v="2"/>
    <x v="1"/>
    <n v="124.88"/>
    <n v="100.01"/>
    <n v="9"/>
    <n v="1123.92"/>
    <n v="900.09"/>
    <n v="223.83000000000004"/>
    <n v="0.19915118513773225"/>
    <x v="14"/>
  </r>
  <r>
    <d v="2024-10-27T00:00:00"/>
    <x v="5"/>
    <x v="3"/>
    <x v="2"/>
    <n v="1160.06"/>
    <n v="870.98"/>
    <n v="8"/>
    <n v="9280.48"/>
    <n v="6967.84"/>
    <n v="2312.6399999999994"/>
    <n v="0.24919400720652374"/>
    <x v="17"/>
  </r>
  <r>
    <d v="2022-04-22T00:00:00"/>
    <x v="0"/>
    <x v="0"/>
    <x v="0"/>
    <n v="1657.41"/>
    <n v="1134.4000000000001"/>
    <n v="8"/>
    <n v="13259.28"/>
    <n v="9075.2000000000007"/>
    <n v="4184.08"/>
    <n v="0.3155586125340139"/>
    <x v="32"/>
  </r>
  <r>
    <d v="2023-08-09T00:00:00"/>
    <x v="1"/>
    <x v="1"/>
    <x v="3"/>
    <n v="303.79000000000002"/>
    <n v="260.11"/>
    <n v="7"/>
    <n v="2126.5300000000002"/>
    <n v="1820.77"/>
    <n v="305.76000000000022"/>
    <n v="0.14378353467856095"/>
    <x v="14"/>
  </r>
  <r>
    <d v="2022-02-17T00:00:00"/>
    <x v="10"/>
    <x v="2"/>
    <x v="1"/>
    <n v="1309.75"/>
    <n v="1024.75"/>
    <n v="5"/>
    <n v="6548.75"/>
    <n v="5123.75"/>
    <n v="1425"/>
    <n v="0.21759877839282304"/>
    <x v="20"/>
  </r>
  <r>
    <d v="2024-04-10T00:00:00"/>
    <x v="2"/>
    <x v="0"/>
    <x v="0"/>
    <n v="1039.76"/>
    <n v="702.48"/>
    <n v="5"/>
    <n v="5198.8"/>
    <n v="3512.4"/>
    <n v="1686.4"/>
    <n v="0.32438254981918907"/>
    <x v="22"/>
  </r>
  <r>
    <d v="2023-08-12T00:00:00"/>
    <x v="10"/>
    <x v="2"/>
    <x v="3"/>
    <n v="214.23"/>
    <n v="189.72"/>
    <n v="4"/>
    <n v="856.92"/>
    <n v="758.88"/>
    <n v="98.039999999999964"/>
    <n v="0.11440974653409883"/>
    <x v="14"/>
  </r>
  <r>
    <d v="2024-02-02T00:00:00"/>
    <x v="3"/>
    <x v="2"/>
    <x v="2"/>
    <n v="1052.07"/>
    <n v="652.79999999999995"/>
    <n v="8"/>
    <n v="8416.56"/>
    <n v="5222.3999999999996"/>
    <n v="3194.16"/>
    <n v="0.37950896803444639"/>
    <x v="34"/>
  </r>
  <r>
    <d v="2024-07-27T00:00:00"/>
    <x v="8"/>
    <x v="1"/>
    <x v="3"/>
    <n v="1401.4"/>
    <n v="816.75"/>
    <n v="4"/>
    <n v="5605.6"/>
    <n v="3267"/>
    <n v="2338.6000000000004"/>
    <n v="0.41718995290423866"/>
    <x v="28"/>
  </r>
  <r>
    <d v="2022-09-05T00:00:00"/>
    <x v="10"/>
    <x v="2"/>
    <x v="3"/>
    <n v="1325.58"/>
    <n v="698.61"/>
    <n v="1"/>
    <n v="1325.58"/>
    <n v="698.61"/>
    <n v="626.96999999999991"/>
    <n v="0.47297786629249078"/>
    <x v="12"/>
  </r>
  <r>
    <d v="2023-02-18T00:00:00"/>
    <x v="5"/>
    <x v="3"/>
    <x v="1"/>
    <n v="1079.9000000000001"/>
    <n v="720.23"/>
    <n v="7"/>
    <n v="7559.3000000000011"/>
    <n v="5041.6100000000006"/>
    <n v="2517.6900000000005"/>
    <n v="0.33305861653856839"/>
    <x v="27"/>
  </r>
  <r>
    <d v="2023-05-20T00:00:00"/>
    <x v="7"/>
    <x v="0"/>
    <x v="0"/>
    <n v="1617.43"/>
    <n v="1287.07"/>
    <n v="1"/>
    <n v="1617.43"/>
    <n v="1287.07"/>
    <n v="330.36000000000013"/>
    <n v="0.20424995208447977"/>
    <x v="31"/>
  </r>
  <r>
    <d v="2024-01-24T00:00:00"/>
    <x v="0"/>
    <x v="0"/>
    <x v="3"/>
    <n v="599.78"/>
    <n v="439.6"/>
    <n v="10"/>
    <n v="5997.7999999999993"/>
    <n v="4396"/>
    <n v="1601.7999999999993"/>
    <n v="0.26706459034979485"/>
    <x v="26"/>
  </r>
  <r>
    <d v="2023-04-06T00:00:00"/>
    <x v="3"/>
    <x v="2"/>
    <x v="1"/>
    <n v="1124.06"/>
    <n v="933.69"/>
    <n v="4"/>
    <n v="4496.24"/>
    <n v="3734.76"/>
    <n v="761.47999999999956"/>
    <n v="0.16935928687080751"/>
    <x v="6"/>
  </r>
  <r>
    <d v="2022-12-11T00:00:00"/>
    <x v="7"/>
    <x v="0"/>
    <x v="2"/>
    <n v="612.45000000000005"/>
    <n v="414.7"/>
    <n v="6"/>
    <n v="3674.7000000000003"/>
    <n v="2488.1999999999998"/>
    <n v="1186.5000000000005"/>
    <n v="0.32288350069393429"/>
    <x v="33"/>
  </r>
  <r>
    <d v="2022-07-24T00:00:00"/>
    <x v="1"/>
    <x v="1"/>
    <x v="3"/>
    <n v="1395.4"/>
    <n v="967.37"/>
    <n v="9"/>
    <n v="12558.6"/>
    <n v="8706.33"/>
    <n v="3852.2700000000004"/>
    <n v="0.30674358606851082"/>
    <x v="8"/>
  </r>
  <r>
    <d v="2022-03-02T00:00:00"/>
    <x v="3"/>
    <x v="2"/>
    <x v="0"/>
    <n v="1127.56"/>
    <n v="1010.94"/>
    <n v="8"/>
    <n v="9020.48"/>
    <n v="8087.52"/>
    <n v="932.95999999999913"/>
    <n v="0.10342686863670217"/>
    <x v="7"/>
  </r>
  <r>
    <d v="2022-10-27T00:00:00"/>
    <x v="0"/>
    <x v="0"/>
    <x v="3"/>
    <n v="1357.84"/>
    <n v="1144.47"/>
    <n v="10"/>
    <n v="13578.4"/>
    <n v="11444.7"/>
    <n v="2133.6999999999989"/>
    <n v="0.15713928003299349"/>
    <x v="25"/>
  </r>
  <r>
    <d v="2024-01-10T00:00:00"/>
    <x v="9"/>
    <x v="3"/>
    <x v="1"/>
    <n v="775.07"/>
    <n v="542.89"/>
    <n v="5"/>
    <n v="3875.3500000000004"/>
    <n v="2714.45"/>
    <n v="1160.9000000000005"/>
    <n v="0.29956003973834633"/>
    <x v="26"/>
  </r>
  <r>
    <d v="2024-10-05T00:00:00"/>
    <x v="2"/>
    <x v="0"/>
    <x v="0"/>
    <n v="692.45"/>
    <n v="471.87"/>
    <n v="6"/>
    <n v="4154.7000000000007"/>
    <n v="2831.2200000000003"/>
    <n v="1323.4800000000005"/>
    <n v="0.31855007581774863"/>
    <x v="17"/>
  </r>
  <r>
    <d v="2024-03-15T00:00:00"/>
    <x v="5"/>
    <x v="3"/>
    <x v="1"/>
    <n v="1121.79"/>
    <n v="955.99"/>
    <n v="9"/>
    <n v="10096.11"/>
    <n v="8603.91"/>
    <n v="1492.2000000000007"/>
    <n v="0.14779949901496722"/>
    <x v="29"/>
  </r>
  <r>
    <d v="2022-11-27T00:00:00"/>
    <x v="10"/>
    <x v="2"/>
    <x v="3"/>
    <n v="315.14999999999998"/>
    <n v="223.88"/>
    <n v="9"/>
    <n v="2836.35"/>
    <n v="2014.92"/>
    <n v="821.42999999999984"/>
    <n v="0.28960812311597645"/>
    <x v="1"/>
  </r>
  <r>
    <d v="2023-04-29T00:00:00"/>
    <x v="1"/>
    <x v="1"/>
    <x v="0"/>
    <n v="407.47"/>
    <n v="229.73"/>
    <n v="6"/>
    <n v="2444.8200000000002"/>
    <n v="1378.3799999999999"/>
    <n v="1066.4400000000003"/>
    <n v="0.43620389231109047"/>
    <x v="6"/>
  </r>
  <r>
    <d v="2024-09-21T00:00:00"/>
    <x v="0"/>
    <x v="0"/>
    <x v="0"/>
    <n v="1302.4000000000001"/>
    <n v="877.18"/>
    <n v="10"/>
    <n v="13024"/>
    <n v="8771.7999999999993"/>
    <n v="4252.2000000000007"/>
    <n v="0.32648955773955779"/>
    <x v="16"/>
  </r>
  <r>
    <d v="2024-08-19T00:00:00"/>
    <x v="5"/>
    <x v="3"/>
    <x v="0"/>
    <n v="943.8"/>
    <n v="778.52"/>
    <n v="5"/>
    <n v="4719"/>
    <n v="3892.6"/>
    <n v="826.40000000000009"/>
    <n v="0.1751218478491206"/>
    <x v="21"/>
  </r>
  <r>
    <d v="2023-04-07T00:00:00"/>
    <x v="8"/>
    <x v="1"/>
    <x v="1"/>
    <n v="474.3"/>
    <n v="391.91"/>
    <n v="7"/>
    <n v="3320.1"/>
    <n v="2743.3700000000003"/>
    <n v="576.72999999999956"/>
    <n v="0.1737086232342398"/>
    <x v="6"/>
  </r>
  <r>
    <d v="2024-07-30T00:00:00"/>
    <x v="2"/>
    <x v="0"/>
    <x v="0"/>
    <n v="1135.99"/>
    <n v="724.53"/>
    <n v="4"/>
    <n v="4543.96"/>
    <n v="2898.12"/>
    <n v="1645.8400000000001"/>
    <n v="0.36220389263990005"/>
    <x v="28"/>
  </r>
  <r>
    <d v="2024-04-12T00:00:00"/>
    <x v="5"/>
    <x v="3"/>
    <x v="3"/>
    <n v="638.21"/>
    <n v="427.78"/>
    <n v="4"/>
    <n v="2552.84"/>
    <n v="1711.12"/>
    <n v="841.72000000000025"/>
    <n v="0.32971905799031676"/>
    <x v="22"/>
  </r>
  <r>
    <d v="2023-01-08T00:00:00"/>
    <x v="0"/>
    <x v="0"/>
    <x v="1"/>
    <n v="231.63"/>
    <n v="192.03"/>
    <n v="7"/>
    <n v="1621.4099999999999"/>
    <n v="1344.21"/>
    <n v="277.19999999999982"/>
    <n v="0.1709623105815308"/>
    <x v="13"/>
  </r>
  <r>
    <d v="2022-10-06T00:00:00"/>
    <x v="10"/>
    <x v="2"/>
    <x v="1"/>
    <n v="560.73"/>
    <n v="473.76"/>
    <n v="8"/>
    <n v="4485.84"/>
    <n v="3790.08"/>
    <n v="695.76000000000022"/>
    <n v="0.1551013856936494"/>
    <x v="25"/>
  </r>
  <r>
    <d v="2024-05-14T00:00:00"/>
    <x v="7"/>
    <x v="0"/>
    <x v="0"/>
    <n v="462.29"/>
    <n v="252.1"/>
    <n v="8"/>
    <n v="3698.32"/>
    <n v="2016.8"/>
    <n v="1681.5200000000002"/>
    <n v="0.45467131021653079"/>
    <x v="3"/>
  </r>
  <r>
    <d v="2024-03-23T00:00:00"/>
    <x v="8"/>
    <x v="1"/>
    <x v="1"/>
    <n v="278.89999999999998"/>
    <n v="158.38999999999999"/>
    <n v="4"/>
    <n v="1115.5999999999999"/>
    <n v="633.55999999999995"/>
    <n v="482.03999999999996"/>
    <n v="0.43209035496593762"/>
    <x v="29"/>
  </r>
  <r>
    <d v="2022-01-21T00:00:00"/>
    <x v="2"/>
    <x v="0"/>
    <x v="2"/>
    <n v="52.34"/>
    <n v="40.700000000000003"/>
    <n v="3"/>
    <n v="157.02000000000001"/>
    <n v="122.10000000000001"/>
    <n v="34.92"/>
    <n v="0.22239205196790218"/>
    <x v="9"/>
  </r>
  <r>
    <d v="2022-04-10T00:00:00"/>
    <x v="2"/>
    <x v="0"/>
    <x v="0"/>
    <n v="906.21"/>
    <n v="601.20000000000005"/>
    <n v="1"/>
    <n v="906.21"/>
    <n v="601.20000000000005"/>
    <n v="305.01"/>
    <n v="0.33657761446022444"/>
    <x v="32"/>
  </r>
  <r>
    <d v="2024-09-16T00:00:00"/>
    <x v="10"/>
    <x v="2"/>
    <x v="1"/>
    <n v="1264.26"/>
    <n v="708.97"/>
    <n v="7"/>
    <n v="8849.82"/>
    <n v="4962.79"/>
    <n v="3887.0299999999997"/>
    <n v="0.43922136269438244"/>
    <x v="16"/>
  </r>
  <r>
    <d v="2024-12-23T00:00:00"/>
    <x v="8"/>
    <x v="1"/>
    <x v="0"/>
    <n v="1800.13"/>
    <n v="1063.8499999999999"/>
    <n v="2"/>
    <n v="3600.26"/>
    <n v="2127.6999999999998"/>
    <n v="1472.5600000000004"/>
    <n v="0.40901490447912103"/>
    <x v="23"/>
  </r>
  <r>
    <d v="2024-01-03T00:00:00"/>
    <x v="8"/>
    <x v="1"/>
    <x v="2"/>
    <n v="254.62"/>
    <n v="148.05000000000001"/>
    <n v="6"/>
    <n v="1527.72"/>
    <n v="888.30000000000007"/>
    <n v="639.41999999999996"/>
    <n v="0.41854528316707246"/>
    <x v="26"/>
  </r>
  <r>
    <d v="2023-06-25T00:00:00"/>
    <x v="3"/>
    <x v="2"/>
    <x v="0"/>
    <n v="829.51"/>
    <n v="463.47"/>
    <n v="9"/>
    <n v="7465.59"/>
    <n v="4171.2300000000005"/>
    <n v="3294.3599999999997"/>
    <n v="0.44127255849839059"/>
    <x v="0"/>
  </r>
  <r>
    <d v="2023-05-24T00:00:00"/>
    <x v="1"/>
    <x v="1"/>
    <x v="2"/>
    <n v="219.93"/>
    <n v="175.69"/>
    <n v="2"/>
    <n v="439.86"/>
    <n v="351.38"/>
    <n v="88.480000000000018"/>
    <n v="0.2011549129268404"/>
    <x v="31"/>
  </r>
  <r>
    <d v="2024-01-19T00:00:00"/>
    <x v="3"/>
    <x v="2"/>
    <x v="2"/>
    <n v="1211.26"/>
    <n v="828.88"/>
    <n v="3"/>
    <n v="3633.7799999999997"/>
    <n v="2486.64"/>
    <n v="1147.1399999999999"/>
    <n v="0.3156877961791853"/>
    <x v="26"/>
  </r>
  <r>
    <d v="2023-04-15T00:00:00"/>
    <x v="6"/>
    <x v="3"/>
    <x v="2"/>
    <n v="1641.74"/>
    <n v="1124.1199999999999"/>
    <n v="5"/>
    <n v="8208.7000000000007"/>
    <n v="5620.5999999999995"/>
    <n v="2588.1000000000013"/>
    <n v="0.315287438936738"/>
    <x v="6"/>
  </r>
  <r>
    <d v="2022-02-16T00:00:00"/>
    <x v="2"/>
    <x v="0"/>
    <x v="3"/>
    <n v="745.14"/>
    <n v="578.77"/>
    <n v="7"/>
    <n v="5215.9799999999996"/>
    <n v="4051.39"/>
    <n v="1164.5899999999997"/>
    <n v="0.22327347880935122"/>
    <x v="20"/>
  </r>
  <r>
    <d v="2024-03-11T00:00:00"/>
    <x v="0"/>
    <x v="0"/>
    <x v="3"/>
    <n v="816.04"/>
    <n v="488.47"/>
    <n v="5"/>
    <n v="4080.2"/>
    <n v="2442.3500000000004"/>
    <n v="1637.8499999999995"/>
    <n v="0.40141414636537415"/>
    <x v="29"/>
  </r>
  <r>
    <d v="2024-05-07T00:00:00"/>
    <x v="0"/>
    <x v="0"/>
    <x v="2"/>
    <n v="416.97"/>
    <n v="291.49"/>
    <n v="3"/>
    <n v="1250.9100000000001"/>
    <n v="874.47"/>
    <n v="376.44000000000005"/>
    <n v="0.30093292083363316"/>
    <x v="3"/>
  </r>
  <r>
    <d v="2024-05-27T00:00:00"/>
    <x v="3"/>
    <x v="2"/>
    <x v="2"/>
    <n v="1986.18"/>
    <n v="1126.17"/>
    <n v="8"/>
    <n v="15889.44"/>
    <n v="9009.36"/>
    <n v="6880.08"/>
    <n v="0.43299700933450136"/>
    <x v="3"/>
  </r>
  <r>
    <d v="2022-05-31T00:00:00"/>
    <x v="0"/>
    <x v="0"/>
    <x v="2"/>
    <n v="1786.93"/>
    <n v="1101.73"/>
    <n v="5"/>
    <n v="8934.65"/>
    <n v="5508.65"/>
    <n v="3426"/>
    <n v="0.38345094659555778"/>
    <x v="35"/>
  </r>
  <r>
    <d v="2024-12-03T00:00:00"/>
    <x v="1"/>
    <x v="1"/>
    <x v="2"/>
    <n v="1052.48"/>
    <n v="891.27"/>
    <n v="2"/>
    <n v="2104.96"/>
    <n v="1782.54"/>
    <n v="322.42000000000007"/>
    <n v="0.15317155670416543"/>
    <x v="23"/>
  </r>
  <r>
    <d v="2022-12-20T00:00:00"/>
    <x v="3"/>
    <x v="2"/>
    <x v="2"/>
    <n v="762.83"/>
    <n v="624.35"/>
    <n v="6"/>
    <n v="4576.9800000000005"/>
    <n v="3746.1000000000004"/>
    <n v="830.88000000000011"/>
    <n v="0.18153454898207988"/>
    <x v="33"/>
  </r>
  <r>
    <d v="2022-08-11T00:00:00"/>
    <x v="1"/>
    <x v="1"/>
    <x v="3"/>
    <n v="143.44999999999999"/>
    <n v="87.8"/>
    <n v="3"/>
    <n v="430.34999999999997"/>
    <n v="263.39999999999998"/>
    <n v="166.95"/>
    <n v="0.38794004879749044"/>
    <x v="15"/>
  </r>
  <r>
    <d v="2022-01-05T00:00:00"/>
    <x v="5"/>
    <x v="3"/>
    <x v="3"/>
    <n v="198.75"/>
    <n v="124.68"/>
    <n v="9"/>
    <n v="1788.75"/>
    <n v="1122.1200000000001"/>
    <n v="666.62999999999988"/>
    <n v="0.37267924528301882"/>
    <x v="9"/>
  </r>
  <r>
    <d v="2023-08-21T00:00:00"/>
    <x v="10"/>
    <x v="2"/>
    <x v="0"/>
    <n v="1539.56"/>
    <n v="1043.3499999999999"/>
    <n v="7"/>
    <n v="10776.92"/>
    <n v="7303.4499999999989"/>
    <n v="3473.4700000000012"/>
    <n v="0.32230637324949996"/>
    <x v="14"/>
  </r>
  <r>
    <d v="2023-10-17T00:00:00"/>
    <x v="4"/>
    <x v="2"/>
    <x v="3"/>
    <n v="1584.45"/>
    <n v="1147.31"/>
    <n v="8"/>
    <n v="12675.6"/>
    <n v="9178.48"/>
    <n v="3497.1200000000008"/>
    <n v="0.27589384328946959"/>
    <x v="5"/>
  </r>
  <r>
    <d v="2024-12-08T00:00:00"/>
    <x v="10"/>
    <x v="2"/>
    <x v="0"/>
    <n v="488.84"/>
    <n v="394.77"/>
    <n v="7"/>
    <n v="3421.8799999999997"/>
    <n v="2763.39"/>
    <n v="658.48999999999978"/>
    <n v="0.19243515260616967"/>
    <x v="23"/>
  </r>
  <r>
    <d v="2024-08-20T00:00:00"/>
    <x v="8"/>
    <x v="1"/>
    <x v="2"/>
    <n v="553.57000000000005"/>
    <n v="297.56"/>
    <n v="8"/>
    <n v="4428.5600000000004"/>
    <n v="2380.48"/>
    <n v="2048.0800000000004"/>
    <n v="0.46247087089257011"/>
    <x v="21"/>
  </r>
  <r>
    <d v="2023-05-29T00:00:00"/>
    <x v="7"/>
    <x v="0"/>
    <x v="0"/>
    <n v="62.22"/>
    <n v="38.08"/>
    <n v="5"/>
    <n v="311.10000000000002"/>
    <n v="190.39999999999998"/>
    <n v="120.70000000000005"/>
    <n v="0.38797814207650283"/>
    <x v="31"/>
  </r>
  <r>
    <d v="2024-01-31T00:00:00"/>
    <x v="7"/>
    <x v="0"/>
    <x v="2"/>
    <n v="1638.05"/>
    <n v="1244.67"/>
    <n v="9"/>
    <n v="14742.449999999999"/>
    <n v="11202.03"/>
    <n v="3540.4199999999983"/>
    <n v="0.24015139952992878"/>
    <x v="26"/>
  </r>
  <r>
    <d v="2023-03-22T00:00:00"/>
    <x v="5"/>
    <x v="3"/>
    <x v="0"/>
    <n v="1897.76"/>
    <n v="1050.68"/>
    <n v="7"/>
    <n v="13284.32"/>
    <n v="7354.76"/>
    <n v="5929.5599999999995"/>
    <n v="0.44635781131439167"/>
    <x v="19"/>
  </r>
  <r>
    <d v="2024-09-16T00:00:00"/>
    <x v="10"/>
    <x v="2"/>
    <x v="1"/>
    <n v="1862.85"/>
    <n v="992.86"/>
    <n v="5"/>
    <n v="9314.25"/>
    <n v="4964.3"/>
    <n v="4349.95"/>
    <n v="0.46702096250369057"/>
    <x v="16"/>
  </r>
  <r>
    <d v="2022-02-13T00:00:00"/>
    <x v="9"/>
    <x v="3"/>
    <x v="3"/>
    <n v="212.51"/>
    <n v="178.51"/>
    <n v="8"/>
    <n v="1700.08"/>
    <n v="1428.08"/>
    <n v="272"/>
    <n v="0.15999247094254387"/>
    <x v="20"/>
  </r>
  <r>
    <d v="2024-12-21T00:00:00"/>
    <x v="0"/>
    <x v="0"/>
    <x v="1"/>
    <n v="476.9"/>
    <n v="394.92"/>
    <n v="5"/>
    <n v="2384.5"/>
    <n v="1974.6000000000001"/>
    <n v="409.89999999999986"/>
    <n v="0.17190186621933315"/>
    <x v="23"/>
  </r>
  <r>
    <d v="2022-03-09T00:00:00"/>
    <x v="9"/>
    <x v="3"/>
    <x v="0"/>
    <n v="842.49"/>
    <n v="669.84"/>
    <n v="7"/>
    <n v="5897.43"/>
    <n v="4688.88"/>
    <n v="1208.5500000000002"/>
    <n v="0.20492824840650931"/>
    <x v="7"/>
  </r>
  <r>
    <d v="2024-07-15T00:00:00"/>
    <x v="5"/>
    <x v="3"/>
    <x v="2"/>
    <n v="370.93"/>
    <n v="210.12"/>
    <n v="1"/>
    <n v="370.93"/>
    <n v="210.12"/>
    <n v="160.81"/>
    <n v="0.43353193324886097"/>
    <x v="28"/>
  </r>
  <r>
    <d v="2022-03-15T00:00:00"/>
    <x v="6"/>
    <x v="3"/>
    <x v="3"/>
    <n v="1890.58"/>
    <n v="1394.64"/>
    <n v="6"/>
    <n v="11343.48"/>
    <n v="8367.84"/>
    <n v="2975.6399999999994"/>
    <n v="0.26232161558886685"/>
    <x v="7"/>
  </r>
  <r>
    <d v="2023-05-02T00:00:00"/>
    <x v="5"/>
    <x v="3"/>
    <x v="2"/>
    <n v="1169.22"/>
    <n v="1052.04"/>
    <n v="10"/>
    <n v="11692.2"/>
    <n v="10520.4"/>
    <n v="1171.8000000000011"/>
    <n v="0.100220659927131"/>
    <x v="31"/>
  </r>
  <r>
    <d v="2023-07-13T00:00:00"/>
    <x v="3"/>
    <x v="2"/>
    <x v="2"/>
    <n v="1106.67"/>
    <n v="745.6"/>
    <n v="2"/>
    <n v="2213.34"/>
    <n v="1491.2"/>
    <n v="722.1400000000001"/>
    <n v="0.32626708955695921"/>
    <x v="11"/>
  </r>
  <r>
    <d v="2024-02-19T00:00:00"/>
    <x v="0"/>
    <x v="0"/>
    <x v="2"/>
    <n v="91.23"/>
    <n v="64.430000000000007"/>
    <n v="5"/>
    <n v="456.15000000000003"/>
    <n v="322.15000000000003"/>
    <n v="134"/>
    <n v="0.29376301655157294"/>
    <x v="34"/>
  </r>
  <r>
    <d v="2022-07-20T00:00:00"/>
    <x v="0"/>
    <x v="0"/>
    <x v="0"/>
    <n v="1810.75"/>
    <n v="1121.55"/>
    <n v="8"/>
    <n v="14486"/>
    <n v="8972.4"/>
    <n v="5513.6"/>
    <n v="0.38061576694739752"/>
    <x v="8"/>
  </r>
  <r>
    <d v="2024-10-30T00:00:00"/>
    <x v="6"/>
    <x v="3"/>
    <x v="2"/>
    <n v="186.13"/>
    <n v="136.72999999999999"/>
    <n v="5"/>
    <n v="930.65"/>
    <n v="683.65"/>
    <n v="247"/>
    <n v="0.26540589910277762"/>
    <x v="17"/>
  </r>
  <r>
    <d v="2023-09-05T00:00:00"/>
    <x v="8"/>
    <x v="1"/>
    <x v="0"/>
    <n v="1643.7"/>
    <n v="1391.07"/>
    <n v="2"/>
    <n v="3287.4"/>
    <n v="2782.14"/>
    <n v="505.26000000000022"/>
    <n v="0.15369592991421799"/>
    <x v="24"/>
  </r>
  <r>
    <d v="2024-02-21T00:00:00"/>
    <x v="2"/>
    <x v="0"/>
    <x v="2"/>
    <n v="1622.63"/>
    <n v="1394.95"/>
    <n v="2"/>
    <n v="3245.26"/>
    <n v="2789.9"/>
    <n v="455.36000000000013"/>
    <n v="0.1403154138651449"/>
    <x v="34"/>
  </r>
  <r>
    <d v="2023-01-19T00:00:00"/>
    <x v="5"/>
    <x v="3"/>
    <x v="1"/>
    <n v="728.08"/>
    <n v="390.13"/>
    <n v="2"/>
    <n v="1456.16"/>
    <n v="780.26"/>
    <n v="675.90000000000009"/>
    <n v="0.46416602571146032"/>
    <x v="13"/>
  </r>
  <r>
    <d v="2022-04-20T00:00:00"/>
    <x v="10"/>
    <x v="2"/>
    <x v="0"/>
    <n v="780.53"/>
    <n v="664.52"/>
    <n v="2"/>
    <n v="1561.06"/>
    <n v="1329.04"/>
    <n v="232.01999999999998"/>
    <n v="0.14862977720266998"/>
    <x v="32"/>
  </r>
  <r>
    <d v="2022-09-10T00:00:00"/>
    <x v="10"/>
    <x v="2"/>
    <x v="3"/>
    <n v="1079.6600000000001"/>
    <n v="655.84"/>
    <n v="6"/>
    <n v="6477.9600000000009"/>
    <n v="3935.04"/>
    <n v="2542.920000000001"/>
    <n v="0.39254950632606572"/>
    <x v="12"/>
  </r>
  <r>
    <d v="2024-05-04T00:00:00"/>
    <x v="8"/>
    <x v="1"/>
    <x v="0"/>
    <n v="576.11"/>
    <n v="314.83"/>
    <n v="5"/>
    <n v="2880.55"/>
    <n v="1574.1499999999999"/>
    <n v="1306.4000000000003"/>
    <n v="0.45352450052941284"/>
    <x v="3"/>
  </r>
  <r>
    <d v="2022-11-05T00:00:00"/>
    <x v="0"/>
    <x v="0"/>
    <x v="2"/>
    <n v="1889.09"/>
    <n v="1266.4100000000001"/>
    <n v="3"/>
    <n v="5667.2699999999995"/>
    <n v="3799.2300000000005"/>
    <n v="1868.0399999999991"/>
    <n v="0.32961902291579531"/>
    <x v="1"/>
  </r>
  <r>
    <d v="2022-01-25T00:00:00"/>
    <x v="10"/>
    <x v="2"/>
    <x v="1"/>
    <n v="1285.4100000000001"/>
    <n v="1067.6500000000001"/>
    <n v="1"/>
    <n v="1285.4100000000001"/>
    <n v="1067.6500000000001"/>
    <n v="217.76"/>
    <n v="0.16940898234804458"/>
    <x v="9"/>
  </r>
  <r>
    <d v="2023-08-17T00:00:00"/>
    <x v="0"/>
    <x v="0"/>
    <x v="2"/>
    <n v="1201.56"/>
    <n v="840.73"/>
    <n v="6"/>
    <n v="7209.36"/>
    <n v="5044.38"/>
    <n v="2164.9799999999996"/>
    <n v="0.30030127500915471"/>
    <x v="14"/>
  </r>
  <r>
    <d v="2024-11-03T00:00:00"/>
    <x v="3"/>
    <x v="2"/>
    <x v="1"/>
    <n v="67.05"/>
    <n v="58.55"/>
    <n v="8"/>
    <n v="536.4"/>
    <n v="468.4"/>
    <n v="68"/>
    <n v="0.12677106636838181"/>
    <x v="2"/>
  </r>
  <r>
    <d v="2023-11-05T00:00:00"/>
    <x v="7"/>
    <x v="0"/>
    <x v="3"/>
    <n v="1583.25"/>
    <n v="1086.1199999999999"/>
    <n v="5"/>
    <n v="7916.25"/>
    <n v="5430.5999999999995"/>
    <n v="2485.6500000000005"/>
    <n v="0.31399336807200384"/>
    <x v="10"/>
  </r>
  <r>
    <d v="2023-04-12T00:00:00"/>
    <x v="5"/>
    <x v="3"/>
    <x v="0"/>
    <n v="1719.15"/>
    <n v="1478.09"/>
    <n v="7"/>
    <n v="12034.050000000001"/>
    <n v="10346.629999999999"/>
    <n v="1687.4200000000019"/>
    <n v="0.14022045778437034"/>
    <x v="6"/>
  </r>
  <r>
    <d v="2024-10-02T00:00:00"/>
    <x v="3"/>
    <x v="2"/>
    <x v="2"/>
    <n v="1144.9000000000001"/>
    <n v="582.98"/>
    <n v="7"/>
    <n v="8014.3000000000011"/>
    <n v="4080.86"/>
    <n v="3933.440000000001"/>
    <n v="0.49080269019128314"/>
    <x v="17"/>
  </r>
  <r>
    <d v="2022-04-19T00:00:00"/>
    <x v="0"/>
    <x v="0"/>
    <x v="0"/>
    <n v="1315.32"/>
    <n v="1170.27"/>
    <n v="8"/>
    <n v="10522.56"/>
    <n v="9362.16"/>
    <n v="1160.3999999999996"/>
    <n v="0.11027734695739437"/>
    <x v="32"/>
  </r>
  <r>
    <d v="2023-06-06T00:00:00"/>
    <x v="6"/>
    <x v="3"/>
    <x v="3"/>
    <n v="1778.02"/>
    <n v="1147.54"/>
    <n v="10"/>
    <n v="17780.2"/>
    <n v="11475.4"/>
    <n v="6304.8000000000011"/>
    <n v="0.35459668620150508"/>
    <x v="0"/>
  </r>
  <r>
    <d v="2024-02-02T00:00:00"/>
    <x v="3"/>
    <x v="2"/>
    <x v="0"/>
    <n v="1156.21"/>
    <n v="640.08000000000004"/>
    <n v="8"/>
    <n v="9249.68"/>
    <n v="5120.6400000000003"/>
    <n v="4129.04"/>
    <n v="0.44639814566557978"/>
    <x v="34"/>
  </r>
  <r>
    <d v="2022-04-04T00:00:00"/>
    <x v="1"/>
    <x v="1"/>
    <x v="3"/>
    <n v="307.08"/>
    <n v="190.89"/>
    <n v="7"/>
    <n v="2149.56"/>
    <n v="1336.23"/>
    <n v="813.32999999999993"/>
    <n v="0.37837045720984758"/>
    <x v="32"/>
  </r>
  <r>
    <d v="2024-03-25T00:00:00"/>
    <x v="7"/>
    <x v="0"/>
    <x v="2"/>
    <n v="398.75"/>
    <n v="300.62"/>
    <n v="3"/>
    <n v="1196.25"/>
    <n v="901.86"/>
    <n v="294.39"/>
    <n v="0.24609404388714731"/>
    <x v="29"/>
  </r>
  <r>
    <d v="2024-08-02T00:00:00"/>
    <x v="4"/>
    <x v="2"/>
    <x v="2"/>
    <n v="1010.68"/>
    <n v="663.66"/>
    <n v="1"/>
    <n v="1010.68"/>
    <n v="663.66"/>
    <n v="347.02"/>
    <n v="0.3433529900660941"/>
    <x v="21"/>
  </r>
  <r>
    <d v="2023-04-14T00:00:00"/>
    <x v="3"/>
    <x v="2"/>
    <x v="3"/>
    <n v="1705.92"/>
    <n v="1086.25"/>
    <n v="4"/>
    <n v="6823.68"/>
    <n v="4345"/>
    <n v="2478.6800000000003"/>
    <n v="0.3632468111048584"/>
    <x v="6"/>
  </r>
  <r>
    <d v="2024-06-26T00:00:00"/>
    <x v="10"/>
    <x v="2"/>
    <x v="0"/>
    <n v="1719.37"/>
    <n v="1027.07"/>
    <n v="8"/>
    <n v="13754.96"/>
    <n v="8216.56"/>
    <n v="5538.4"/>
    <n v="0.40264748134491124"/>
    <x v="4"/>
  </r>
  <r>
    <d v="2022-11-16T00:00:00"/>
    <x v="10"/>
    <x v="2"/>
    <x v="3"/>
    <n v="1141.49"/>
    <n v="628.79999999999995"/>
    <n v="7"/>
    <n v="7990.43"/>
    <n v="4401.5999999999995"/>
    <n v="3588.8300000000008"/>
    <n v="0.44914103496307467"/>
    <x v="1"/>
  </r>
  <r>
    <d v="2023-06-17T00:00:00"/>
    <x v="0"/>
    <x v="0"/>
    <x v="1"/>
    <n v="506.3"/>
    <n v="312.70999999999998"/>
    <n v="4"/>
    <n v="2025.2"/>
    <n v="1250.8399999999999"/>
    <n v="774.36000000000013"/>
    <n v="0.38236223582856022"/>
    <x v="0"/>
  </r>
  <r>
    <d v="2022-11-08T00:00:00"/>
    <x v="6"/>
    <x v="3"/>
    <x v="1"/>
    <n v="913.41"/>
    <n v="629.04"/>
    <n v="3"/>
    <n v="2740.23"/>
    <n v="1887.12"/>
    <n v="853.11000000000013"/>
    <n v="0.31132788123624666"/>
    <x v="1"/>
  </r>
  <r>
    <d v="2023-03-17T00:00:00"/>
    <x v="7"/>
    <x v="0"/>
    <x v="1"/>
    <n v="396.58"/>
    <n v="230.01"/>
    <n v="1"/>
    <n v="396.58"/>
    <n v="230.01"/>
    <n v="166.57"/>
    <n v="0.42001613797972664"/>
    <x v="19"/>
  </r>
  <r>
    <d v="2023-10-07T00:00:00"/>
    <x v="6"/>
    <x v="3"/>
    <x v="2"/>
    <n v="724.75"/>
    <n v="486.59"/>
    <n v="2"/>
    <n v="1449.5"/>
    <n v="973.18"/>
    <n v="476.32000000000005"/>
    <n v="0.32860986547085203"/>
    <x v="5"/>
  </r>
  <r>
    <d v="2024-02-13T00:00:00"/>
    <x v="3"/>
    <x v="2"/>
    <x v="3"/>
    <n v="202.31"/>
    <n v="168.92"/>
    <n v="2"/>
    <n v="404.62"/>
    <n v="337.84"/>
    <n v="66.78000000000003"/>
    <n v="0.16504374474815883"/>
    <x v="34"/>
  </r>
  <r>
    <d v="2023-08-25T00:00:00"/>
    <x v="10"/>
    <x v="2"/>
    <x v="1"/>
    <n v="1633.79"/>
    <n v="1118.45"/>
    <n v="10"/>
    <n v="16337.9"/>
    <n v="11184.5"/>
    <n v="5153.3999999999996"/>
    <n v="0.31542609515298781"/>
    <x v="14"/>
  </r>
  <r>
    <d v="2024-03-24T00:00:00"/>
    <x v="5"/>
    <x v="3"/>
    <x v="2"/>
    <n v="1087.3"/>
    <n v="873.43"/>
    <n v="9"/>
    <n v="9785.6999999999989"/>
    <n v="7860.87"/>
    <n v="1924.829999999999"/>
    <n v="0.19669824335509972"/>
    <x v="29"/>
  </r>
  <r>
    <d v="2023-02-09T00:00:00"/>
    <x v="6"/>
    <x v="3"/>
    <x v="2"/>
    <n v="1948.06"/>
    <n v="1083.82"/>
    <n v="4"/>
    <n v="7792.24"/>
    <n v="4335.28"/>
    <n v="3456.96"/>
    <n v="0.44364136628235273"/>
    <x v="27"/>
  </r>
  <r>
    <d v="2022-11-28T00:00:00"/>
    <x v="7"/>
    <x v="0"/>
    <x v="3"/>
    <n v="1160.3"/>
    <n v="768.68"/>
    <n v="9"/>
    <n v="10442.699999999999"/>
    <n v="6918.12"/>
    <n v="3524.579999999999"/>
    <n v="0.33751615961389292"/>
    <x v="1"/>
  </r>
  <r>
    <d v="2023-01-18T00:00:00"/>
    <x v="2"/>
    <x v="0"/>
    <x v="3"/>
    <n v="1927.47"/>
    <n v="1640.59"/>
    <n v="2"/>
    <n v="3854.94"/>
    <n v="3281.18"/>
    <n v="573.76000000000022"/>
    <n v="0.14883759539707497"/>
    <x v="13"/>
  </r>
  <r>
    <d v="2022-12-20T00:00:00"/>
    <x v="8"/>
    <x v="1"/>
    <x v="3"/>
    <n v="1199.23"/>
    <n v="635.83000000000004"/>
    <n v="9"/>
    <n v="10793.07"/>
    <n v="5722.47"/>
    <n v="5070.5999999999995"/>
    <n v="0.4698014559342244"/>
    <x v="33"/>
  </r>
  <r>
    <d v="2024-04-04T00:00:00"/>
    <x v="0"/>
    <x v="0"/>
    <x v="1"/>
    <n v="976.9"/>
    <n v="644.08000000000004"/>
    <n v="1"/>
    <n v="976.9"/>
    <n v="644.08000000000004"/>
    <n v="332.81999999999994"/>
    <n v="0.34068993755758004"/>
    <x v="22"/>
  </r>
  <r>
    <d v="2023-02-13T00:00:00"/>
    <x v="10"/>
    <x v="2"/>
    <x v="2"/>
    <n v="118.09"/>
    <n v="67.22"/>
    <n v="8"/>
    <n v="944.72"/>
    <n v="537.76"/>
    <n v="406.96000000000004"/>
    <n v="0.43077313913117116"/>
    <x v="27"/>
  </r>
  <r>
    <d v="2024-03-15T00:00:00"/>
    <x v="1"/>
    <x v="1"/>
    <x v="3"/>
    <n v="687.24"/>
    <n v="343.76"/>
    <n v="1"/>
    <n v="687.24"/>
    <n v="343.76"/>
    <n v="343.48"/>
    <n v="0.499796286595658"/>
    <x v="29"/>
  </r>
  <r>
    <d v="2024-04-12T00:00:00"/>
    <x v="3"/>
    <x v="2"/>
    <x v="2"/>
    <n v="1549.95"/>
    <n v="1062.1400000000001"/>
    <n v="2"/>
    <n v="3099.9"/>
    <n v="2124.2800000000002"/>
    <n v="975.61999999999989"/>
    <n v="0.31472628149295134"/>
    <x v="22"/>
  </r>
  <r>
    <d v="2023-07-20T00:00:00"/>
    <x v="9"/>
    <x v="3"/>
    <x v="0"/>
    <n v="1613.88"/>
    <n v="1292.23"/>
    <n v="2"/>
    <n v="3227.76"/>
    <n v="2584.46"/>
    <n v="643.30000000000018"/>
    <n v="0.19930230252559056"/>
    <x v="11"/>
  </r>
  <r>
    <d v="2022-04-06T00:00:00"/>
    <x v="2"/>
    <x v="0"/>
    <x v="3"/>
    <n v="1787.28"/>
    <n v="1088.7"/>
    <n v="4"/>
    <n v="7149.12"/>
    <n v="4354.8"/>
    <n v="2794.3199999999997"/>
    <n v="0.39086209211763123"/>
    <x v="32"/>
  </r>
  <r>
    <d v="2023-08-24T00:00:00"/>
    <x v="8"/>
    <x v="1"/>
    <x v="1"/>
    <n v="238.52"/>
    <n v="214.12"/>
    <n v="10"/>
    <n v="2385.2000000000003"/>
    <n v="2141.1999999999998"/>
    <n v="244.00000000000045"/>
    <n v="0.10229750125775634"/>
    <x v="14"/>
  </r>
  <r>
    <d v="2023-12-11T00:00:00"/>
    <x v="8"/>
    <x v="1"/>
    <x v="0"/>
    <n v="1015.49"/>
    <n v="619.99"/>
    <n v="8"/>
    <n v="8123.92"/>
    <n v="4959.92"/>
    <n v="3164"/>
    <n v="0.38946715378782654"/>
    <x v="30"/>
  </r>
  <r>
    <d v="2024-10-06T00:00:00"/>
    <x v="4"/>
    <x v="2"/>
    <x v="0"/>
    <n v="1453.41"/>
    <n v="841.27"/>
    <n v="2"/>
    <n v="2906.82"/>
    <n v="1682.54"/>
    <n v="1224.2800000000002"/>
    <n v="0.42117502975760457"/>
    <x v="17"/>
  </r>
  <r>
    <d v="2024-04-28T00:00:00"/>
    <x v="1"/>
    <x v="1"/>
    <x v="0"/>
    <n v="1161.29"/>
    <n v="612.62"/>
    <n v="10"/>
    <n v="11612.9"/>
    <n v="6126.2"/>
    <n v="5486.7"/>
    <n v="0.47246596457387907"/>
    <x v="22"/>
  </r>
  <r>
    <d v="2024-12-04T00:00:00"/>
    <x v="0"/>
    <x v="0"/>
    <x v="2"/>
    <n v="1137.74"/>
    <n v="716.19"/>
    <n v="7"/>
    <n v="7964.18"/>
    <n v="5013.33"/>
    <n v="2950.8500000000004"/>
    <n v="0.3705152319510609"/>
    <x v="23"/>
  </r>
  <r>
    <d v="2022-06-17T00:00:00"/>
    <x v="8"/>
    <x v="1"/>
    <x v="2"/>
    <n v="917.43"/>
    <n v="653.39"/>
    <n v="9"/>
    <n v="8256.869999999999"/>
    <n v="5880.51"/>
    <n v="2376.3599999999988"/>
    <n v="0.28780397414516629"/>
    <x v="18"/>
  </r>
  <r>
    <d v="2022-10-25T00:00:00"/>
    <x v="1"/>
    <x v="1"/>
    <x v="3"/>
    <n v="1544.13"/>
    <n v="1233.1600000000001"/>
    <n v="2"/>
    <n v="3088.26"/>
    <n v="2466.3200000000002"/>
    <n v="621.94000000000005"/>
    <n v="0.2013884841302222"/>
    <x v="25"/>
  </r>
  <r>
    <d v="2023-04-24T00:00:00"/>
    <x v="10"/>
    <x v="2"/>
    <x v="0"/>
    <n v="321.01"/>
    <n v="226.61"/>
    <n v="6"/>
    <n v="1926.06"/>
    <n v="1359.66"/>
    <n v="566.39999999999986"/>
    <n v="0.29407183576835605"/>
    <x v="6"/>
  </r>
  <r>
    <d v="2022-02-20T00:00:00"/>
    <x v="3"/>
    <x v="2"/>
    <x v="1"/>
    <n v="869.09"/>
    <n v="605"/>
    <n v="9"/>
    <n v="7821.81"/>
    <n v="5445"/>
    <n v="2376.8100000000004"/>
    <n v="0.30386956471711796"/>
    <x v="20"/>
  </r>
  <r>
    <d v="2023-06-03T00:00:00"/>
    <x v="0"/>
    <x v="0"/>
    <x v="2"/>
    <n v="1658.17"/>
    <n v="1416.04"/>
    <n v="6"/>
    <n v="9949.02"/>
    <n v="8496.24"/>
    <n v="1452.7800000000007"/>
    <n v="0.14602242230893098"/>
    <x v="0"/>
  </r>
  <r>
    <d v="2024-12-25T00:00:00"/>
    <x v="7"/>
    <x v="0"/>
    <x v="3"/>
    <n v="1633.27"/>
    <n v="856.18"/>
    <n v="1"/>
    <n v="1633.27"/>
    <n v="856.18"/>
    <n v="777.09"/>
    <n v="0.47578783667121788"/>
    <x v="23"/>
  </r>
  <r>
    <d v="2024-01-10T00:00:00"/>
    <x v="5"/>
    <x v="3"/>
    <x v="1"/>
    <n v="1165.46"/>
    <n v="913.95"/>
    <n v="6"/>
    <n v="6992.76"/>
    <n v="5483.7000000000007"/>
    <n v="1509.0599999999995"/>
    <n v="0.21580320216910054"/>
    <x v="26"/>
  </r>
  <r>
    <d v="2022-03-07T00:00:00"/>
    <x v="8"/>
    <x v="1"/>
    <x v="3"/>
    <n v="1572.25"/>
    <n v="1091.45"/>
    <n v="2"/>
    <n v="3144.5"/>
    <n v="2182.9"/>
    <n v="961.59999999999991"/>
    <n v="0.30580378438543487"/>
    <x v="7"/>
  </r>
  <r>
    <d v="2024-02-13T00:00:00"/>
    <x v="3"/>
    <x v="2"/>
    <x v="1"/>
    <n v="969.03"/>
    <n v="686.77"/>
    <n v="1"/>
    <n v="969.03"/>
    <n v="686.77"/>
    <n v="282.26"/>
    <n v="0.29128097169334283"/>
    <x v="34"/>
  </r>
  <r>
    <d v="2024-06-21T00:00:00"/>
    <x v="0"/>
    <x v="0"/>
    <x v="0"/>
    <n v="1320.47"/>
    <n v="830.25"/>
    <n v="3"/>
    <n v="3961.41"/>
    <n v="2490.75"/>
    <n v="1470.6599999999999"/>
    <n v="0.37124660158882822"/>
    <x v="4"/>
  </r>
  <r>
    <d v="2023-02-20T00:00:00"/>
    <x v="8"/>
    <x v="1"/>
    <x v="3"/>
    <n v="1033.43"/>
    <n v="589.27"/>
    <n v="10"/>
    <n v="10334.300000000001"/>
    <n v="5892.7"/>
    <n v="4441.6000000000013"/>
    <n v="0.42979205171129159"/>
    <x v="27"/>
  </r>
  <r>
    <d v="2023-01-24T00:00:00"/>
    <x v="3"/>
    <x v="2"/>
    <x v="1"/>
    <n v="1651.32"/>
    <n v="1471.54"/>
    <n v="4"/>
    <n v="6605.28"/>
    <n v="5886.16"/>
    <n v="719.11999999999989"/>
    <n v="0.10887047937407648"/>
    <x v="13"/>
  </r>
  <r>
    <d v="2024-05-28T00:00:00"/>
    <x v="10"/>
    <x v="2"/>
    <x v="0"/>
    <n v="89.43"/>
    <n v="44.91"/>
    <n v="4"/>
    <n v="357.72"/>
    <n v="179.64"/>
    <n v="178.08000000000004"/>
    <n v="0.49781952364978205"/>
    <x v="3"/>
  </r>
  <r>
    <d v="2023-02-12T00:00:00"/>
    <x v="5"/>
    <x v="3"/>
    <x v="3"/>
    <n v="53.34"/>
    <n v="28.46"/>
    <n v="6"/>
    <n v="320.04000000000002"/>
    <n v="170.76"/>
    <n v="149.28000000000003"/>
    <n v="0.46644169478815156"/>
    <x v="27"/>
  </r>
  <r>
    <d v="2022-06-11T00:00:00"/>
    <x v="7"/>
    <x v="0"/>
    <x v="2"/>
    <n v="303.29000000000002"/>
    <n v="210.67"/>
    <n v="4"/>
    <n v="1213.1600000000001"/>
    <n v="842.68"/>
    <n v="370.48000000000013"/>
    <n v="0.30538428566718329"/>
    <x v="18"/>
  </r>
  <r>
    <d v="2023-12-04T00:00:00"/>
    <x v="7"/>
    <x v="0"/>
    <x v="0"/>
    <n v="926.79"/>
    <n v="763.58"/>
    <n v="2"/>
    <n v="1853.58"/>
    <n v="1527.16"/>
    <n v="326.41999999999985"/>
    <n v="0.17610246118322373"/>
    <x v="30"/>
  </r>
  <r>
    <d v="2024-01-02T00:00:00"/>
    <x v="8"/>
    <x v="1"/>
    <x v="3"/>
    <n v="1301.8699999999999"/>
    <n v="1023.29"/>
    <n v="7"/>
    <n v="9113.09"/>
    <n v="7163.03"/>
    <n v="1950.0600000000004"/>
    <n v="0.21398449922035231"/>
    <x v="26"/>
  </r>
  <r>
    <d v="2022-08-06T00:00:00"/>
    <x v="8"/>
    <x v="1"/>
    <x v="2"/>
    <n v="282.47000000000003"/>
    <n v="250.85"/>
    <n v="6"/>
    <n v="1694.8200000000002"/>
    <n v="1505.1"/>
    <n v="189.72000000000025"/>
    <n v="0.11194109108931936"/>
    <x v="15"/>
  </r>
  <r>
    <d v="2022-09-15T00:00:00"/>
    <x v="3"/>
    <x v="2"/>
    <x v="1"/>
    <n v="1788.88"/>
    <n v="1451.39"/>
    <n v="1"/>
    <n v="1788.88"/>
    <n v="1451.39"/>
    <n v="337.49"/>
    <n v="0.18865994365189392"/>
    <x v="12"/>
  </r>
  <r>
    <d v="2023-11-24T00:00:00"/>
    <x v="5"/>
    <x v="3"/>
    <x v="3"/>
    <n v="583.1"/>
    <n v="384.26"/>
    <n v="5"/>
    <n v="2915.5"/>
    <n v="1921.3"/>
    <n v="994.2"/>
    <n v="0.34100497341793862"/>
    <x v="10"/>
  </r>
  <r>
    <d v="2023-05-04T00:00:00"/>
    <x v="8"/>
    <x v="1"/>
    <x v="2"/>
    <n v="349.79"/>
    <n v="198.62"/>
    <n v="9"/>
    <n v="3148.11"/>
    <n v="1787.58"/>
    <n v="1360.5300000000002"/>
    <n v="0.4321735898682067"/>
    <x v="31"/>
  </r>
  <r>
    <d v="2022-08-04T00:00:00"/>
    <x v="5"/>
    <x v="3"/>
    <x v="1"/>
    <n v="1204.21"/>
    <n v="837.2"/>
    <n v="3"/>
    <n v="3612.63"/>
    <n v="2511.6000000000004"/>
    <n v="1101.0299999999997"/>
    <n v="0.30477242341452065"/>
    <x v="15"/>
  </r>
  <r>
    <d v="2022-10-03T00:00:00"/>
    <x v="5"/>
    <x v="3"/>
    <x v="0"/>
    <n v="206.96"/>
    <n v="133.19"/>
    <n v="6"/>
    <n v="1241.76"/>
    <n v="799.14"/>
    <n v="442.62"/>
    <n v="0.35644568998840354"/>
    <x v="25"/>
  </r>
  <r>
    <d v="2023-03-27T00:00:00"/>
    <x v="6"/>
    <x v="3"/>
    <x v="3"/>
    <n v="1835.43"/>
    <n v="1509.66"/>
    <n v="3"/>
    <n v="5506.29"/>
    <n v="4528.9800000000005"/>
    <n v="977.30999999999949"/>
    <n v="0.1774897435478334"/>
    <x v="19"/>
  </r>
  <r>
    <d v="2023-08-31T00:00:00"/>
    <x v="4"/>
    <x v="2"/>
    <x v="1"/>
    <n v="766.79"/>
    <n v="603.53"/>
    <n v="9"/>
    <n v="6901.11"/>
    <n v="5431.7699999999995"/>
    <n v="1469.3400000000001"/>
    <n v="0.21291357477275397"/>
    <x v="14"/>
  </r>
  <r>
    <d v="2022-10-10T00:00:00"/>
    <x v="0"/>
    <x v="0"/>
    <x v="1"/>
    <n v="1548.71"/>
    <n v="1169.45"/>
    <n v="6"/>
    <n v="9292.26"/>
    <n v="7016.7000000000007"/>
    <n v="2275.5599999999995"/>
    <n v="0.24488768071491751"/>
    <x v="25"/>
  </r>
  <r>
    <d v="2023-07-09T00:00:00"/>
    <x v="6"/>
    <x v="3"/>
    <x v="3"/>
    <n v="798.28"/>
    <n v="420.49"/>
    <n v="3"/>
    <n v="2394.84"/>
    <n v="1261.47"/>
    <n v="1133.3700000000001"/>
    <n v="0.47325499824622941"/>
    <x v="11"/>
  </r>
  <r>
    <d v="2024-11-11T00:00:00"/>
    <x v="0"/>
    <x v="0"/>
    <x v="1"/>
    <n v="1477.13"/>
    <n v="1118.94"/>
    <n v="10"/>
    <n v="14771.300000000001"/>
    <n v="11189.400000000001"/>
    <n v="3581.8999999999996"/>
    <n v="0.24249050523650589"/>
    <x v="2"/>
  </r>
  <r>
    <d v="2024-10-23T00:00:00"/>
    <x v="8"/>
    <x v="1"/>
    <x v="0"/>
    <n v="1011.41"/>
    <n v="579.97"/>
    <n v="6"/>
    <n v="6068.46"/>
    <n v="3479.82"/>
    <n v="2588.64"/>
    <n v="0.42657280430290384"/>
    <x v="17"/>
  </r>
  <r>
    <d v="2023-06-05T00:00:00"/>
    <x v="10"/>
    <x v="2"/>
    <x v="1"/>
    <n v="236.15"/>
    <n v="196.7"/>
    <n v="4"/>
    <n v="944.6"/>
    <n v="786.8"/>
    <n v="157.80000000000007"/>
    <n v="0.16705483802667803"/>
    <x v="0"/>
  </r>
  <r>
    <d v="2024-07-18T00:00:00"/>
    <x v="8"/>
    <x v="1"/>
    <x v="2"/>
    <n v="1386.76"/>
    <n v="818.27"/>
    <n v="2"/>
    <n v="2773.52"/>
    <n v="1636.54"/>
    <n v="1136.98"/>
    <n v="0.40994115780668611"/>
    <x v="28"/>
  </r>
  <r>
    <d v="2023-10-17T00:00:00"/>
    <x v="0"/>
    <x v="0"/>
    <x v="3"/>
    <n v="371.75"/>
    <n v="252.35"/>
    <n v="10"/>
    <n v="3717.5"/>
    <n v="2523.5"/>
    <n v="1194"/>
    <n v="0.3211835911230666"/>
    <x v="5"/>
  </r>
  <r>
    <d v="2024-05-26T00:00:00"/>
    <x v="9"/>
    <x v="3"/>
    <x v="1"/>
    <n v="1380.16"/>
    <n v="918.45"/>
    <n v="10"/>
    <n v="13801.6"/>
    <n v="9184.5"/>
    <n v="4617.1000000000004"/>
    <n v="0.33453367725481103"/>
    <x v="3"/>
  </r>
  <r>
    <d v="2022-07-02T00:00:00"/>
    <x v="10"/>
    <x v="2"/>
    <x v="2"/>
    <n v="802.11"/>
    <n v="681.97"/>
    <n v="5"/>
    <n v="4010.55"/>
    <n v="3409.8500000000004"/>
    <n v="600.69999999999982"/>
    <n v="0.1497799553677176"/>
    <x v="8"/>
  </r>
  <r>
    <d v="2024-07-24T00:00:00"/>
    <x v="0"/>
    <x v="0"/>
    <x v="2"/>
    <n v="903.77"/>
    <n v="610.20000000000005"/>
    <n v="9"/>
    <n v="8133.93"/>
    <n v="5491.8"/>
    <n v="2642.13"/>
    <n v="0.32482821956913815"/>
    <x v="28"/>
  </r>
  <r>
    <d v="2024-05-22T00:00:00"/>
    <x v="1"/>
    <x v="1"/>
    <x v="1"/>
    <n v="537.85"/>
    <n v="329.26"/>
    <n v="9"/>
    <n v="4840.6500000000005"/>
    <n v="2963.34"/>
    <n v="1877.3100000000004"/>
    <n v="0.38782188342474672"/>
    <x v="3"/>
  </r>
  <r>
    <d v="2022-10-23T00:00:00"/>
    <x v="5"/>
    <x v="3"/>
    <x v="0"/>
    <n v="930.95"/>
    <n v="773.5"/>
    <n v="7"/>
    <n v="6516.6500000000005"/>
    <n v="5414.5"/>
    <n v="1102.1500000000005"/>
    <n v="0.16912830979107371"/>
    <x v="25"/>
  </r>
  <r>
    <d v="2023-01-08T00:00:00"/>
    <x v="2"/>
    <x v="0"/>
    <x v="1"/>
    <n v="380.35"/>
    <n v="292.57"/>
    <n v="4"/>
    <n v="1521.4"/>
    <n v="1170.28"/>
    <n v="351.12000000000012"/>
    <n v="0.23078743262784285"/>
    <x v="13"/>
  </r>
  <r>
    <d v="2023-01-22T00:00:00"/>
    <x v="8"/>
    <x v="1"/>
    <x v="0"/>
    <n v="1962.21"/>
    <n v="1465.56"/>
    <n v="1"/>
    <n v="1962.21"/>
    <n v="1465.56"/>
    <n v="496.65000000000009"/>
    <n v="0.25310746556179009"/>
    <x v="13"/>
  </r>
  <r>
    <d v="2024-02-29T00:00:00"/>
    <x v="2"/>
    <x v="0"/>
    <x v="1"/>
    <n v="1432.69"/>
    <n v="962.81"/>
    <n v="3"/>
    <n v="4298.07"/>
    <n v="2888.43"/>
    <n v="1409.6399999999999"/>
    <n v="0.32797046116047435"/>
    <x v="34"/>
  </r>
  <r>
    <d v="2024-08-03T00:00:00"/>
    <x v="1"/>
    <x v="1"/>
    <x v="1"/>
    <n v="1759.93"/>
    <n v="1355.44"/>
    <n v="9"/>
    <n v="15839.37"/>
    <n v="12198.960000000001"/>
    <n v="3640.41"/>
    <n v="0.2298330047217787"/>
    <x v="21"/>
  </r>
  <r>
    <d v="2022-09-27T00:00:00"/>
    <x v="2"/>
    <x v="0"/>
    <x v="2"/>
    <n v="1363.53"/>
    <n v="696.77"/>
    <n v="3"/>
    <n v="4090.59"/>
    <n v="2090.31"/>
    <n v="2000.2800000000002"/>
    <n v="0.48899547498038182"/>
    <x v="12"/>
  </r>
  <r>
    <d v="2022-08-15T00:00:00"/>
    <x v="2"/>
    <x v="0"/>
    <x v="2"/>
    <n v="1612.14"/>
    <n v="1152.67"/>
    <n v="5"/>
    <n v="8060.7000000000007"/>
    <n v="5763.35"/>
    <n v="2297.3500000000004"/>
    <n v="0.28500626496458126"/>
    <x v="15"/>
  </r>
  <r>
    <d v="2022-08-12T00:00:00"/>
    <x v="0"/>
    <x v="0"/>
    <x v="2"/>
    <n v="289.33"/>
    <n v="245.12"/>
    <n v="6"/>
    <n v="1735.98"/>
    <n v="1470.72"/>
    <n v="265.26"/>
    <n v="0.15280129955414232"/>
    <x v="15"/>
  </r>
  <r>
    <d v="2023-09-01T00:00:00"/>
    <x v="2"/>
    <x v="0"/>
    <x v="0"/>
    <n v="543"/>
    <n v="428.03"/>
    <n v="2"/>
    <n v="1086"/>
    <n v="856.06"/>
    <n v="229.94000000000005"/>
    <n v="0.21173112338858199"/>
    <x v="24"/>
  </r>
  <r>
    <d v="2023-07-05T00:00:00"/>
    <x v="8"/>
    <x v="1"/>
    <x v="1"/>
    <n v="991.64"/>
    <n v="849.78"/>
    <n v="5"/>
    <n v="4958.2"/>
    <n v="4248.8999999999996"/>
    <n v="709.30000000000018"/>
    <n v="0.14305594772296401"/>
    <x v="11"/>
  </r>
  <r>
    <d v="2023-07-05T00:00:00"/>
    <x v="1"/>
    <x v="1"/>
    <x v="0"/>
    <n v="543.12"/>
    <n v="318.77"/>
    <n v="1"/>
    <n v="543.12"/>
    <n v="318.77"/>
    <n v="224.35000000000002"/>
    <n v="0.4130762998968921"/>
    <x v="11"/>
  </r>
  <r>
    <d v="2022-02-22T00:00:00"/>
    <x v="9"/>
    <x v="3"/>
    <x v="1"/>
    <n v="517.47"/>
    <n v="311.36"/>
    <n v="6"/>
    <n v="3104.82"/>
    <n v="1868.16"/>
    <n v="1236.6600000000001"/>
    <n v="0.39830328328212267"/>
    <x v="20"/>
  </r>
  <r>
    <d v="2022-12-10T00:00:00"/>
    <x v="7"/>
    <x v="0"/>
    <x v="0"/>
    <n v="765.59"/>
    <n v="445.24"/>
    <n v="6"/>
    <n v="4593.54"/>
    <n v="2671.44"/>
    <n v="1922.1"/>
    <n v="0.4184354550085555"/>
    <x v="33"/>
  </r>
  <r>
    <d v="2022-06-11T00:00:00"/>
    <x v="3"/>
    <x v="2"/>
    <x v="2"/>
    <n v="1631.81"/>
    <n v="1109.1300000000001"/>
    <n v="9"/>
    <n v="14686.289999999999"/>
    <n v="9982.1700000000019"/>
    <n v="4704.1199999999972"/>
    <n v="0.32030689847469968"/>
    <x v="18"/>
  </r>
  <r>
    <d v="2023-10-19T00:00:00"/>
    <x v="0"/>
    <x v="0"/>
    <x v="1"/>
    <n v="1024.79"/>
    <n v="562.46"/>
    <n v="9"/>
    <n v="9223.11"/>
    <n v="5062.1400000000003"/>
    <n v="4160.97"/>
    <n v="0.4511460884669054"/>
    <x v="5"/>
  </r>
  <r>
    <d v="2024-08-12T00:00:00"/>
    <x v="5"/>
    <x v="3"/>
    <x v="0"/>
    <n v="32.270000000000003"/>
    <n v="24.21"/>
    <n v="2"/>
    <n v="64.540000000000006"/>
    <n v="48.42"/>
    <n v="16.120000000000005"/>
    <n v="0.24976758599318258"/>
    <x v="21"/>
  </r>
  <r>
    <d v="2023-07-11T00:00:00"/>
    <x v="9"/>
    <x v="3"/>
    <x v="3"/>
    <n v="1119.8"/>
    <n v="922.3"/>
    <n v="1"/>
    <n v="1119.8"/>
    <n v="922.3"/>
    <n v="197.5"/>
    <n v="0.17637078049651725"/>
    <x v="11"/>
  </r>
  <r>
    <d v="2024-07-29T00:00:00"/>
    <x v="2"/>
    <x v="0"/>
    <x v="2"/>
    <n v="1177.57"/>
    <n v="1029.32"/>
    <n v="3"/>
    <n v="3532.71"/>
    <n v="3087.96"/>
    <n v="444.75"/>
    <n v="0.12589485126149613"/>
    <x v="28"/>
  </r>
  <r>
    <d v="2024-10-03T00:00:00"/>
    <x v="10"/>
    <x v="2"/>
    <x v="0"/>
    <n v="115.2"/>
    <n v="93.27"/>
    <n v="3"/>
    <n v="345.6"/>
    <n v="279.81"/>
    <n v="65.79000000000002"/>
    <n v="0.19036458333333339"/>
    <x v="17"/>
  </r>
  <r>
    <d v="2024-04-25T00:00:00"/>
    <x v="0"/>
    <x v="0"/>
    <x v="2"/>
    <n v="1765.68"/>
    <n v="1563.7"/>
    <n v="1"/>
    <n v="1765.68"/>
    <n v="1563.7"/>
    <n v="201.98000000000002"/>
    <n v="0.11439218884509085"/>
    <x v="22"/>
  </r>
  <r>
    <d v="2023-03-18T00:00:00"/>
    <x v="3"/>
    <x v="2"/>
    <x v="1"/>
    <n v="855.77"/>
    <n v="769.4"/>
    <n v="4"/>
    <n v="3423.08"/>
    <n v="3077.6"/>
    <n v="345.48"/>
    <n v="0.10092665085244867"/>
    <x v="19"/>
  </r>
  <r>
    <d v="2023-03-27T00:00:00"/>
    <x v="3"/>
    <x v="2"/>
    <x v="0"/>
    <n v="1467.09"/>
    <n v="786"/>
    <n v="8"/>
    <n v="11736.72"/>
    <n v="6288"/>
    <n v="5448.7199999999993"/>
    <n v="0.4642455473079361"/>
    <x v="19"/>
  </r>
  <r>
    <d v="2022-02-01T00:00:00"/>
    <x v="7"/>
    <x v="0"/>
    <x v="0"/>
    <n v="305.24"/>
    <n v="196.74"/>
    <n v="5"/>
    <n v="1526.2"/>
    <n v="983.7"/>
    <n v="542.5"/>
    <n v="0.35545800026208885"/>
    <x v="20"/>
  </r>
  <r>
    <d v="2023-12-27T00:00:00"/>
    <x v="7"/>
    <x v="0"/>
    <x v="3"/>
    <n v="1306.2"/>
    <n v="1097.76"/>
    <n v="7"/>
    <n v="9143.4"/>
    <n v="7684.32"/>
    <n v="1459.08"/>
    <n v="0.15957740009186955"/>
    <x v="30"/>
  </r>
  <r>
    <d v="2022-04-14T00:00:00"/>
    <x v="5"/>
    <x v="3"/>
    <x v="3"/>
    <n v="1762.44"/>
    <n v="1176.1300000000001"/>
    <n v="6"/>
    <n v="10574.64"/>
    <n v="7056.7800000000007"/>
    <n v="3517.8599999999988"/>
    <n v="0.33266948094686899"/>
    <x v="32"/>
  </r>
  <r>
    <d v="2022-11-03T00:00:00"/>
    <x v="10"/>
    <x v="2"/>
    <x v="0"/>
    <n v="317.47000000000003"/>
    <n v="261.48"/>
    <n v="7"/>
    <n v="2222.29"/>
    <n v="1830.3600000000001"/>
    <n v="391.92999999999984"/>
    <n v="0.17636312092481171"/>
    <x v="1"/>
  </r>
  <r>
    <d v="2022-01-26T00:00:00"/>
    <x v="4"/>
    <x v="2"/>
    <x v="3"/>
    <n v="541.66999999999996"/>
    <n v="286.8"/>
    <n v="3"/>
    <n v="1625.0099999999998"/>
    <n v="860.40000000000009"/>
    <n v="764.60999999999967"/>
    <n v="0.47052633522255233"/>
    <x v="9"/>
  </r>
  <r>
    <d v="2024-07-11T00:00:00"/>
    <x v="8"/>
    <x v="1"/>
    <x v="1"/>
    <n v="724.81"/>
    <n v="518.96"/>
    <n v="5"/>
    <n v="3624.0499999999997"/>
    <n v="2594.8000000000002"/>
    <n v="1029.2499999999995"/>
    <n v="0.28400546350077943"/>
    <x v="28"/>
  </r>
  <r>
    <d v="2024-09-24T00:00:00"/>
    <x v="7"/>
    <x v="0"/>
    <x v="2"/>
    <n v="660.39"/>
    <n v="400.47"/>
    <n v="9"/>
    <n v="5943.51"/>
    <n v="3604.2300000000005"/>
    <n v="2339.2799999999997"/>
    <n v="0.39358560850406571"/>
    <x v="16"/>
  </r>
  <r>
    <d v="2023-09-26T00:00:00"/>
    <x v="10"/>
    <x v="2"/>
    <x v="1"/>
    <n v="1106.9000000000001"/>
    <n v="873.78"/>
    <n v="4"/>
    <n v="4427.6000000000004"/>
    <n v="3495.12"/>
    <n v="932.48000000000047"/>
    <n v="0.21060619748848144"/>
    <x v="24"/>
  </r>
  <r>
    <d v="2024-06-11T00:00:00"/>
    <x v="9"/>
    <x v="3"/>
    <x v="2"/>
    <n v="1660.4"/>
    <n v="1123.53"/>
    <n v="1"/>
    <n v="1660.4"/>
    <n v="1123.53"/>
    <n v="536.87000000000012"/>
    <n v="0.3233377499397736"/>
    <x v="4"/>
  </r>
  <r>
    <d v="2024-10-13T00:00:00"/>
    <x v="3"/>
    <x v="2"/>
    <x v="3"/>
    <n v="1590.28"/>
    <n v="1048.22"/>
    <n v="4"/>
    <n v="6361.12"/>
    <n v="4192.88"/>
    <n v="2168.2399999999998"/>
    <n v="0.34085821364791102"/>
    <x v="17"/>
  </r>
  <r>
    <d v="2022-10-31T00:00:00"/>
    <x v="8"/>
    <x v="1"/>
    <x v="3"/>
    <n v="1070.0899999999999"/>
    <n v="691.81"/>
    <n v="8"/>
    <n v="8560.7199999999993"/>
    <n v="5534.48"/>
    <n v="3026.24"/>
    <n v="0.35350297638516387"/>
    <x v="25"/>
  </r>
  <r>
    <d v="2024-08-07T00:00:00"/>
    <x v="6"/>
    <x v="3"/>
    <x v="0"/>
    <n v="1226.98"/>
    <n v="985.93"/>
    <n v="1"/>
    <n v="1226.98"/>
    <n v="985.93"/>
    <n v="241.05000000000007"/>
    <n v="0.19645796997506076"/>
    <x v="21"/>
  </r>
  <r>
    <d v="2024-08-05T00:00:00"/>
    <x v="8"/>
    <x v="1"/>
    <x v="2"/>
    <n v="173.97"/>
    <n v="122.96"/>
    <n v="5"/>
    <n v="869.85"/>
    <n v="614.79999999999995"/>
    <n v="255.05000000000007"/>
    <n v="0.29321147324251312"/>
    <x v="21"/>
  </r>
  <r>
    <d v="2024-07-23T00:00:00"/>
    <x v="4"/>
    <x v="2"/>
    <x v="1"/>
    <n v="1478.14"/>
    <n v="1102.6400000000001"/>
    <n v="3"/>
    <n v="4434.42"/>
    <n v="3307.92"/>
    <n v="1126.5"/>
    <n v="0.25403547701841506"/>
    <x v="28"/>
  </r>
  <r>
    <d v="2024-07-11T00:00:00"/>
    <x v="4"/>
    <x v="2"/>
    <x v="3"/>
    <n v="86.45"/>
    <n v="69.540000000000006"/>
    <n v="4"/>
    <n v="345.8"/>
    <n v="278.16000000000003"/>
    <n v="67.639999999999986"/>
    <n v="0.19560439560439555"/>
    <x v="28"/>
  </r>
  <r>
    <d v="2023-04-18T00:00:00"/>
    <x v="0"/>
    <x v="0"/>
    <x v="0"/>
    <n v="886.63"/>
    <n v="785.39"/>
    <n v="1"/>
    <n v="886.63"/>
    <n v="785.39"/>
    <n v="101.24000000000001"/>
    <n v="0.11418517307106686"/>
    <x v="6"/>
  </r>
  <r>
    <d v="2023-09-06T00:00:00"/>
    <x v="6"/>
    <x v="3"/>
    <x v="1"/>
    <n v="1749.47"/>
    <n v="1521.68"/>
    <n v="9"/>
    <n v="15745.23"/>
    <n v="13695.12"/>
    <n v="2050.1099999999988"/>
    <n v="0.13020514784477577"/>
    <x v="24"/>
  </r>
  <r>
    <d v="2024-05-24T00:00:00"/>
    <x v="7"/>
    <x v="0"/>
    <x v="3"/>
    <n v="1558.43"/>
    <n v="1239.81"/>
    <n v="3"/>
    <n v="4675.29"/>
    <n v="3719.43"/>
    <n v="955.86000000000013"/>
    <n v="0.20444934966601006"/>
    <x v="3"/>
  </r>
  <r>
    <d v="2022-02-01T00:00:00"/>
    <x v="1"/>
    <x v="1"/>
    <x v="2"/>
    <n v="743.16"/>
    <n v="492.21"/>
    <n v="1"/>
    <n v="743.16"/>
    <n v="492.21"/>
    <n v="250.95"/>
    <n v="0.33767963830130793"/>
    <x v="20"/>
  </r>
  <r>
    <d v="2024-07-20T00:00:00"/>
    <x v="3"/>
    <x v="2"/>
    <x v="0"/>
    <n v="1729.16"/>
    <n v="874.39"/>
    <n v="1"/>
    <n v="1729.16"/>
    <n v="874.39"/>
    <n v="854.7700000000001"/>
    <n v="0.4943267251150848"/>
    <x v="28"/>
  </r>
  <r>
    <d v="2022-11-02T00:00:00"/>
    <x v="5"/>
    <x v="3"/>
    <x v="0"/>
    <n v="819.48"/>
    <n v="571.84"/>
    <n v="10"/>
    <n v="8194.7999999999993"/>
    <n v="5718.4000000000005"/>
    <n v="2476.3999999999987"/>
    <n v="0.30219163371894359"/>
    <x v="1"/>
  </r>
  <r>
    <d v="2023-01-28T00:00:00"/>
    <x v="1"/>
    <x v="1"/>
    <x v="3"/>
    <n v="834.86"/>
    <n v="540.80999999999995"/>
    <n v="10"/>
    <n v="8348.6"/>
    <n v="5408.0999999999995"/>
    <n v="2940.5000000000009"/>
    <n v="0.35221474259157232"/>
    <x v="13"/>
  </r>
  <r>
    <d v="2024-01-08T00:00:00"/>
    <x v="5"/>
    <x v="3"/>
    <x v="3"/>
    <n v="846.04"/>
    <n v="628.16999999999996"/>
    <n v="4"/>
    <n v="3384.16"/>
    <n v="2512.6799999999998"/>
    <n v="871.48"/>
    <n v="0.25751737506500877"/>
    <x v="26"/>
  </r>
  <r>
    <d v="2024-08-29T00:00:00"/>
    <x v="3"/>
    <x v="2"/>
    <x v="3"/>
    <n v="931.96"/>
    <n v="814.65"/>
    <n v="4"/>
    <n v="3727.84"/>
    <n v="3258.6"/>
    <n v="469.24000000000024"/>
    <n v="0.12587450105154732"/>
    <x v="21"/>
  </r>
  <r>
    <d v="2022-04-17T00:00:00"/>
    <x v="10"/>
    <x v="2"/>
    <x v="1"/>
    <n v="567.12"/>
    <n v="401.47"/>
    <n v="8"/>
    <n v="4536.96"/>
    <n v="3211.76"/>
    <n v="1325.1999999999998"/>
    <n v="0.29208985752574407"/>
    <x v="32"/>
  </r>
  <r>
    <d v="2023-11-14T00:00:00"/>
    <x v="10"/>
    <x v="2"/>
    <x v="2"/>
    <n v="1795.28"/>
    <n v="1153.1099999999999"/>
    <n v="5"/>
    <n v="8976.4"/>
    <n v="5765.5499999999993"/>
    <n v="3210.8500000000004"/>
    <n v="0.357699077581213"/>
    <x v="10"/>
  </r>
  <r>
    <d v="2024-05-22T00:00:00"/>
    <x v="2"/>
    <x v="0"/>
    <x v="2"/>
    <n v="97.44"/>
    <n v="76.87"/>
    <n v="10"/>
    <n v="974.4"/>
    <n v="768.7"/>
    <n v="205.69999999999993"/>
    <n v="0.2111042692939244"/>
    <x v="3"/>
  </r>
  <r>
    <d v="2023-05-03T00:00:00"/>
    <x v="9"/>
    <x v="3"/>
    <x v="3"/>
    <n v="970.7"/>
    <n v="731.64"/>
    <n v="8"/>
    <n v="7765.6"/>
    <n v="5853.12"/>
    <n v="1912.4800000000005"/>
    <n v="0.24627588338312562"/>
    <x v="31"/>
  </r>
  <r>
    <d v="2022-03-16T00:00:00"/>
    <x v="4"/>
    <x v="2"/>
    <x v="1"/>
    <n v="1841"/>
    <n v="1500.93"/>
    <n v="3"/>
    <n v="5523"/>
    <n v="4502.79"/>
    <n v="1020.21"/>
    <n v="0.18472026072786529"/>
    <x v="7"/>
  </r>
  <r>
    <d v="2022-09-02T00:00:00"/>
    <x v="9"/>
    <x v="3"/>
    <x v="0"/>
    <n v="1074.52"/>
    <n v="675.54"/>
    <n v="4"/>
    <n v="4298.08"/>
    <n v="2702.16"/>
    <n v="1595.92"/>
    <n v="0.37130998027026024"/>
    <x v="12"/>
  </r>
  <r>
    <d v="2024-01-29T00:00:00"/>
    <x v="3"/>
    <x v="2"/>
    <x v="1"/>
    <n v="1091.45"/>
    <n v="886.94"/>
    <n v="3"/>
    <n v="3274.3500000000004"/>
    <n v="2660.82"/>
    <n v="613.5300000000002"/>
    <n v="0.1873745934307573"/>
    <x v="26"/>
  </r>
  <r>
    <d v="2023-07-28T00:00:00"/>
    <x v="10"/>
    <x v="2"/>
    <x v="0"/>
    <n v="97.75"/>
    <n v="57.05"/>
    <n v="2"/>
    <n v="195.5"/>
    <n v="114.1"/>
    <n v="81.400000000000006"/>
    <n v="0.41636828644501284"/>
    <x v="11"/>
  </r>
  <r>
    <d v="2022-12-23T00:00:00"/>
    <x v="2"/>
    <x v="0"/>
    <x v="0"/>
    <n v="147.15"/>
    <n v="74.7"/>
    <n v="1"/>
    <n v="147.15"/>
    <n v="74.7"/>
    <n v="72.45"/>
    <n v="0.49235474006116209"/>
    <x v="33"/>
  </r>
  <r>
    <d v="2024-07-05T00:00:00"/>
    <x v="1"/>
    <x v="1"/>
    <x v="0"/>
    <n v="615.64"/>
    <n v="369.45"/>
    <n v="5"/>
    <n v="3078.2"/>
    <n v="1847.25"/>
    <n v="1230.9499999999998"/>
    <n v="0.39989279449028647"/>
    <x v="28"/>
  </r>
  <r>
    <d v="2022-11-04T00:00:00"/>
    <x v="2"/>
    <x v="0"/>
    <x v="3"/>
    <n v="312.75"/>
    <n v="261.73"/>
    <n v="2"/>
    <n v="625.5"/>
    <n v="523.46"/>
    <n v="102.03999999999996"/>
    <n v="0.1631334932054356"/>
    <x v="1"/>
  </r>
  <r>
    <d v="2023-04-15T00:00:00"/>
    <x v="4"/>
    <x v="2"/>
    <x v="2"/>
    <n v="839.99"/>
    <n v="620.89"/>
    <n v="9"/>
    <n v="7559.91"/>
    <n v="5588.01"/>
    <n v="1971.8999999999996"/>
    <n v="0.26083643852903005"/>
    <x v="6"/>
  </r>
  <r>
    <d v="2024-08-08T00:00:00"/>
    <x v="7"/>
    <x v="0"/>
    <x v="1"/>
    <n v="1088.3499999999999"/>
    <n v="803.89"/>
    <n v="3"/>
    <n v="3265.0499999999997"/>
    <n v="2411.67"/>
    <n v="853.37999999999965"/>
    <n v="0.26136812606238796"/>
    <x v="21"/>
  </r>
  <r>
    <d v="2022-01-29T00:00:00"/>
    <x v="5"/>
    <x v="3"/>
    <x v="3"/>
    <n v="1724.09"/>
    <n v="1162.31"/>
    <n v="3"/>
    <n v="5172.2699999999995"/>
    <n v="3486.93"/>
    <n v="1685.3399999999997"/>
    <n v="0.3258414583925433"/>
    <x v="9"/>
  </r>
  <r>
    <d v="2022-11-08T00:00:00"/>
    <x v="1"/>
    <x v="1"/>
    <x v="0"/>
    <n v="1390.5"/>
    <n v="1010.39"/>
    <n v="4"/>
    <n v="5562"/>
    <n v="4041.56"/>
    <n v="1520.44"/>
    <n v="0.2733620999640417"/>
    <x v="1"/>
  </r>
  <r>
    <d v="2023-09-13T00:00:00"/>
    <x v="3"/>
    <x v="2"/>
    <x v="2"/>
    <n v="652.89"/>
    <n v="425.51"/>
    <n v="2"/>
    <n v="1305.78"/>
    <n v="851.02"/>
    <n v="454.76"/>
    <n v="0.34826693623734473"/>
    <x v="24"/>
  </r>
  <r>
    <d v="2022-11-13T00:00:00"/>
    <x v="5"/>
    <x v="3"/>
    <x v="3"/>
    <n v="633.85"/>
    <n v="545.44000000000005"/>
    <n v="9"/>
    <n v="5704.6500000000005"/>
    <n v="4908.9600000000009"/>
    <n v="795.6899999999996"/>
    <n v="0.13948094975151842"/>
    <x v="1"/>
  </r>
  <r>
    <d v="2023-02-06T00:00:00"/>
    <x v="10"/>
    <x v="2"/>
    <x v="0"/>
    <n v="1561.56"/>
    <n v="1150.92"/>
    <n v="1"/>
    <n v="1561.56"/>
    <n v="1150.92"/>
    <n v="410.63999999999987"/>
    <n v="0.26296780142933984"/>
    <x v="27"/>
  </r>
  <r>
    <d v="2024-10-16T00:00:00"/>
    <x v="7"/>
    <x v="0"/>
    <x v="2"/>
    <n v="919.4"/>
    <n v="596.37"/>
    <n v="7"/>
    <n v="6435.8"/>
    <n v="4174.59"/>
    <n v="2261.21"/>
    <n v="0.35134870567761584"/>
    <x v="17"/>
  </r>
  <r>
    <d v="2024-06-15T00:00:00"/>
    <x v="0"/>
    <x v="0"/>
    <x v="1"/>
    <n v="83.72"/>
    <n v="44.65"/>
    <n v="8"/>
    <n v="669.76"/>
    <n v="357.2"/>
    <n v="312.56"/>
    <n v="0.46667462971810797"/>
    <x v="4"/>
  </r>
  <r>
    <d v="2023-08-16T00:00:00"/>
    <x v="2"/>
    <x v="0"/>
    <x v="2"/>
    <n v="1319.36"/>
    <n v="1105.67"/>
    <n v="3"/>
    <n v="3958.08"/>
    <n v="3317.01"/>
    <n v="641.06999999999971"/>
    <n v="0.16196489206888182"/>
    <x v="14"/>
  </r>
  <r>
    <d v="2024-02-02T00:00:00"/>
    <x v="0"/>
    <x v="0"/>
    <x v="1"/>
    <n v="1328.7"/>
    <n v="789.76"/>
    <n v="9"/>
    <n v="11958.300000000001"/>
    <n v="7107.84"/>
    <n v="4850.4600000000009"/>
    <n v="0.40561451042372249"/>
    <x v="34"/>
  </r>
  <r>
    <d v="2022-02-02T00:00:00"/>
    <x v="5"/>
    <x v="3"/>
    <x v="3"/>
    <n v="1716.23"/>
    <n v="1334.58"/>
    <n v="5"/>
    <n v="8581.15"/>
    <n v="6672.9"/>
    <n v="1908.25"/>
    <n v="0.22237695413784866"/>
    <x v="20"/>
  </r>
  <r>
    <d v="2023-04-09T00:00:00"/>
    <x v="1"/>
    <x v="1"/>
    <x v="3"/>
    <n v="696.9"/>
    <n v="568.29"/>
    <n v="4"/>
    <n v="2787.6"/>
    <n v="2273.16"/>
    <n v="514.44000000000005"/>
    <n v="0.18454584588893674"/>
    <x v="6"/>
  </r>
  <r>
    <d v="2023-05-04T00:00:00"/>
    <x v="7"/>
    <x v="0"/>
    <x v="0"/>
    <n v="380.58"/>
    <n v="241.54"/>
    <n v="8"/>
    <n v="3044.64"/>
    <n v="1932.32"/>
    <n v="1112.32"/>
    <n v="0.36533711703189869"/>
    <x v="31"/>
  </r>
  <r>
    <d v="2023-11-27T00:00:00"/>
    <x v="9"/>
    <x v="3"/>
    <x v="2"/>
    <n v="1975.92"/>
    <n v="992.16"/>
    <n v="6"/>
    <n v="11855.52"/>
    <n v="5952.96"/>
    <n v="5902.56"/>
    <n v="0.49787440787076404"/>
    <x v="10"/>
  </r>
  <r>
    <d v="2023-07-12T00:00:00"/>
    <x v="0"/>
    <x v="0"/>
    <x v="0"/>
    <n v="689.1"/>
    <n v="419.14"/>
    <n v="1"/>
    <n v="689.1"/>
    <n v="419.14"/>
    <n v="269.96000000000004"/>
    <n v="0.39175736467856631"/>
    <x v="11"/>
  </r>
  <r>
    <d v="2022-02-02T00:00:00"/>
    <x v="7"/>
    <x v="0"/>
    <x v="3"/>
    <n v="553.30999999999995"/>
    <n v="462.2"/>
    <n v="10"/>
    <n v="5533.0999999999995"/>
    <n v="4622"/>
    <n v="911.09999999999945"/>
    <n v="0.16466357015054844"/>
    <x v="20"/>
  </r>
  <r>
    <d v="2022-06-10T00:00:00"/>
    <x v="9"/>
    <x v="3"/>
    <x v="2"/>
    <n v="23.02"/>
    <n v="19.239999999999998"/>
    <n v="1"/>
    <n v="23.02"/>
    <n v="19.239999999999998"/>
    <n v="3.7800000000000011"/>
    <n v="0.16420503909643794"/>
    <x v="18"/>
  </r>
  <r>
    <d v="2022-08-20T00:00:00"/>
    <x v="8"/>
    <x v="1"/>
    <x v="3"/>
    <n v="554.16"/>
    <n v="372.3"/>
    <n v="2"/>
    <n v="1108.32"/>
    <n v="744.6"/>
    <n v="363.71999999999991"/>
    <n v="0.32817236899090507"/>
    <x v="15"/>
  </r>
  <r>
    <d v="2023-10-04T00:00:00"/>
    <x v="8"/>
    <x v="1"/>
    <x v="1"/>
    <n v="860.66"/>
    <n v="704.4"/>
    <n v="7"/>
    <n v="6024.62"/>
    <n v="4930.8"/>
    <n v="1093.8199999999997"/>
    <n v="0.1815583389491785"/>
    <x v="5"/>
  </r>
  <r>
    <d v="2023-09-17T00:00:00"/>
    <x v="4"/>
    <x v="2"/>
    <x v="2"/>
    <n v="792.39"/>
    <n v="566"/>
    <n v="6"/>
    <n v="4754.34"/>
    <n v="3396"/>
    <n v="1358.3400000000001"/>
    <n v="0.28570527139413676"/>
    <x v="24"/>
  </r>
  <r>
    <d v="2023-03-16T00:00:00"/>
    <x v="4"/>
    <x v="2"/>
    <x v="1"/>
    <n v="914.08"/>
    <n v="714.46"/>
    <n v="5"/>
    <n v="4570.4000000000005"/>
    <n v="3572.3"/>
    <n v="998.10000000000036"/>
    <n v="0.2183835112900403"/>
    <x v="19"/>
  </r>
  <r>
    <d v="2024-08-12T00:00:00"/>
    <x v="3"/>
    <x v="2"/>
    <x v="3"/>
    <n v="360.9"/>
    <n v="236.5"/>
    <n v="5"/>
    <n v="1804.5"/>
    <n v="1182.5"/>
    <n v="622"/>
    <n v="0.34469382100304796"/>
    <x v="21"/>
  </r>
  <r>
    <d v="2023-12-10T00:00:00"/>
    <x v="5"/>
    <x v="3"/>
    <x v="2"/>
    <n v="483.09"/>
    <n v="425.34"/>
    <n v="3"/>
    <n v="1449.27"/>
    <n v="1276.02"/>
    <n v="173.25"/>
    <n v="0.11954294230888654"/>
    <x v="30"/>
  </r>
  <r>
    <d v="2022-02-01T00:00:00"/>
    <x v="6"/>
    <x v="3"/>
    <x v="1"/>
    <n v="822.25"/>
    <n v="502.28"/>
    <n v="10"/>
    <n v="8222.5"/>
    <n v="5022.7999999999993"/>
    <n v="3199.7000000000007"/>
    <n v="0.38913955609607792"/>
    <x v="20"/>
  </r>
  <r>
    <d v="2022-08-06T00:00:00"/>
    <x v="10"/>
    <x v="2"/>
    <x v="0"/>
    <n v="1454.94"/>
    <n v="1142.9000000000001"/>
    <n v="7"/>
    <n v="10184.58"/>
    <n v="8000.3000000000011"/>
    <n v="2184.2799999999988"/>
    <n v="0.2144693251955406"/>
    <x v="15"/>
  </r>
  <r>
    <d v="2022-08-01T00:00:00"/>
    <x v="5"/>
    <x v="3"/>
    <x v="2"/>
    <n v="217.74"/>
    <n v="119.91"/>
    <n v="3"/>
    <n v="653.22"/>
    <n v="359.73"/>
    <n v="293.49"/>
    <n v="0.44929732708735187"/>
    <x v="15"/>
  </r>
  <r>
    <d v="2024-05-13T00:00:00"/>
    <x v="1"/>
    <x v="1"/>
    <x v="1"/>
    <n v="53.69"/>
    <n v="40.79"/>
    <n v="3"/>
    <n v="161.07"/>
    <n v="122.37"/>
    <n v="38.699999999999989"/>
    <n v="0.24026820636990123"/>
    <x v="3"/>
  </r>
  <r>
    <d v="2024-09-30T00:00:00"/>
    <x v="9"/>
    <x v="3"/>
    <x v="1"/>
    <n v="1104.8900000000001"/>
    <n v="677.93"/>
    <n v="6"/>
    <n v="6629.34"/>
    <n v="4067.58"/>
    <n v="2561.7600000000002"/>
    <n v="0.38642760817818972"/>
    <x v="16"/>
  </r>
  <r>
    <d v="2022-03-22T00:00:00"/>
    <x v="5"/>
    <x v="3"/>
    <x v="2"/>
    <n v="310.89"/>
    <n v="159.69999999999999"/>
    <n v="3"/>
    <n v="932.67"/>
    <n v="479.09999999999997"/>
    <n v="453.57"/>
    <n v="0.48631348708546435"/>
    <x v="7"/>
  </r>
  <r>
    <d v="2022-09-17T00:00:00"/>
    <x v="10"/>
    <x v="2"/>
    <x v="3"/>
    <n v="898.51"/>
    <n v="680.29"/>
    <n v="8"/>
    <n v="7188.08"/>
    <n v="5442.32"/>
    <n v="1745.7600000000002"/>
    <n v="0.2428687493739636"/>
    <x v="12"/>
  </r>
  <r>
    <d v="2024-11-22T00:00:00"/>
    <x v="0"/>
    <x v="0"/>
    <x v="2"/>
    <n v="1013.86"/>
    <n v="664.56"/>
    <n v="4"/>
    <n v="4055.44"/>
    <n v="2658.24"/>
    <n v="1397.2000000000003"/>
    <n v="0.34452488509261642"/>
    <x v="2"/>
  </r>
  <r>
    <d v="2024-01-08T00:00:00"/>
    <x v="1"/>
    <x v="1"/>
    <x v="0"/>
    <n v="1348.57"/>
    <n v="766.13"/>
    <n v="10"/>
    <n v="13485.699999999999"/>
    <n v="7661.3"/>
    <n v="5824.3999999999987"/>
    <n v="0.43189452531199707"/>
    <x v="26"/>
  </r>
  <r>
    <d v="2022-03-07T00:00:00"/>
    <x v="3"/>
    <x v="2"/>
    <x v="2"/>
    <n v="773.67"/>
    <n v="482.61"/>
    <n v="5"/>
    <n v="3868.35"/>
    <n v="2413.0500000000002"/>
    <n v="1455.2999999999997"/>
    <n v="0.37620690992283523"/>
    <x v="7"/>
  </r>
  <r>
    <d v="2022-07-03T00:00:00"/>
    <x v="4"/>
    <x v="2"/>
    <x v="2"/>
    <n v="47.54"/>
    <n v="39.31"/>
    <n v="7"/>
    <n v="332.78"/>
    <n v="275.17"/>
    <n v="57.609999999999957"/>
    <n v="0.17311737484223799"/>
    <x v="8"/>
  </r>
  <r>
    <d v="2024-10-28T00:00:00"/>
    <x v="2"/>
    <x v="0"/>
    <x v="0"/>
    <n v="1510.62"/>
    <n v="1058.3399999999999"/>
    <n v="7"/>
    <n v="10574.34"/>
    <n v="7408.3799999999992"/>
    <n v="3165.9600000000009"/>
    <n v="0.29940024625650402"/>
    <x v="17"/>
  </r>
  <r>
    <d v="2023-11-28T00:00:00"/>
    <x v="1"/>
    <x v="1"/>
    <x v="2"/>
    <n v="977.48"/>
    <n v="875.81"/>
    <n v="9"/>
    <n v="8797.32"/>
    <n v="7882.2899999999991"/>
    <n v="915.03000000000065"/>
    <n v="0.10401235830912149"/>
    <x v="10"/>
  </r>
  <r>
    <d v="2024-06-12T00:00:00"/>
    <x v="9"/>
    <x v="3"/>
    <x v="3"/>
    <n v="309.81"/>
    <n v="203.66"/>
    <n v="10"/>
    <n v="3098.1"/>
    <n v="2036.6"/>
    <n v="1061.5"/>
    <n v="0.3426293534747103"/>
    <x v="4"/>
  </r>
  <r>
    <d v="2024-04-13T00:00:00"/>
    <x v="5"/>
    <x v="3"/>
    <x v="1"/>
    <n v="763.82"/>
    <n v="579.17999999999995"/>
    <n v="2"/>
    <n v="1527.64"/>
    <n v="1158.3599999999999"/>
    <n v="369.2800000000002"/>
    <n v="0.24173234531695961"/>
    <x v="22"/>
  </r>
  <r>
    <d v="2023-04-11T00:00:00"/>
    <x v="7"/>
    <x v="0"/>
    <x v="1"/>
    <n v="1860.9"/>
    <n v="1669.22"/>
    <n v="10"/>
    <n v="18609"/>
    <n v="16692.2"/>
    <n v="1916.7999999999993"/>
    <n v="0.10300392283303773"/>
    <x v="6"/>
  </r>
  <r>
    <d v="2022-01-29T00:00:00"/>
    <x v="10"/>
    <x v="2"/>
    <x v="3"/>
    <n v="254.73"/>
    <n v="203.41"/>
    <n v="7"/>
    <n v="1783.11"/>
    <n v="1423.87"/>
    <n v="359.24"/>
    <n v="0.20146822125387667"/>
    <x v="9"/>
  </r>
  <r>
    <d v="2023-09-06T00:00:00"/>
    <x v="6"/>
    <x v="3"/>
    <x v="3"/>
    <n v="504.48"/>
    <n v="368.04"/>
    <n v="2"/>
    <n v="1008.96"/>
    <n v="736.08"/>
    <n v="272.88"/>
    <n v="0.27045670789724069"/>
    <x v="24"/>
  </r>
  <r>
    <d v="2023-09-08T00:00:00"/>
    <x v="6"/>
    <x v="3"/>
    <x v="2"/>
    <n v="1502.87"/>
    <n v="1330.23"/>
    <n v="5"/>
    <n v="7514.3499999999995"/>
    <n v="6651.15"/>
    <n v="863.19999999999982"/>
    <n v="0.11487354195639009"/>
    <x v="24"/>
  </r>
  <r>
    <d v="2023-10-04T00:00:00"/>
    <x v="1"/>
    <x v="1"/>
    <x v="0"/>
    <n v="218.48"/>
    <n v="129.57"/>
    <n v="4"/>
    <n v="873.92"/>
    <n v="518.28"/>
    <n v="355.64"/>
    <n v="0.40694800439399487"/>
    <x v="5"/>
  </r>
  <r>
    <d v="2022-01-02T00:00:00"/>
    <x v="10"/>
    <x v="2"/>
    <x v="2"/>
    <n v="566.69000000000005"/>
    <n v="292.83999999999997"/>
    <n v="1"/>
    <n v="566.69000000000005"/>
    <n v="292.83999999999997"/>
    <n v="273.85000000000008"/>
    <n v="0.48324480756674737"/>
    <x v="9"/>
  </r>
  <r>
    <d v="2024-06-18T00:00:00"/>
    <x v="10"/>
    <x v="2"/>
    <x v="2"/>
    <n v="1687.17"/>
    <n v="1033"/>
    <n v="4"/>
    <n v="6748.68"/>
    <n v="4132"/>
    <n v="2616.6800000000003"/>
    <n v="0.3877321194663253"/>
    <x v="4"/>
  </r>
  <r>
    <d v="2024-10-12T00:00:00"/>
    <x v="4"/>
    <x v="2"/>
    <x v="1"/>
    <n v="718.25"/>
    <n v="615.25"/>
    <n v="8"/>
    <n v="5746"/>
    <n v="4922"/>
    <n v="824"/>
    <n v="0.14340410720501218"/>
    <x v="17"/>
  </r>
  <r>
    <d v="2024-08-13T00:00:00"/>
    <x v="6"/>
    <x v="3"/>
    <x v="1"/>
    <n v="218.09"/>
    <n v="111.64"/>
    <n v="9"/>
    <n v="1962.81"/>
    <n v="1004.76"/>
    <n v="958.05"/>
    <n v="0.48810124260626347"/>
    <x v="21"/>
  </r>
  <r>
    <d v="2023-03-25T00:00:00"/>
    <x v="1"/>
    <x v="1"/>
    <x v="0"/>
    <n v="1116.4000000000001"/>
    <n v="956.79"/>
    <n v="8"/>
    <n v="8931.2000000000007"/>
    <n v="7654.32"/>
    <n v="1276.880000000001"/>
    <n v="0.14296847008240784"/>
    <x v="19"/>
  </r>
  <r>
    <d v="2022-02-23T00:00:00"/>
    <x v="4"/>
    <x v="2"/>
    <x v="2"/>
    <n v="1991.25"/>
    <n v="1280.02"/>
    <n v="4"/>
    <n v="7965"/>
    <n v="5120.08"/>
    <n v="2844.92"/>
    <n v="0.35717765222849968"/>
    <x v="20"/>
  </r>
  <r>
    <d v="2022-09-29T00:00:00"/>
    <x v="0"/>
    <x v="0"/>
    <x v="3"/>
    <n v="1447.51"/>
    <n v="869.72"/>
    <n v="10"/>
    <n v="14475.1"/>
    <n v="8697.2000000000007"/>
    <n v="5777.9"/>
    <n v="0.39916131840194535"/>
    <x v="12"/>
  </r>
  <r>
    <d v="2024-01-09T00:00:00"/>
    <x v="7"/>
    <x v="0"/>
    <x v="3"/>
    <n v="1059.55"/>
    <n v="777.85"/>
    <n v="5"/>
    <n v="5297.75"/>
    <n v="3889.25"/>
    <n v="1408.5"/>
    <n v="0.26586758529564436"/>
    <x v="26"/>
  </r>
  <r>
    <d v="2023-03-06T00:00:00"/>
    <x v="2"/>
    <x v="0"/>
    <x v="0"/>
    <n v="1996.27"/>
    <n v="1478.03"/>
    <n v="8"/>
    <n v="15970.16"/>
    <n v="11824.24"/>
    <n v="4145.92"/>
    <n v="0.25960416176168555"/>
    <x v="19"/>
  </r>
  <r>
    <d v="2023-02-03T00:00:00"/>
    <x v="10"/>
    <x v="2"/>
    <x v="3"/>
    <n v="1667.58"/>
    <n v="913.13"/>
    <n v="5"/>
    <n v="8337.9"/>
    <n v="4565.6499999999996"/>
    <n v="3772.25"/>
    <n v="0.45242207270415813"/>
    <x v="27"/>
  </r>
  <r>
    <d v="2022-09-22T00:00:00"/>
    <x v="9"/>
    <x v="3"/>
    <x v="2"/>
    <n v="65.28"/>
    <n v="35.869999999999997"/>
    <n v="4"/>
    <n v="261.12"/>
    <n v="143.47999999999999"/>
    <n v="117.64000000000001"/>
    <n v="0.45052083333333337"/>
    <x v="12"/>
  </r>
  <r>
    <d v="2024-01-01T00:00:00"/>
    <x v="7"/>
    <x v="0"/>
    <x v="3"/>
    <n v="1887.88"/>
    <n v="1289.6500000000001"/>
    <n v="4"/>
    <n v="7551.52"/>
    <n v="5158.6000000000004"/>
    <n v="2392.92"/>
    <n v="0.31687925079983897"/>
    <x v="26"/>
  </r>
  <r>
    <d v="2023-03-15T00:00:00"/>
    <x v="2"/>
    <x v="0"/>
    <x v="1"/>
    <n v="1526.23"/>
    <n v="1103.6099999999999"/>
    <n v="9"/>
    <n v="13736.07"/>
    <n v="9932.49"/>
    <n v="3803.58"/>
    <n v="0.27690452946148353"/>
    <x v="19"/>
  </r>
  <r>
    <d v="2022-05-27T00:00:00"/>
    <x v="1"/>
    <x v="1"/>
    <x v="0"/>
    <n v="240.02"/>
    <n v="131.96"/>
    <n v="10"/>
    <n v="2400.2000000000003"/>
    <n v="1319.6000000000001"/>
    <n v="1080.6000000000001"/>
    <n v="0.45021248229314226"/>
    <x v="35"/>
  </r>
  <r>
    <d v="2024-06-30T00:00:00"/>
    <x v="0"/>
    <x v="0"/>
    <x v="2"/>
    <n v="607.98"/>
    <n v="420.03"/>
    <n v="6"/>
    <n v="3647.88"/>
    <n v="2520.1799999999998"/>
    <n v="1127.7000000000003"/>
    <n v="0.30913845850192445"/>
    <x v="4"/>
  </r>
  <r>
    <d v="2023-12-16T00:00:00"/>
    <x v="6"/>
    <x v="3"/>
    <x v="0"/>
    <n v="693.31"/>
    <n v="499.37"/>
    <n v="1"/>
    <n v="693.31"/>
    <n v="499.37"/>
    <n v="193.93999999999994"/>
    <n v="0.27973056785564893"/>
    <x v="30"/>
  </r>
  <r>
    <d v="2022-09-22T00:00:00"/>
    <x v="3"/>
    <x v="2"/>
    <x v="1"/>
    <n v="1242.4000000000001"/>
    <n v="914.89"/>
    <n v="4"/>
    <n v="4969.6000000000004"/>
    <n v="3659.56"/>
    <n v="1310.0400000000004"/>
    <n v="0.26361075338055384"/>
    <x v="12"/>
  </r>
  <r>
    <d v="2022-08-08T00:00:00"/>
    <x v="2"/>
    <x v="0"/>
    <x v="3"/>
    <n v="1817.65"/>
    <n v="915.87"/>
    <n v="4"/>
    <n v="7270.6"/>
    <n v="3663.48"/>
    <n v="3607.1200000000003"/>
    <n v="0.49612411630401893"/>
    <x v="15"/>
  </r>
  <r>
    <d v="2024-06-07T00:00:00"/>
    <x v="0"/>
    <x v="0"/>
    <x v="0"/>
    <n v="1535.29"/>
    <n v="1265.6199999999999"/>
    <n v="10"/>
    <n v="15352.9"/>
    <n v="12656.199999999999"/>
    <n v="2696.7000000000007"/>
    <n v="0.17564759752229225"/>
    <x v="4"/>
  </r>
  <r>
    <d v="2022-12-30T00:00:00"/>
    <x v="9"/>
    <x v="3"/>
    <x v="1"/>
    <n v="1909.45"/>
    <n v="1057.6500000000001"/>
    <n v="5"/>
    <n v="9547.25"/>
    <n v="5288.25"/>
    <n v="4259"/>
    <n v="0.4460970436513132"/>
    <x v="33"/>
  </r>
  <r>
    <d v="2023-02-20T00:00:00"/>
    <x v="9"/>
    <x v="3"/>
    <x v="3"/>
    <n v="1484.68"/>
    <n v="959.6"/>
    <n v="5"/>
    <n v="7423.4000000000005"/>
    <n v="4798"/>
    <n v="2625.4000000000005"/>
    <n v="0.35366543632297875"/>
    <x v="27"/>
  </r>
  <r>
    <d v="2024-11-19T00:00:00"/>
    <x v="10"/>
    <x v="2"/>
    <x v="0"/>
    <n v="1790.94"/>
    <n v="1209.92"/>
    <n v="4"/>
    <n v="7163.76"/>
    <n v="4839.68"/>
    <n v="2324.08"/>
    <n v="0.32442181200933584"/>
    <x v="2"/>
  </r>
  <r>
    <d v="2024-07-03T00:00:00"/>
    <x v="8"/>
    <x v="1"/>
    <x v="0"/>
    <n v="1544.7"/>
    <n v="1284.9000000000001"/>
    <n v="3"/>
    <n v="4634.1000000000004"/>
    <n v="3854.7000000000003"/>
    <n v="779.40000000000009"/>
    <n v="0.16818799766945039"/>
    <x v="28"/>
  </r>
  <r>
    <d v="2024-08-01T00:00:00"/>
    <x v="5"/>
    <x v="3"/>
    <x v="0"/>
    <n v="1304.75"/>
    <n v="829.13"/>
    <n v="10"/>
    <n v="13047.5"/>
    <n v="8291.2999999999993"/>
    <n v="4756.2000000000007"/>
    <n v="0.36452960337229362"/>
    <x v="21"/>
  </r>
  <r>
    <d v="2024-09-04T00:00:00"/>
    <x v="5"/>
    <x v="3"/>
    <x v="2"/>
    <n v="1986.78"/>
    <n v="1065.8599999999999"/>
    <n v="7"/>
    <n v="13907.46"/>
    <n v="7461.0199999999995"/>
    <n v="6446.44"/>
    <n v="0.46352389293228241"/>
    <x v="16"/>
  </r>
  <r>
    <d v="2023-02-14T00:00:00"/>
    <x v="1"/>
    <x v="1"/>
    <x v="0"/>
    <n v="55.35"/>
    <n v="46.29"/>
    <n v="8"/>
    <n v="442.8"/>
    <n v="370.32"/>
    <n v="72.480000000000018"/>
    <n v="0.16368563685636861"/>
    <x v="27"/>
  </r>
  <r>
    <d v="2022-02-26T00:00:00"/>
    <x v="5"/>
    <x v="3"/>
    <x v="3"/>
    <n v="200.25"/>
    <n v="106.31"/>
    <n v="7"/>
    <n v="1401.75"/>
    <n v="744.17000000000007"/>
    <n v="657.57999999999993"/>
    <n v="0.46911360799001245"/>
    <x v="20"/>
  </r>
  <r>
    <d v="2022-07-25T00:00:00"/>
    <x v="2"/>
    <x v="0"/>
    <x v="3"/>
    <n v="1330.06"/>
    <n v="963.69"/>
    <n v="5"/>
    <n v="6650.2999999999993"/>
    <n v="4818.4500000000007"/>
    <n v="1831.8499999999985"/>
    <n v="0.27545373892907066"/>
    <x v="8"/>
  </r>
  <r>
    <d v="2024-11-23T00:00:00"/>
    <x v="1"/>
    <x v="1"/>
    <x v="0"/>
    <n v="482.48"/>
    <n v="426.32"/>
    <n v="6"/>
    <n v="2894.88"/>
    <n v="2557.92"/>
    <n v="336.96000000000004"/>
    <n v="0.11639860719615322"/>
    <x v="2"/>
  </r>
  <r>
    <d v="2023-11-07T00:00:00"/>
    <x v="8"/>
    <x v="1"/>
    <x v="0"/>
    <n v="1561.99"/>
    <n v="1131.01"/>
    <n v="5"/>
    <n v="7809.95"/>
    <n v="5655.05"/>
    <n v="2154.8999999999996"/>
    <n v="0.27591725939346601"/>
    <x v="10"/>
  </r>
  <r>
    <d v="2024-11-06T00:00:00"/>
    <x v="0"/>
    <x v="0"/>
    <x v="2"/>
    <n v="1859.7"/>
    <n v="1121.8900000000001"/>
    <n v="9"/>
    <n v="16737.3"/>
    <n v="10097.01"/>
    <n v="6640.2899999999991"/>
    <n v="0.39673603269344515"/>
    <x v="2"/>
  </r>
  <r>
    <d v="2023-09-23T00:00:00"/>
    <x v="4"/>
    <x v="2"/>
    <x v="3"/>
    <n v="1635.62"/>
    <n v="1421.44"/>
    <n v="1"/>
    <n v="1635.62"/>
    <n v="1421.44"/>
    <n v="214.17999999999984"/>
    <n v="0.13094728604443565"/>
    <x v="24"/>
  </r>
  <r>
    <d v="2024-08-20T00:00:00"/>
    <x v="9"/>
    <x v="3"/>
    <x v="3"/>
    <n v="1734.94"/>
    <n v="871.98"/>
    <n v="10"/>
    <n v="17349.400000000001"/>
    <n v="8719.7999999999993"/>
    <n v="8629.6000000000022"/>
    <n v="0.49740048647215473"/>
    <x v="21"/>
  </r>
  <r>
    <d v="2023-09-11T00:00:00"/>
    <x v="4"/>
    <x v="2"/>
    <x v="1"/>
    <n v="214.14"/>
    <n v="179.63"/>
    <n v="2"/>
    <n v="428.28"/>
    <n v="359.26"/>
    <n v="69.019999999999982"/>
    <n v="0.16115625291865132"/>
    <x v="24"/>
  </r>
  <r>
    <d v="2024-05-11T00:00:00"/>
    <x v="6"/>
    <x v="3"/>
    <x v="1"/>
    <n v="219.1"/>
    <n v="182.3"/>
    <n v="1"/>
    <n v="219.1"/>
    <n v="182.3"/>
    <n v="36.799999999999983"/>
    <n v="0.167959835691465"/>
    <x v="3"/>
  </r>
  <r>
    <d v="2022-10-08T00:00:00"/>
    <x v="5"/>
    <x v="3"/>
    <x v="2"/>
    <n v="860.16"/>
    <n v="702.62"/>
    <n v="7"/>
    <n v="6021.12"/>
    <n v="4918.34"/>
    <n v="1102.7799999999997"/>
    <n v="0.18315197172619044"/>
    <x v="25"/>
  </r>
  <r>
    <d v="2024-01-10T00:00:00"/>
    <x v="4"/>
    <x v="2"/>
    <x v="3"/>
    <n v="1449.06"/>
    <n v="1037.03"/>
    <n v="7"/>
    <n v="10143.42"/>
    <n v="7259.21"/>
    <n v="2884.21"/>
    <n v="0.28434295336286974"/>
    <x v="26"/>
  </r>
  <r>
    <d v="2023-07-23T00:00:00"/>
    <x v="6"/>
    <x v="3"/>
    <x v="1"/>
    <n v="1641.75"/>
    <n v="1381.9"/>
    <n v="8"/>
    <n v="13134"/>
    <n v="11055.2"/>
    <n v="2078.7999999999993"/>
    <n v="0.15827622963301349"/>
    <x v="11"/>
  </r>
  <r>
    <d v="2024-08-16T00:00:00"/>
    <x v="6"/>
    <x v="3"/>
    <x v="3"/>
    <n v="390.77"/>
    <n v="234.8"/>
    <n v="5"/>
    <n v="1953.85"/>
    <n v="1174"/>
    <n v="779.84999999999991"/>
    <n v="0.39913504107275377"/>
    <x v="21"/>
  </r>
  <r>
    <d v="2023-04-02T00:00:00"/>
    <x v="4"/>
    <x v="2"/>
    <x v="2"/>
    <n v="1810.22"/>
    <n v="1513.13"/>
    <n v="5"/>
    <n v="9051.1"/>
    <n v="7565.6500000000005"/>
    <n v="1485.4499999999998"/>
    <n v="0.16411817348167623"/>
    <x v="6"/>
  </r>
  <r>
    <d v="2024-07-03T00:00:00"/>
    <x v="3"/>
    <x v="2"/>
    <x v="2"/>
    <n v="742.68"/>
    <n v="588.86"/>
    <n v="5"/>
    <n v="3713.3999999999996"/>
    <n v="2944.3"/>
    <n v="769.09999999999945"/>
    <n v="0.20711477352291688"/>
    <x v="28"/>
  </r>
  <r>
    <d v="2022-05-12T00:00:00"/>
    <x v="2"/>
    <x v="0"/>
    <x v="1"/>
    <n v="956"/>
    <n v="721.45"/>
    <n v="9"/>
    <n v="8604"/>
    <n v="6493.05"/>
    <n v="2110.9499999999998"/>
    <n v="0.24534518828451882"/>
    <x v="35"/>
  </r>
  <r>
    <d v="2024-12-24T00:00:00"/>
    <x v="2"/>
    <x v="0"/>
    <x v="0"/>
    <n v="1965.35"/>
    <n v="1648.23"/>
    <n v="6"/>
    <n v="11792.099999999999"/>
    <n v="9889.380000000001"/>
    <n v="1902.7199999999975"/>
    <n v="0.16135548375607378"/>
    <x v="23"/>
  </r>
  <r>
    <d v="2024-12-11T00:00:00"/>
    <x v="7"/>
    <x v="0"/>
    <x v="2"/>
    <n v="715.94"/>
    <n v="589.49"/>
    <n v="1"/>
    <n v="715.94"/>
    <n v="589.49"/>
    <n v="126.45000000000005"/>
    <n v="0.1766209458893204"/>
    <x v="23"/>
  </r>
  <r>
    <d v="2022-10-06T00:00:00"/>
    <x v="2"/>
    <x v="0"/>
    <x v="2"/>
    <n v="938.08"/>
    <n v="492.63"/>
    <n v="6"/>
    <n v="5628.4800000000005"/>
    <n v="2955.7799999999997"/>
    <n v="2672.7000000000007"/>
    <n v="0.47485289101142769"/>
    <x v="25"/>
  </r>
  <r>
    <d v="2023-06-16T00:00:00"/>
    <x v="2"/>
    <x v="0"/>
    <x v="2"/>
    <n v="129.08000000000001"/>
    <n v="96.59"/>
    <n v="4"/>
    <n v="516.32000000000005"/>
    <n v="386.36"/>
    <n v="129.96000000000004"/>
    <n v="0.25170436938332824"/>
    <x v="0"/>
  </r>
  <r>
    <d v="2024-08-21T00:00:00"/>
    <x v="7"/>
    <x v="0"/>
    <x v="0"/>
    <n v="681.37"/>
    <n v="548.79999999999995"/>
    <n v="3"/>
    <n v="2044.1100000000001"/>
    <n v="1646.3999999999999"/>
    <n v="397.71000000000026"/>
    <n v="0.19456389333255072"/>
    <x v="21"/>
  </r>
  <r>
    <d v="2022-05-07T00:00:00"/>
    <x v="0"/>
    <x v="0"/>
    <x v="2"/>
    <n v="1801.09"/>
    <n v="1049.99"/>
    <n v="1"/>
    <n v="1801.09"/>
    <n v="1049.99"/>
    <n v="751.09999999999991"/>
    <n v="0.41702524582336248"/>
    <x v="35"/>
  </r>
  <r>
    <d v="2024-01-26T00:00:00"/>
    <x v="10"/>
    <x v="2"/>
    <x v="1"/>
    <n v="85.52"/>
    <n v="63.24"/>
    <n v="4"/>
    <n v="342.08"/>
    <n v="252.96"/>
    <n v="89.119999999999976"/>
    <n v="0.26052385406922351"/>
    <x v="26"/>
  </r>
  <r>
    <d v="2024-06-16T00:00:00"/>
    <x v="3"/>
    <x v="2"/>
    <x v="2"/>
    <n v="739.71"/>
    <n v="376.91"/>
    <n v="9"/>
    <n v="6657.39"/>
    <n v="3392.19"/>
    <n v="3265.2000000000003"/>
    <n v="0.49046247853888686"/>
    <x v="4"/>
  </r>
  <r>
    <d v="2024-04-22T00:00:00"/>
    <x v="6"/>
    <x v="3"/>
    <x v="0"/>
    <n v="574.38"/>
    <n v="401.86"/>
    <n v="3"/>
    <n v="1723.1399999999999"/>
    <n v="1205.58"/>
    <n v="517.55999999999995"/>
    <n v="0.30035864758522229"/>
    <x v="22"/>
  </r>
  <r>
    <d v="2022-09-20T00:00:00"/>
    <x v="10"/>
    <x v="2"/>
    <x v="0"/>
    <n v="220.54"/>
    <n v="130.94999999999999"/>
    <n v="5"/>
    <n v="1102.7"/>
    <n v="654.75"/>
    <n v="447.95000000000005"/>
    <n v="0.40623016232882925"/>
    <x v="12"/>
  </r>
  <r>
    <d v="2024-09-13T00:00:00"/>
    <x v="3"/>
    <x v="2"/>
    <x v="2"/>
    <n v="760.85"/>
    <n v="385.04"/>
    <n v="5"/>
    <n v="3804.25"/>
    <n v="1925.2"/>
    <n v="1879.05"/>
    <n v="0.49393441545639744"/>
    <x v="16"/>
  </r>
  <r>
    <d v="2023-05-16T00:00:00"/>
    <x v="9"/>
    <x v="3"/>
    <x v="0"/>
    <n v="1130.27"/>
    <n v="841.17"/>
    <n v="1"/>
    <n v="1130.27"/>
    <n v="841.17"/>
    <n v="289.10000000000002"/>
    <n v="0.25577959248675097"/>
    <x v="31"/>
  </r>
  <r>
    <d v="2023-01-26T00:00:00"/>
    <x v="8"/>
    <x v="1"/>
    <x v="0"/>
    <n v="715.45"/>
    <n v="503.65"/>
    <n v="1"/>
    <n v="715.45"/>
    <n v="503.65"/>
    <n v="211.80000000000007"/>
    <n v="0.29603745894192474"/>
    <x v="13"/>
  </r>
  <r>
    <d v="2024-06-07T00:00:00"/>
    <x v="0"/>
    <x v="0"/>
    <x v="1"/>
    <n v="1697.56"/>
    <n v="1489.32"/>
    <n v="7"/>
    <n v="11882.92"/>
    <n v="10425.24"/>
    <n v="1457.6800000000003"/>
    <n v="0.12267018544263533"/>
    <x v="4"/>
  </r>
  <r>
    <d v="2022-05-23T00:00:00"/>
    <x v="2"/>
    <x v="0"/>
    <x v="2"/>
    <n v="20.77"/>
    <n v="12.36"/>
    <n v="8"/>
    <n v="166.16"/>
    <n v="98.88"/>
    <n v="67.28"/>
    <n v="0.40491092922484356"/>
    <x v="35"/>
  </r>
  <r>
    <d v="2024-06-16T00:00:00"/>
    <x v="7"/>
    <x v="0"/>
    <x v="3"/>
    <n v="595.87"/>
    <n v="460.96"/>
    <n v="5"/>
    <n v="2979.35"/>
    <n v="2304.7999999999997"/>
    <n v="674.55000000000018"/>
    <n v="0.22640844479500569"/>
    <x v="4"/>
  </r>
  <r>
    <d v="2023-10-14T00:00:00"/>
    <x v="0"/>
    <x v="0"/>
    <x v="3"/>
    <n v="610.69000000000005"/>
    <n v="399.76"/>
    <n v="1"/>
    <n v="610.69000000000005"/>
    <n v="399.76"/>
    <n v="210.93000000000006"/>
    <n v="0.34539619119356801"/>
    <x v="5"/>
  </r>
  <r>
    <d v="2022-08-20T00:00:00"/>
    <x v="6"/>
    <x v="3"/>
    <x v="0"/>
    <n v="1695.87"/>
    <n v="1460.02"/>
    <n v="10"/>
    <n v="16958.699999999997"/>
    <n v="14600.2"/>
    <n v="2358.4999999999964"/>
    <n v="0.13907316008892173"/>
    <x v="15"/>
  </r>
  <r>
    <d v="2024-01-13T00:00:00"/>
    <x v="8"/>
    <x v="1"/>
    <x v="2"/>
    <n v="1505.56"/>
    <n v="1230.24"/>
    <n v="7"/>
    <n v="10538.92"/>
    <n v="8611.68"/>
    <n v="1927.2399999999998"/>
    <n v="0.18286883285953398"/>
    <x v="26"/>
  </r>
  <r>
    <d v="2023-06-24T00:00:00"/>
    <x v="6"/>
    <x v="3"/>
    <x v="2"/>
    <n v="1301.1400000000001"/>
    <n v="719.12"/>
    <n v="4"/>
    <n v="5204.5600000000004"/>
    <n v="2876.48"/>
    <n v="2328.0800000000004"/>
    <n v="0.44731543108351141"/>
    <x v="0"/>
  </r>
  <r>
    <d v="2022-09-11T00:00:00"/>
    <x v="10"/>
    <x v="2"/>
    <x v="2"/>
    <n v="223.34"/>
    <n v="153.13"/>
    <n v="5"/>
    <n v="1116.7"/>
    <n v="765.65"/>
    <n v="351.05000000000007"/>
    <n v="0.31436375033581093"/>
    <x v="12"/>
  </r>
  <r>
    <d v="2024-11-28T00:00:00"/>
    <x v="6"/>
    <x v="3"/>
    <x v="2"/>
    <n v="334.53"/>
    <n v="281.25"/>
    <n v="4"/>
    <n v="1338.12"/>
    <n v="1125"/>
    <n v="213.11999999999989"/>
    <n v="0.15926822706483718"/>
    <x v="2"/>
  </r>
  <r>
    <d v="2024-02-02T00:00:00"/>
    <x v="9"/>
    <x v="3"/>
    <x v="3"/>
    <n v="37.56"/>
    <n v="21.71"/>
    <n v="8"/>
    <n v="300.48"/>
    <n v="173.68"/>
    <n v="126.80000000000001"/>
    <n v="0.42199148029818956"/>
    <x v="34"/>
  </r>
  <r>
    <d v="2023-08-27T00:00:00"/>
    <x v="5"/>
    <x v="3"/>
    <x v="3"/>
    <n v="967.48"/>
    <n v="845.74"/>
    <n v="2"/>
    <n v="1934.96"/>
    <n v="1691.48"/>
    <n v="243.48000000000002"/>
    <n v="0.12583205854384588"/>
    <x v="14"/>
  </r>
  <r>
    <d v="2024-10-07T00:00:00"/>
    <x v="8"/>
    <x v="1"/>
    <x v="2"/>
    <n v="1121.81"/>
    <n v="887.92"/>
    <n v="9"/>
    <n v="10096.289999999999"/>
    <n v="7991.28"/>
    <n v="2105.0099999999993"/>
    <n v="0.2084934168887779"/>
    <x v="17"/>
  </r>
  <r>
    <d v="2023-12-31T00:00:00"/>
    <x v="5"/>
    <x v="3"/>
    <x v="1"/>
    <n v="396.64"/>
    <n v="247.03"/>
    <n v="6"/>
    <n v="2379.84"/>
    <n v="1482.18"/>
    <n v="897.66000000000008"/>
    <n v="0.37719342476805162"/>
    <x v="30"/>
  </r>
  <r>
    <d v="2022-10-24T00:00:00"/>
    <x v="5"/>
    <x v="3"/>
    <x v="1"/>
    <n v="1377.44"/>
    <n v="1229.98"/>
    <n v="1"/>
    <n v="1377.44"/>
    <n v="1229.98"/>
    <n v="147.46000000000004"/>
    <n v="0.10705366476942736"/>
    <x v="25"/>
  </r>
  <r>
    <d v="2024-12-19T00:00:00"/>
    <x v="10"/>
    <x v="2"/>
    <x v="0"/>
    <n v="1695.79"/>
    <n v="1316.3"/>
    <n v="3"/>
    <n v="5087.37"/>
    <n v="3948.8999999999996"/>
    <n v="1138.4700000000003"/>
    <n v="0.22378360528131436"/>
    <x v="23"/>
  </r>
  <r>
    <d v="2022-12-27T00:00:00"/>
    <x v="8"/>
    <x v="1"/>
    <x v="1"/>
    <n v="175.23"/>
    <n v="106.14"/>
    <n v="2"/>
    <n v="350.46"/>
    <n v="212.28"/>
    <n v="138.17999999999998"/>
    <n v="0.39428180106146204"/>
    <x v="33"/>
  </r>
  <r>
    <d v="2023-08-09T00:00:00"/>
    <x v="3"/>
    <x v="2"/>
    <x v="2"/>
    <n v="1774"/>
    <n v="1441.85"/>
    <n v="8"/>
    <n v="14192"/>
    <n v="11534.8"/>
    <n v="2657.2000000000007"/>
    <n v="0.18723224351747469"/>
    <x v="14"/>
  </r>
  <r>
    <d v="2023-10-07T00:00:00"/>
    <x v="7"/>
    <x v="0"/>
    <x v="2"/>
    <n v="158.86000000000001"/>
    <n v="92.5"/>
    <n v="3"/>
    <n v="476.58000000000004"/>
    <n v="277.5"/>
    <n v="199.08000000000004"/>
    <n v="0.41772629988669274"/>
    <x v="5"/>
  </r>
  <r>
    <d v="2023-10-14T00:00:00"/>
    <x v="4"/>
    <x v="2"/>
    <x v="2"/>
    <n v="1811"/>
    <n v="1479.12"/>
    <n v="5"/>
    <n v="9055"/>
    <n v="7395.5999999999995"/>
    <n v="1659.4000000000005"/>
    <n v="0.1832578685808946"/>
    <x v="5"/>
  </r>
  <r>
    <d v="2024-11-23T00:00:00"/>
    <x v="1"/>
    <x v="1"/>
    <x v="0"/>
    <n v="1348.84"/>
    <n v="873.74"/>
    <n v="3"/>
    <n v="4046.5199999999995"/>
    <n v="2621.2200000000003"/>
    <n v="1425.2999999999993"/>
    <n v="0.35222858159603793"/>
    <x v="2"/>
  </r>
  <r>
    <d v="2022-01-27T00:00:00"/>
    <x v="6"/>
    <x v="3"/>
    <x v="2"/>
    <n v="1772.66"/>
    <n v="1327.73"/>
    <n v="10"/>
    <n v="17726.600000000002"/>
    <n v="13277.3"/>
    <n v="4449.3000000000029"/>
    <n v="0.25099567881037549"/>
    <x v="9"/>
  </r>
  <r>
    <d v="2023-07-13T00:00:00"/>
    <x v="7"/>
    <x v="0"/>
    <x v="0"/>
    <n v="197.59"/>
    <n v="116.64"/>
    <n v="8"/>
    <n v="1580.72"/>
    <n v="933.12"/>
    <n v="647.6"/>
    <n v="0.40968672503669212"/>
    <x v="11"/>
  </r>
  <r>
    <d v="2023-07-16T00:00:00"/>
    <x v="4"/>
    <x v="2"/>
    <x v="0"/>
    <n v="507.51"/>
    <n v="456"/>
    <n v="8"/>
    <n v="4060.08"/>
    <n v="3648"/>
    <n v="412.07999999999993"/>
    <n v="0.10149553703375301"/>
    <x v="11"/>
  </r>
  <r>
    <d v="2022-07-16T00:00:00"/>
    <x v="4"/>
    <x v="2"/>
    <x v="3"/>
    <n v="1405.89"/>
    <n v="1253.01"/>
    <n v="4"/>
    <n v="5623.56"/>
    <n v="5012.04"/>
    <n v="611.52000000000044"/>
    <n v="0.10874250474788219"/>
    <x v="8"/>
  </r>
  <r>
    <d v="2024-12-15T00:00:00"/>
    <x v="10"/>
    <x v="2"/>
    <x v="0"/>
    <n v="1110.55"/>
    <n v="904.08"/>
    <n v="2"/>
    <n v="2221.1"/>
    <n v="1808.16"/>
    <n v="412.93999999999983"/>
    <n v="0.1859168880284543"/>
    <x v="23"/>
  </r>
  <r>
    <d v="2022-10-25T00:00:00"/>
    <x v="0"/>
    <x v="0"/>
    <x v="1"/>
    <n v="626.87"/>
    <n v="385.21"/>
    <n v="7"/>
    <n v="4388.09"/>
    <n v="2696.47"/>
    <n v="1691.6200000000003"/>
    <n v="0.38550257629173518"/>
    <x v="25"/>
  </r>
  <r>
    <d v="2024-05-12T00:00:00"/>
    <x v="4"/>
    <x v="2"/>
    <x v="2"/>
    <n v="1939.06"/>
    <n v="1392.65"/>
    <n v="5"/>
    <n v="9695.2999999999993"/>
    <n v="6963.25"/>
    <n v="2732.0499999999993"/>
    <n v="0.28179117716831864"/>
    <x v="3"/>
  </r>
  <r>
    <d v="2023-04-16T00:00:00"/>
    <x v="2"/>
    <x v="0"/>
    <x v="3"/>
    <n v="1092.54"/>
    <n v="640.03"/>
    <n v="8"/>
    <n v="8740.32"/>
    <n v="5120.24"/>
    <n v="3620.08"/>
    <n v="0.41418163179380163"/>
    <x v="6"/>
  </r>
  <r>
    <d v="2024-01-30T00:00:00"/>
    <x v="1"/>
    <x v="1"/>
    <x v="0"/>
    <n v="1024.53"/>
    <n v="774.73"/>
    <n v="8"/>
    <n v="8196.24"/>
    <n v="6197.84"/>
    <n v="1998.3999999999996"/>
    <n v="0.24381911705855364"/>
    <x v="26"/>
  </r>
  <r>
    <d v="2024-10-20T00:00:00"/>
    <x v="1"/>
    <x v="1"/>
    <x v="2"/>
    <n v="1889.31"/>
    <n v="1234.0999999999999"/>
    <n v="5"/>
    <n v="9446.5499999999993"/>
    <n v="6170.5"/>
    <n v="3276.0499999999993"/>
    <n v="0.34679856667248887"/>
    <x v="17"/>
  </r>
  <r>
    <d v="2022-09-27T00:00:00"/>
    <x v="2"/>
    <x v="0"/>
    <x v="0"/>
    <n v="205.01"/>
    <n v="124.11"/>
    <n v="8"/>
    <n v="1640.08"/>
    <n v="992.88"/>
    <n v="647.19999999999993"/>
    <n v="0.39461489683430073"/>
    <x v="12"/>
  </r>
  <r>
    <d v="2024-01-12T00:00:00"/>
    <x v="5"/>
    <x v="3"/>
    <x v="2"/>
    <n v="283.47000000000003"/>
    <n v="216.35"/>
    <n v="8"/>
    <n v="2267.7600000000002"/>
    <n v="1730.8"/>
    <n v="536.96000000000026"/>
    <n v="0.23677990616290975"/>
    <x v="26"/>
  </r>
  <r>
    <d v="2023-10-05T00:00:00"/>
    <x v="1"/>
    <x v="1"/>
    <x v="0"/>
    <n v="1200.6099999999999"/>
    <n v="653.27"/>
    <n v="8"/>
    <n v="9604.8799999999992"/>
    <n v="5226.16"/>
    <n v="4378.7199999999993"/>
    <n v="0.45588492516304208"/>
    <x v="5"/>
  </r>
  <r>
    <d v="2022-08-08T00:00:00"/>
    <x v="5"/>
    <x v="3"/>
    <x v="1"/>
    <n v="434.24"/>
    <n v="345.91"/>
    <n v="1"/>
    <n v="434.24"/>
    <n v="345.91"/>
    <n v="88.329999999999984"/>
    <n v="0.20341285924834188"/>
    <x v="15"/>
  </r>
  <r>
    <d v="2024-03-17T00:00:00"/>
    <x v="8"/>
    <x v="1"/>
    <x v="3"/>
    <n v="242.72"/>
    <n v="155.30000000000001"/>
    <n v="3"/>
    <n v="728.16"/>
    <n v="465.90000000000003"/>
    <n v="262.25999999999993"/>
    <n v="0.36016809492419238"/>
    <x v="29"/>
  </r>
  <r>
    <d v="2024-07-22T00:00:00"/>
    <x v="0"/>
    <x v="0"/>
    <x v="3"/>
    <n v="1738.03"/>
    <n v="1127.77"/>
    <n v="4"/>
    <n v="6952.12"/>
    <n v="4511.08"/>
    <n v="2441.04"/>
    <n v="0.35112167223810864"/>
    <x v="28"/>
  </r>
  <r>
    <d v="2024-09-02T00:00:00"/>
    <x v="6"/>
    <x v="3"/>
    <x v="2"/>
    <n v="317.18"/>
    <n v="205.79"/>
    <n v="3"/>
    <n v="951.54"/>
    <n v="617.37"/>
    <n v="334.16999999999996"/>
    <n v="0.35118859953338794"/>
    <x v="16"/>
  </r>
  <r>
    <d v="2023-06-13T00:00:00"/>
    <x v="3"/>
    <x v="2"/>
    <x v="3"/>
    <n v="1348.51"/>
    <n v="741.24"/>
    <n v="5"/>
    <n v="6742.55"/>
    <n v="3706.2"/>
    <n v="3036.3500000000004"/>
    <n v="0.45032665682864798"/>
    <x v="0"/>
  </r>
  <r>
    <d v="2022-02-23T00:00:00"/>
    <x v="4"/>
    <x v="2"/>
    <x v="3"/>
    <n v="1037.48"/>
    <n v="609.1"/>
    <n v="4"/>
    <n v="4149.92"/>
    <n v="2436.4"/>
    <n v="1713.52"/>
    <n v="0.41290434514400276"/>
    <x v="20"/>
  </r>
  <r>
    <d v="2024-06-23T00:00:00"/>
    <x v="4"/>
    <x v="2"/>
    <x v="0"/>
    <n v="858.29"/>
    <n v="451.07"/>
    <n v="1"/>
    <n v="858.29"/>
    <n v="451.07"/>
    <n v="407.21999999999997"/>
    <n v="0.47445502103018794"/>
    <x v="4"/>
  </r>
  <r>
    <d v="2023-07-12T00:00:00"/>
    <x v="9"/>
    <x v="3"/>
    <x v="2"/>
    <n v="1759.27"/>
    <n v="1029.58"/>
    <n v="5"/>
    <n v="8796.35"/>
    <n v="5147.8999999999996"/>
    <n v="3648.4500000000007"/>
    <n v="0.41476862562312783"/>
    <x v="11"/>
  </r>
  <r>
    <d v="2024-05-29T00:00:00"/>
    <x v="0"/>
    <x v="0"/>
    <x v="2"/>
    <n v="1066.71"/>
    <n v="744.26"/>
    <n v="1"/>
    <n v="1066.71"/>
    <n v="744.26"/>
    <n v="322.45000000000005"/>
    <n v="0.30228459468834079"/>
    <x v="3"/>
  </r>
  <r>
    <d v="2022-08-28T00:00:00"/>
    <x v="9"/>
    <x v="3"/>
    <x v="2"/>
    <n v="268.95"/>
    <n v="144.58000000000001"/>
    <n v="5"/>
    <n v="1344.75"/>
    <n v="722.90000000000009"/>
    <n v="621.84999999999991"/>
    <n v="0.46242796058746971"/>
    <x v="15"/>
  </r>
  <r>
    <d v="2023-09-11T00:00:00"/>
    <x v="3"/>
    <x v="2"/>
    <x v="3"/>
    <n v="1012.18"/>
    <n v="577.04999999999995"/>
    <n v="1"/>
    <n v="1012.18"/>
    <n v="577.04999999999995"/>
    <n v="435.13"/>
    <n v="0.42989389239068154"/>
    <x v="24"/>
  </r>
  <r>
    <d v="2024-04-03T00:00:00"/>
    <x v="8"/>
    <x v="1"/>
    <x v="3"/>
    <n v="1728.11"/>
    <n v="1182.44"/>
    <n v="6"/>
    <n v="10368.66"/>
    <n v="7094.64"/>
    <n v="3274.0199999999995"/>
    <n v="0.31576114946386513"/>
    <x v="22"/>
  </r>
  <r>
    <d v="2024-02-01T00:00:00"/>
    <x v="4"/>
    <x v="2"/>
    <x v="1"/>
    <n v="777.04"/>
    <n v="489.5"/>
    <n v="9"/>
    <n v="6993.36"/>
    <n v="4405.5"/>
    <n v="2587.8599999999997"/>
    <n v="0.37004530011325026"/>
    <x v="34"/>
  </r>
  <r>
    <d v="2024-06-04T00:00:00"/>
    <x v="7"/>
    <x v="0"/>
    <x v="1"/>
    <n v="700.51"/>
    <n v="400.32"/>
    <n v="6"/>
    <n v="4203.0599999999995"/>
    <n v="2401.92"/>
    <n v="1801.1399999999994"/>
    <n v="0.42853064196085699"/>
    <x v="4"/>
  </r>
  <r>
    <d v="2022-03-17T00:00:00"/>
    <x v="10"/>
    <x v="2"/>
    <x v="3"/>
    <n v="1587.58"/>
    <n v="1040.03"/>
    <n v="6"/>
    <n v="9525.48"/>
    <n v="6240.18"/>
    <n v="3285.2999999999993"/>
    <n v="0.3448960052406807"/>
    <x v="7"/>
  </r>
  <r>
    <d v="2023-03-27T00:00:00"/>
    <x v="0"/>
    <x v="0"/>
    <x v="0"/>
    <n v="767.44"/>
    <n v="681.08"/>
    <n v="4"/>
    <n v="3069.76"/>
    <n v="2724.32"/>
    <n v="345.44000000000005"/>
    <n v="0.11252996976962369"/>
    <x v="19"/>
  </r>
  <r>
    <d v="2024-12-29T00:00:00"/>
    <x v="4"/>
    <x v="2"/>
    <x v="1"/>
    <n v="739"/>
    <n v="591.79"/>
    <n v="2"/>
    <n v="1478"/>
    <n v="1183.58"/>
    <n v="294.42000000000007"/>
    <n v="0.19920162381596757"/>
    <x v="23"/>
  </r>
  <r>
    <d v="2022-10-11T00:00:00"/>
    <x v="1"/>
    <x v="1"/>
    <x v="3"/>
    <n v="528.92999999999995"/>
    <n v="328.09"/>
    <n v="9"/>
    <n v="4760.37"/>
    <n v="2952.81"/>
    <n v="1807.56"/>
    <n v="0.37970998052672378"/>
    <x v="25"/>
  </r>
  <r>
    <d v="2024-05-04T00:00:00"/>
    <x v="6"/>
    <x v="3"/>
    <x v="3"/>
    <n v="548.57000000000005"/>
    <n v="451.73"/>
    <n v="9"/>
    <n v="4937.13"/>
    <n v="4065.57"/>
    <n v="871.56"/>
    <n v="0.17653170971799403"/>
    <x v="3"/>
  </r>
  <r>
    <d v="2023-09-18T00:00:00"/>
    <x v="10"/>
    <x v="2"/>
    <x v="1"/>
    <n v="1681.93"/>
    <n v="1234.75"/>
    <n v="2"/>
    <n v="3363.86"/>
    <n v="2469.5"/>
    <n v="894.36000000000013"/>
    <n v="0.26587313384029065"/>
    <x v="24"/>
  </r>
  <r>
    <d v="2023-01-07T00:00:00"/>
    <x v="5"/>
    <x v="3"/>
    <x v="1"/>
    <n v="607.64"/>
    <n v="307.88"/>
    <n v="3"/>
    <n v="1822.92"/>
    <n v="923.64"/>
    <n v="899.28000000000009"/>
    <n v="0.49331841221776057"/>
    <x v="13"/>
  </r>
  <r>
    <d v="2024-08-19T00:00:00"/>
    <x v="9"/>
    <x v="3"/>
    <x v="3"/>
    <n v="1271.6600000000001"/>
    <n v="979.22"/>
    <n v="3"/>
    <n v="3814.9800000000005"/>
    <n v="2937.66"/>
    <n v="877.32000000000062"/>
    <n v="0.22996712957866108"/>
    <x v="21"/>
  </r>
  <r>
    <d v="2024-04-02T00:00:00"/>
    <x v="10"/>
    <x v="2"/>
    <x v="3"/>
    <n v="443.96"/>
    <n v="302.62"/>
    <n v="1"/>
    <n v="443.96"/>
    <n v="302.62"/>
    <n v="141.33999999999997"/>
    <n v="0.31836201459590951"/>
    <x v="22"/>
  </r>
  <r>
    <d v="2022-06-01T00:00:00"/>
    <x v="5"/>
    <x v="3"/>
    <x v="2"/>
    <n v="1316.58"/>
    <n v="920.59"/>
    <n v="1"/>
    <n v="1316.58"/>
    <n v="920.59"/>
    <n v="395.9899999999999"/>
    <n v="0.30077169636482393"/>
    <x v="18"/>
  </r>
  <r>
    <d v="2022-12-17T00:00:00"/>
    <x v="3"/>
    <x v="2"/>
    <x v="2"/>
    <n v="999.38"/>
    <n v="673.38"/>
    <n v="2"/>
    <n v="1998.76"/>
    <n v="1346.76"/>
    <n v="652"/>
    <n v="0.32620224539214315"/>
    <x v="33"/>
  </r>
  <r>
    <d v="2022-07-22T00:00:00"/>
    <x v="5"/>
    <x v="3"/>
    <x v="1"/>
    <n v="1817.59"/>
    <n v="1069.08"/>
    <n v="9"/>
    <n v="16358.31"/>
    <n v="9621.7199999999993"/>
    <n v="6736.59"/>
    <n v="0.41181454563460407"/>
    <x v="8"/>
  </r>
  <r>
    <d v="2022-12-06T00:00:00"/>
    <x v="5"/>
    <x v="3"/>
    <x v="1"/>
    <n v="966.08"/>
    <n v="591.65"/>
    <n v="9"/>
    <n v="8694.7200000000012"/>
    <n v="5324.8499999999995"/>
    <n v="3369.8700000000017"/>
    <n v="0.38757659821132839"/>
    <x v="33"/>
  </r>
  <r>
    <d v="2023-09-28T00:00:00"/>
    <x v="4"/>
    <x v="2"/>
    <x v="1"/>
    <n v="536.4"/>
    <n v="300.35000000000002"/>
    <n v="10"/>
    <n v="5364"/>
    <n v="3003.5"/>
    <n v="2360.5"/>
    <n v="0.44006338553318419"/>
    <x v="24"/>
  </r>
  <r>
    <d v="2022-10-21T00:00:00"/>
    <x v="2"/>
    <x v="0"/>
    <x v="2"/>
    <n v="1932.17"/>
    <n v="1261.76"/>
    <n v="7"/>
    <n v="13525.19"/>
    <n v="8832.32"/>
    <n v="4692.8700000000008"/>
    <n v="0.34697257487695188"/>
    <x v="25"/>
  </r>
  <r>
    <d v="2024-10-10T00:00:00"/>
    <x v="2"/>
    <x v="0"/>
    <x v="1"/>
    <n v="1218.51"/>
    <n v="906.62"/>
    <n v="8"/>
    <n v="9748.08"/>
    <n v="7252.96"/>
    <n v="2495.12"/>
    <n v="0.25596014804966721"/>
    <x v="17"/>
  </r>
  <r>
    <d v="2024-06-21T00:00:00"/>
    <x v="3"/>
    <x v="2"/>
    <x v="0"/>
    <n v="1729.54"/>
    <n v="1526.38"/>
    <n v="9"/>
    <n v="15565.86"/>
    <n v="13737.420000000002"/>
    <n v="1828.4399999999987"/>
    <n v="0.11746475941579833"/>
    <x v="4"/>
  </r>
  <r>
    <d v="2022-03-01T00:00:00"/>
    <x v="0"/>
    <x v="0"/>
    <x v="1"/>
    <n v="648.55999999999995"/>
    <n v="471.47"/>
    <n v="4"/>
    <n v="2594.2399999999998"/>
    <n v="1885.88"/>
    <n v="708.35999999999967"/>
    <n v="0.27305106697915371"/>
    <x v="7"/>
  </r>
  <r>
    <d v="2022-10-28T00:00:00"/>
    <x v="0"/>
    <x v="0"/>
    <x v="2"/>
    <n v="1262.32"/>
    <n v="1031.57"/>
    <n v="1"/>
    <n v="1262.32"/>
    <n v="1031.57"/>
    <n v="230.75"/>
    <n v="0.18279833956524497"/>
    <x v="25"/>
  </r>
  <r>
    <d v="2022-12-26T00:00:00"/>
    <x v="1"/>
    <x v="1"/>
    <x v="3"/>
    <n v="250.53"/>
    <n v="185.4"/>
    <n v="2"/>
    <n v="501.06"/>
    <n v="370.8"/>
    <n v="130.26"/>
    <n v="0.25996886600407138"/>
    <x v="33"/>
  </r>
  <r>
    <d v="2024-04-24T00:00:00"/>
    <x v="7"/>
    <x v="0"/>
    <x v="0"/>
    <n v="1429.15"/>
    <n v="1066.29"/>
    <n v="4"/>
    <n v="5716.6"/>
    <n v="4265.16"/>
    <n v="1451.4400000000005"/>
    <n v="0.25389917083581159"/>
    <x v="22"/>
  </r>
  <r>
    <d v="2022-06-12T00:00:00"/>
    <x v="0"/>
    <x v="0"/>
    <x v="0"/>
    <n v="108.36"/>
    <n v="68.5"/>
    <n v="7"/>
    <n v="758.52"/>
    <n v="479.5"/>
    <n v="279.02"/>
    <n v="0.36784791435954223"/>
    <x v="18"/>
  </r>
  <r>
    <d v="2023-08-23T00:00:00"/>
    <x v="0"/>
    <x v="0"/>
    <x v="1"/>
    <n v="367.92"/>
    <n v="280.77999999999997"/>
    <n v="1"/>
    <n v="367.92"/>
    <n v="280.77999999999997"/>
    <n v="87.140000000000043"/>
    <n v="0.2368449662970212"/>
    <x v="14"/>
  </r>
  <r>
    <d v="2023-09-07T00:00:00"/>
    <x v="1"/>
    <x v="1"/>
    <x v="0"/>
    <n v="977.19"/>
    <n v="553.46"/>
    <n v="3"/>
    <n v="2931.57"/>
    <n v="1660.38"/>
    <n v="1271.19"/>
    <n v="0.4336208925592771"/>
    <x v="24"/>
  </r>
  <r>
    <d v="2023-07-04T00:00:00"/>
    <x v="3"/>
    <x v="2"/>
    <x v="2"/>
    <n v="1659.13"/>
    <n v="988.67"/>
    <n v="8"/>
    <n v="13273.04"/>
    <n v="7909.36"/>
    <n v="5363.6800000000012"/>
    <n v="0.40410335537299674"/>
    <x v="11"/>
  </r>
  <r>
    <d v="2022-03-13T00:00:00"/>
    <x v="9"/>
    <x v="3"/>
    <x v="1"/>
    <n v="331.17"/>
    <n v="255.79"/>
    <n v="10"/>
    <n v="3311.7000000000003"/>
    <n v="2557.9"/>
    <n v="753.80000000000018"/>
    <n v="0.22761723586073621"/>
    <x v="7"/>
  </r>
  <r>
    <d v="2022-07-02T00:00:00"/>
    <x v="7"/>
    <x v="0"/>
    <x v="1"/>
    <n v="591.03"/>
    <n v="325.7"/>
    <n v="4"/>
    <n v="2364.12"/>
    <n v="1302.8"/>
    <n v="1061.32"/>
    <n v="0.44892814239547907"/>
    <x v="8"/>
  </r>
  <r>
    <d v="2024-07-10T00:00:00"/>
    <x v="0"/>
    <x v="0"/>
    <x v="3"/>
    <n v="1127.4000000000001"/>
    <n v="607.27"/>
    <n v="9"/>
    <n v="10146.6"/>
    <n v="5465.43"/>
    <n v="4681.17"/>
    <n v="0.46135355685648394"/>
    <x v="28"/>
  </r>
  <r>
    <d v="2023-03-28T00:00:00"/>
    <x v="3"/>
    <x v="2"/>
    <x v="1"/>
    <n v="1207.53"/>
    <n v="779.42"/>
    <n v="5"/>
    <n v="6037.65"/>
    <n v="3897.1"/>
    <n v="2140.5499999999997"/>
    <n v="0.35453363477511946"/>
    <x v="19"/>
  </r>
  <r>
    <d v="2022-12-03T00:00:00"/>
    <x v="5"/>
    <x v="3"/>
    <x v="1"/>
    <n v="1837.07"/>
    <n v="1579.54"/>
    <n v="3"/>
    <n v="5511.21"/>
    <n v="4738.62"/>
    <n v="772.59000000000015"/>
    <n v="0.14018518619323164"/>
    <x v="33"/>
  </r>
  <r>
    <d v="2022-05-23T00:00:00"/>
    <x v="4"/>
    <x v="2"/>
    <x v="1"/>
    <n v="1957.74"/>
    <n v="1388.04"/>
    <n v="4"/>
    <n v="7830.96"/>
    <n v="5552.16"/>
    <n v="2278.8000000000002"/>
    <n v="0.29099880474424594"/>
    <x v="35"/>
  </r>
  <r>
    <d v="2022-11-09T00:00:00"/>
    <x v="4"/>
    <x v="2"/>
    <x v="3"/>
    <n v="867.77"/>
    <n v="686.12"/>
    <n v="10"/>
    <n v="8677.7000000000007"/>
    <n v="6861.2"/>
    <n v="1816.5000000000009"/>
    <n v="0.2093296610853107"/>
    <x v="1"/>
  </r>
  <r>
    <d v="2022-06-28T00:00:00"/>
    <x v="3"/>
    <x v="2"/>
    <x v="3"/>
    <n v="825.55"/>
    <n v="530.54"/>
    <n v="8"/>
    <n v="6604.4"/>
    <n v="4244.32"/>
    <n v="2360.08"/>
    <n v="0.35734964569075162"/>
    <x v="18"/>
  </r>
  <r>
    <d v="2024-12-10T00:00:00"/>
    <x v="4"/>
    <x v="2"/>
    <x v="2"/>
    <n v="81.459999999999994"/>
    <n v="53.92"/>
    <n v="4"/>
    <n v="325.83999999999997"/>
    <n v="215.68"/>
    <n v="110.15999999999997"/>
    <n v="0.33808003928308367"/>
    <x v="23"/>
  </r>
  <r>
    <d v="2023-04-28T00:00:00"/>
    <x v="8"/>
    <x v="1"/>
    <x v="3"/>
    <n v="630.1"/>
    <n v="475.08"/>
    <n v="7"/>
    <n v="4410.7"/>
    <n v="3325.56"/>
    <n v="1085.1399999999999"/>
    <n v="0.24602444056498968"/>
    <x v="6"/>
  </r>
  <r>
    <d v="2022-09-09T00:00:00"/>
    <x v="10"/>
    <x v="2"/>
    <x v="2"/>
    <n v="844.06"/>
    <n v="667.53"/>
    <n v="9"/>
    <n v="7596.5399999999991"/>
    <n v="6007.7699999999995"/>
    <n v="1588.7699999999995"/>
    <n v="0.20914389972276848"/>
    <x v="12"/>
  </r>
  <r>
    <d v="2024-08-07T00:00:00"/>
    <x v="4"/>
    <x v="2"/>
    <x v="0"/>
    <n v="1483.82"/>
    <n v="771.55"/>
    <n v="3"/>
    <n v="4451.46"/>
    <n v="2314.6499999999996"/>
    <n v="2136.8100000000004"/>
    <n v="0.48002453127737876"/>
    <x v="21"/>
  </r>
  <r>
    <d v="2024-09-13T00:00:00"/>
    <x v="3"/>
    <x v="2"/>
    <x v="3"/>
    <n v="1679.95"/>
    <n v="1403.01"/>
    <n v="5"/>
    <n v="8399.75"/>
    <n v="7015.05"/>
    <n v="1384.6999999999998"/>
    <n v="0.16485014434953418"/>
    <x v="16"/>
  </r>
  <r>
    <d v="2022-12-16T00:00:00"/>
    <x v="6"/>
    <x v="3"/>
    <x v="0"/>
    <n v="227.15"/>
    <n v="175.43"/>
    <n v="7"/>
    <n v="1590.05"/>
    <n v="1228.01"/>
    <n v="362.03999999999996"/>
    <n v="0.2276909531146819"/>
    <x v="33"/>
  </r>
  <r>
    <d v="2024-06-27T00:00:00"/>
    <x v="3"/>
    <x v="2"/>
    <x v="3"/>
    <n v="1899.3"/>
    <n v="1480.03"/>
    <n v="6"/>
    <n v="11395.8"/>
    <n v="8880.18"/>
    <n v="2515.619999999999"/>
    <n v="0.22074974990786073"/>
    <x v="4"/>
  </r>
  <r>
    <d v="2024-12-08T00:00:00"/>
    <x v="6"/>
    <x v="3"/>
    <x v="2"/>
    <n v="1245.3399999999999"/>
    <n v="901.92"/>
    <n v="8"/>
    <n v="9962.7199999999993"/>
    <n v="7215.36"/>
    <n v="2747.3599999999997"/>
    <n v="0.27576404837233204"/>
    <x v="23"/>
  </r>
  <r>
    <d v="2023-07-04T00:00:00"/>
    <x v="9"/>
    <x v="3"/>
    <x v="2"/>
    <n v="1743.48"/>
    <n v="1043.54"/>
    <n v="10"/>
    <n v="17434.8"/>
    <n v="10435.4"/>
    <n v="6999.4"/>
    <n v="0.40146144492623947"/>
    <x v="11"/>
  </r>
  <r>
    <d v="2024-09-08T00:00:00"/>
    <x v="8"/>
    <x v="1"/>
    <x v="0"/>
    <n v="1419.91"/>
    <n v="1220.79"/>
    <n v="6"/>
    <n v="8519.4600000000009"/>
    <n v="7324.74"/>
    <n v="1194.7200000000012"/>
    <n v="0.14023424019832256"/>
    <x v="16"/>
  </r>
  <r>
    <d v="2023-10-25T00:00:00"/>
    <x v="0"/>
    <x v="0"/>
    <x v="2"/>
    <n v="1453.39"/>
    <n v="912.28"/>
    <n v="8"/>
    <n v="11627.12"/>
    <n v="7298.24"/>
    <n v="4328.880000000001"/>
    <n v="0.37230887786485395"/>
    <x v="5"/>
  </r>
  <r>
    <d v="2024-09-28T00:00:00"/>
    <x v="9"/>
    <x v="3"/>
    <x v="0"/>
    <n v="964.62"/>
    <n v="512.19000000000005"/>
    <n v="4"/>
    <n v="3858.48"/>
    <n v="2048.7600000000002"/>
    <n v="1809.7199999999998"/>
    <n v="0.46902407165515947"/>
    <x v="16"/>
  </r>
  <r>
    <d v="2023-07-10T00:00:00"/>
    <x v="2"/>
    <x v="0"/>
    <x v="0"/>
    <n v="953"/>
    <n v="731.67"/>
    <n v="7"/>
    <n v="6671"/>
    <n v="5121.6899999999996"/>
    <n v="1549.3100000000004"/>
    <n v="0.23224554039874087"/>
    <x v="11"/>
  </r>
  <r>
    <d v="2022-11-17T00:00:00"/>
    <x v="6"/>
    <x v="3"/>
    <x v="2"/>
    <n v="913.14"/>
    <n v="771.16"/>
    <n v="7"/>
    <n v="6391.98"/>
    <n v="5398.12"/>
    <n v="993.85999999999967"/>
    <n v="0.15548546772674504"/>
    <x v="1"/>
  </r>
  <r>
    <d v="2022-05-31T00:00:00"/>
    <x v="4"/>
    <x v="2"/>
    <x v="2"/>
    <n v="432.07"/>
    <n v="265.01"/>
    <n v="9"/>
    <n v="3888.63"/>
    <n v="2385.09"/>
    <n v="1503.54"/>
    <n v="0.38665031129215172"/>
    <x v="35"/>
  </r>
  <r>
    <d v="2023-07-07T00:00:00"/>
    <x v="5"/>
    <x v="3"/>
    <x v="3"/>
    <n v="952.28"/>
    <n v="711.45"/>
    <n v="1"/>
    <n v="952.28"/>
    <n v="711.45"/>
    <n v="240.82999999999993"/>
    <n v="0.25289830722056533"/>
    <x v="11"/>
  </r>
  <r>
    <d v="2024-10-21T00:00:00"/>
    <x v="10"/>
    <x v="2"/>
    <x v="1"/>
    <n v="1288.1199999999999"/>
    <n v="877.09"/>
    <n v="6"/>
    <n v="7728.7199999999993"/>
    <n v="5262.54"/>
    <n v="2466.1799999999994"/>
    <n v="0.3190929416513989"/>
    <x v="17"/>
  </r>
  <r>
    <d v="2023-04-16T00:00:00"/>
    <x v="0"/>
    <x v="0"/>
    <x v="2"/>
    <n v="1491.56"/>
    <n v="1215.9100000000001"/>
    <n v="8"/>
    <n v="11932.48"/>
    <n v="9727.2800000000007"/>
    <n v="2205.1999999999989"/>
    <n v="0.18480651130360151"/>
    <x v="6"/>
  </r>
  <r>
    <d v="2024-03-24T00:00:00"/>
    <x v="2"/>
    <x v="0"/>
    <x v="3"/>
    <n v="1139.1600000000001"/>
    <n v="941.3"/>
    <n v="5"/>
    <n v="5695.8"/>
    <n v="4706.5"/>
    <n v="989.30000000000018"/>
    <n v="0.17368938516099586"/>
    <x v="29"/>
  </r>
  <r>
    <d v="2024-12-28T00:00:00"/>
    <x v="9"/>
    <x v="3"/>
    <x v="1"/>
    <n v="1336.9"/>
    <n v="1046.0999999999999"/>
    <n v="2"/>
    <n v="2673.8"/>
    <n v="2092.1999999999998"/>
    <n v="581.60000000000036"/>
    <n v="0.21751813897823336"/>
    <x v="23"/>
  </r>
  <r>
    <d v="2022-09-13T00:00:00"/>
    <x v="3"/>
    <x v="2"/>
    <x v="2"/>
    <n v="1319.97"/>
    <n v="851"/>
    <n v="9"/>
    <n v="11879.73"/>
    <n v="7659"/>
    <n v="4220.7299999999996"/>
    <n v="0.35528837776616135"/>
    <x v="12"/>
  </r>
  <r>
    <d v="2024-06-02T00:00:00"/>
    <x v="1"/>
    <x v="1"/>
    <x v="0"/>
    <n v="1982.51"/>
    <n v="1381.17"/>
    <n v="2"/>
    <n v="3965.02"/>
    <n v="2762.34"/>
    <n v="1202.6799999999998"/>
    <n v="0.30332255575003403"/>
    <x v="4"/>
  </r>
  <r>
    <d v="2024-12-03T00:00:00"/>
    <x v="9"/>
    <x v="3"/>
    <x v="1"/>
    <n v="1758.36"/>
    <n v="913.35"/>
    <n v="4"/>
    <n v="7033.44"/>
    <n v="3653.4"/>
    <n v="3380.0399999999995"/>
    <n v="0.48056711936122293"/>
    <x v="23"/>
  </r>
  <r>
    <d v="2022-09-09T00:00:00"/>
    <x v="8"/>
    <x v="1"/>
    <x v="0"/>
    <n v="1544.25"/>
    <n v="1202.3399999999999"/>
    <n v="4"/>
    <n v="6177"/>
    <n v="4809.3599999999997"/>
    <n v="1367.6400000000003"/>
    <n v="0.22140845070422541"/>
    <x v="12"/>
  </r>
  <r>
    <d v="2022-03-20T00:00:00"/>
    <x v="2"/>
    <x v="0"/>
    <x v="3"/>
    <n v="21.58"/>
    <n v="14.16"/>
    <n v="9"/>
    <n v="194.21999999999997"/>
    <n v="127.44"/>
    <n v="66.779999999999973"/>
    <n v="0.34383688600556062"/>
    <x v="7"/>
  </r>
  <r>
    <d v="2024-07-12T00:00:00"/>
    <x v="9"/>
    <x v="3"/>
    <x v="1"/>
    <n v="250.97"/>
    <n v="157.43"/>
    <n v="2"/>
    <n v="501.94"/>
    <n v="314.86"/>
    <n v="187.07999999999998"/>
    <n v="0.37271387018368729"/>
    <x v="28"/>
  </r>
  <r>
    <d v="2023-01-22T00:00:00"/>
    <x v="5"/>
    <x v="3"/>
    <x v="1"/>
    <n v="1684.45"/>
    <n v="1193.51"/>
    <n v="10"/>
    <n v="16844.5"/>
    <n v="11935.1"/>
    <n v="4909.3999999999996"/>
    <n v="0.29145418385823263"/>
    <x v="13"/>
  </r>
  <r>
    <d v="2024-07-13T00:00:00"/>
    <x v="4"/>
    <x v="2"/>
    <x v="2"/>
    <n v="725.05"/>
    <n v="367.27"/>
    <n v="4"/>
    <n v="2900.2"/>
    <n v="1469.08"/>
    <n v="1431.12"/>
    <n v="0.49345562375008617"/>
    <x v="28"/>
  </r>
  <r>
    <d v="2022-07-26T00:00:00"/>
    <x v="0"/>
    <x v="0"/>
    <x v="0"/>
    <n v="1930.54"/>
    <n v="1294.3900000000001"/>
    <n v="5"/>
    <n v="9652.7000000000007"/>
    <n v="6471.9500000000007"/>
    <n v="3180.75"/>
    <n v="0.32951920188133887"/>
    <x v="8"/>
  </r>
  <r>
    <d v="2023-09-19T00:00:00"/>
    <x v="2"/>
    <x v="0"/>
    <x v="2"/>
    <n v="1165.76"/>
    <n v="1005.33"/>
    <n v="5"/>
    <n v="5828.8"/>
    <n v="5026.6500000000005"/>
    <n v="802.14999999999964"/>
    <n v="0.13761837771067795"/>
    <x v="24"/>
  </r>
  <r>
    <d v="2023-01-02T00:00:00"/>
    <x v="2"/>
    <x v="0"/>
    <x v="2"/>
    <n v="1777.49"/>
    <n v="1220.56"/>
    <n v="8"/>
    <n v="14219.92"/>
    <n v="9764.48"/>
    <n v="4455.4400000000005"/>
    <n v="0.31332384429729565"/>
    <x v="13"/>
  </r>
  <r>
    <d v="2024-11-25T00:00:00"/>
    <x v="7"/>
    <x v="0"/>
    <x v="0"/>
    <n v="1581.61"/>
    <n v="1024.01"/>
    <n v="8"/>
    <n v="12652.88"/>
    <n v="8192.08"/>
    <n v="4460.7999999999993"/>
    <n v="0.35255214623073955"/>
    <x v="2"/>
  </r>
  <r>
    <d v="2024-05-29T00:00:00"/>
    <x v="0"/>
    <x v="0"/>
    <x v="1"/>
    <n v="47.15"/>
    <n v="30.73"/>
    <n v="5"/>
    <n v="235.75"/>
    <n v="153.65"/>
    <n v="82.1"/>
    <n v="0.34825026511134677"/>
    <x v="3"/>
  </r>
  <r>
    <d v="2024-01-01T00:00:00"/>
    <x v="9"/>
    <x v="3"/>
    <x v="1"/>
    <n v="489.11"/>
    <n v="439.64"/>
    <n v="6"/>
    <n v="2934.66"/>
    <n v="2637.84"/>
    <n v="296.81999999999971"/>
    <n v="0.10114289219194036"/>
    <x v="26"/>
  </r>
  <r>
    <d v="2022-06-09T00:00:00"/>
    <x v="9"/>
    <x v="3"/>
    <x v="3"/>
    <n v="1107.8399999999999"/>
    <n v="849.75"/>
    <n v="7"/>
    <n v="7754.8799999999992"/>
    <n v="5948.25"/>
    <n v="1806.6299999999992"/>
    <n v="0.23296685441941067"/>
    <x v="18"/>
  </r>
  <r>
    <d v="2024-08-11T00:00:00"/>
    <x v="7"/>
    <x v="0"/>
    <x v="3"/>
    <n v="884.07"/>
    <n v="590.16999999999996"/>
    <n v="6"/>
    <n v="5304.42"/>
    <n v="3541.0199999999995"/>
    <n v="1763.4000000000005"/>
    <n v="0.33243973893469986"/>
    <x v="21"/>
  </r>
  <r>
    <d v="2024-01-01T00:00:00"/>
    <x v="7"/>
    <x v="0"/>
    <x v="0"/>
    <n v="1358.16"/>
    <n v="767.05"/>
    <n v="5"/>
    <n v="6790.8"/>
    <n v="3835.25"/>
    <n v="2955.55"/>
    <n v="0.43522854450138426"/>
    <x v="26"/>
  </r>
  <r>
    <d v="2023-05-11T00:00:00"/>
    <x v="3"/>
    <x v="2"/>
    <x v="1"/>
    <n v="1888.57"/>
    <n v="1557.88"/>
    <n v="10"/>
    <n v="18885.7"/>
    <n v="15578.800000000001"/>
    <n v="3306.8999999999996"/>
    <n v="0.17510073759511163"/>
    <x v="31"/>
  </r>
  <r>
    <d v="2022-06-15T00:00:00"/>
    <x v="8"/>
    <x v="1"/>
    <x v="3"/>
    <n v="625.55999999999995"/>
    <n v="458.82"/>
    <n v="1"/>
    <n v="625.55999999999995"/>
    <n v="458.82"/>
    <n v="166.73999999999995"/>
    <n v="0.2665451755227316"/>
    <x v="18"/>
  </r>
  <r>
    <d v="2023-08-29T00:00:00"/>
    <x v="8"/>
    <x v="1"/>
    <x v="3"/>
    <n v="1453.74"/>
    <n v="791"/>
    <n v="10"/>
    <n v="14537.4"/>
    <n v="7910"/>
    <n v="6627.4"/>
    <n v="0.45588619698157856"/>
    <x v="14"/>
  </r>
  <r>
    <d v="2024-08-01T00:00:00"/>
    <x v="6"/>
    <x v="3"/>
    <x v="3"/>
    <n v="321.62"/>
    <n v="278.04000000000002"/>
    <n v="10"/>
    <n v="3216.2"/>
    <n v="2780.4"/>
    <n v="435.79999999999973"/>
    <n v="0.13550152353709338"/>
    <x v="21"/>
  </r>
  <r>
    <d v="2022-07-24T00:00:00"/>
    <x v="0"/>
    <x v="0"/>
    <x v="1"/>
    <n v="664.44"/>
    <n v="568.25"/>
    <n v="1"/>
    <n v="664.44"/>
    <n v="568.25"/>
    <n v="96.190000000000055"/>
    <n v="0.14476852687977854"/>
    <x v="8"/>
  </r>
  <r>
    <d v="2024-07-23T00:00:00"/>
    <x v="7"/>
    <x v="0"/>
    <x v="1"/>
    <n v="548.28"/>
    <n v="368.75"/>
    <n v="5"/>
    <n v="2741.3999999999996"/>
    <n v="1843.75"/>
    <n v="897.64999999999964"/>
    <n v="0.32744218282629306"/>
    <x v="28"/>
  </r>
  <r>
    <d v="2023-03-23T00:00:00"/>
    <x v="0"/>
    <x v="0"/>
    <x v="2"/>
    <n v="1868.51"/>
    <n v="1672.14"/>
    <n v="1"/>
    <n v="1868.51"/>
    <n v="1672.14"/>
    <n v="196.36999999999989"/>
    <n v="0.10509443353260078"/>
    <x v="19"/>
  </r>
  <r>
    <d v="2024-03-21T00:00:00"/>
    <x v="3"/>
    <x v="2"/>
    <x v="1"/>
    <n v="443.56"/>
    <n v="370.71"/>
    <n v="10"/>
    <n v="4435.6000000000004"/>
    <n v="3707.1"/>
    <n v="728.50000000000045"/>
    <n v="0.16423933627919568"/>
    <x v="29"/>
  </r>
  <r>
    <d v="2023-11-13T00:00:00"/>
    <x v="6"/>
    <x v="3"/>
    <x v="3"/>
    <n v="1525.41"/>
    <n v="860.09"/>
    <n v="7"/>
    <n v="10677.87"/>
    <n v="6020.63"/>
    <n v="4657.2400000000007"/>
    <n v="0.43615814764555105"/>
    <x v="10"/>
  </r>
  <r>
    <d v="2024-08-30T00:00:00"/>
    <x v="8"/>
    <x v="1"/>
    <x v="3"/>
    <n v="838.44"/>
    <n v="647.36"/>
    <n v="7"/>
    <n v="5869.08"/>
    <n v="4531.5200000000004"/>
    <n v="1337.5599999999995"/>
    <n v="0.22789943227899423"/>
    <x v="21"/>
  </r>
  <r>
    <d v="2024-03-22T00:00:00"/>
    <x v="6"/>
    <x v="3"/>
    <x v="0"/>
    <n v="1468.24"/>
    <n v="1002.88"/>
    <n v="9"/>
    <n v="13214.16"/>
    <n v="9025.92"/>
    <n v="4188.24"/>
    <n v="0.31695090720863073"/>
    <x v="29"/>
  </r>
  <r>
    <d v="2023-05-29T00:00:00"/>
    <x v="8"/>
    <x v="1"/>
    <x v="1"/>
    <n v="159.68"/>
    <n v="126.62"/>
    <n v="7"/>
    <n v="1117.76"/>
    <n v="886.34"/>
    <n v="231.41999999999996"/>
    <n v="0.20703907815631259"/>
    <x v="31"/>
  </r>
  <r>
    <d v="2022-07-24T00:00:00"/>
    <x v="8"/>
    <x v="1"/>
    <x v="0"/>
    <n v="721.72"/>
    <n v="639.95000000000005"/>
    <n v="4"/>
    <n v="2886.88"/>
    <n v="2559.8000000000002"/>
    <n v="327.07999999999993"/>
    <n v="0.11329878623288807"/>
    <x v="8"/>
  </r>
  <r>
    <d v="2023-05-19T00:00:00"/>
    <x v="0"/>
    <x v="0"/>
    <x v="1"/>
    <n v="250.48"/>
    <n v="152.56"/>
    <n v="10"/>
    <n v="2504.7999999999997"/>
    <n v="1525.6"/>
    <n v="979.19999999999982"/>
    <n v="0.39092941552219734"/>
    <x v="31"/>
  </r>
  <r>
    <d v="2023-05-08T00:00:00"/>
    <x v="7"/>
    <x v="0"/>
    <x v="1"/>
    <n v="975.19"/>
    <n v="591.45000000000005"/>
    <n v="4"/>
    <n v="3900.76"/>
    <n v="2365.8000000000002"/>
    <n v="1534.96"/>
    <n v="0.39350280458167125"/>
    <x v="31"/>
  </r>
  <r>
    <d v="2022-07-25T00:00:00"/>
    <x v="4"/>
    <x v="2"/>
    <x v="3"/>
    <n v="871.95"/>
    <n v="482.82"/>
    <n v="4"/>
    <n v="3487.8"/>
    <n v="1931.28"/>
    <n v="1556.5200000000002"/>
    <n v="0.4462755891966283"/>
    <x v="8"/>
  </r>
  <r>
    <d v="2024-03-19T00:00:00"/>
    <x v="10"/>
    <x v="2"/>
    <x v="2"/>
    <n v="1676.02"/>
    <n v="1310.79"/>
    <n v="5"/>
    <n v="8380.1"/>
    <n v="6553.95"/>
    <n v="1826.1500000000005"/>
    <n v="0.21791506067946689"/>
    <x v="29"/>
  </r>
  <r>
    <d v="2024-06-27T00:00:00"/>
    <x v="2"/>
    <x v="0"/>
    <x v="1"/>
    <n v="1121.32"/>
    <n v="911.5"/>
    <n v="1"/>
    <n v="1121.32"/>
    <n v="911.5"/>
    <n v="209.81999999999994"/>
    <n v="0.18711875289836974"/>
    <x v="4"/>
  </r>
  <r>
    <d v="2023-11-03T00:00:00"/>
    <x v="9"/>
    <x v="3"/>
    <x v="3"/>
    <n v="766.17"/>
    <n v="614.24"/>
    <n v="6"/>
    <n v="4597.0199999999995"/>
    <n v="3685.44"/>
    <n v="911.57999999999947"/>
    <n v="0.1982980278528263"/>
    <x v="10"/>
  </r>
  <r>
    <d v="2022-09-25T00:00:00"/>
    <x v="8"/>
    <x v="1"/>
    <x v="1"/>
    <n v="308.2"/>
    <n v="207.31"/>
    <n v="5"/>
    <n v="1541"/>
    <n v="1036.55"/>
    <n v="504.45000000000005"/>
    <n v="0.32735236859182354"/>
    <x v="12"/>
  </r>
  <r>
    <d v="2023-07-05T00:00:00"/>
    <x v="2"/>
    <x v="0"/>
    <x v="1"/>
    <n v="1795.53"/>
    <n v="1491.31"/>
    <n v="5"/>
    <n v="8977.65"/>
    <n v="7456.5499999999993"/>
    <n v="1521.1000000000004"/>
    <n v="0.16943186691394746"/>
    <x v="11"/>
  </r>
  <r>
    <d v="2023-01-26T00:00:00"/>
    <x v="4"/>
    <x v="2"/>
    <x v="2"/>
    <n v="1130.3800000000001"/>
    <n v="659.2"/>
    <n v="10"/>
    <n v="11303.800000000001"/>
    <n v="6592"/>
    <n v="4711.8000000000011"/>
    <n v="0.41683327730497716"/>
    <x v="13"/>
  </r>
  <r>
    <d v="2024-06-26T00:00:00"/>
    <x v="6"/>
    <x v="3"/>
    <x v="1"/>
    <n v="436.03"/>
    <n v="267.27"/>
    <n v="10"/>
    <n v="4360.2999999999993"/>
    <n v="2672.7"/>
    <n v="1687.5999999999995"/>
    <n v="0.38703758915670933"/>
    <x v="4"/>
  </r>
  <r>
    <d v="2023-07-23T00:00:00"/>
    <x v="6"/>
    <x v="3"/>
    <x v="2"/>
    <n v="1266.3499999999999"/>
    <n v="844.5"/>
    <n v="5"/>
    <n v="6331.75"/>
    <n v="4222.5"/>
    <n v="2109.25"/>
    <n v="0.33312275437280375"/>
    <x v="11"/>
  </r>
  <r>
    <d v="2024-12-16T00:00:00"/>
    <x v="8"/>
    <x v="1"/>
    <x v="1"/>
    <n v="1639.28"/>
    <n v="1116.92"/>
    <n v="2"/>
    <n v="3278.56"/>
    <n v="2233.84"/>
    <n v="1044.7199999999998"/>
    <n v="0.31865209116197352"/>
    <x v="23"/>
  </r>
  <r>
    <d v="2024-12-27T00:00:00"/>
    <x v="9"/>
    <x v="3"/>
    <x v="2"/>
    <n v="323.02"/>
    <n v="234.61"/>
    <n v="9"/>
    <n v="2907.18"/>
    <n v="2111.4900000000002"/>
    <n v="795.6899999999996"/>
    <n v="0.27369822302024632"/>
    <x v="23"/>
  </r>
  <r>
    <d v="2023-02-03T00:00:00"/>
    <x v="1"/>
    <x v="1"/>
    <x v="2"/>
    <n v="876.13"/>
    <n v="605.9"/>
    <n v="8"/>
    <n v="7009.04"/>
    <n v="4847.2"/>
    <n v="2161.84"/>
    <n v="0.30843596269959939"/>
    <x v="27"/>
  </r>
  <r>
    <d v="2024-07-12T00:00:00"/>
    <x v="7"/>
    <x v="0"/>
    <x v="0"/>
    <n v="1744.8"/>
    <n v="1545.04"/>
    <n v="7"/>
    <n v="12213.6"/>
    <n v="10815.279999999999"/>
    <n v="1398.3200000000015"/>
    <n v="0.11448876662081627"/>
    <x v="28"/>
  </r>
  <r>
    <d v="2023-09-29T00:00:00"/>
    <x v="8"/>
    <x v="1"/>
    <x v="1"/>
    <n v="1077.5999999999999"/>
    <n v="839.05"/>
    <n v="9"/>
    <n v="9698.4"/>
    <n v="7551.45"/>
    <n v="2146.9499999999998"/>
    <n v="0.22137156644394951"/>
    <x v="24"/>
  </r>
  <r>
    <d v="2023-12-18T00:00:00"/>
    <x v="3"/>
    <x v="2"/>
    <x v="3"/>
    <n v="1929.83"/>
    <n v="1059.17"/>
    <n v="7"/>
    <n v="13508.81"/>
    <n v="7414.1900000000005"/>
    <n v="6094.619999999999"/>
    <n v="0.45115891037034345"/>
    <x v="30"/>
  </r>
  <r>
    <d v="2022-02-26T00:00:00"/>
    <x v="9"/>
    <x v="3"/>
    <x v="0"/>
    <n v="545.80999999999995"/>
    <n v="424.85"/>
    <n v="2"/>
    <n v="1091.6199999999999"/>
    <n v="849.7"/>
    <n v="241.91999999999985"/>
    <n v="0.22161558051336533"/>
    <x v="20"/>
  </r>
  <r>
    <d v="2022-02-28T00:00:00"/>
    <x v="7"/>
    <x v="0"/>
    <x v="1"/>
    <n v="1597.06"/>
    <n v="1066.47"/>
    <n v="6"/>
    <n v="9582.36"/>
    <n v="6398.82"/>
    <n v="3183.5400000000009"/>
    <n v="0.33222922119394394"/>
    <x v="20"/>
  </r>
  <r>
    <d v="2024-12-26T00:00:00"/>
    <x v="2"/>
    <x v="0"/>
    <x v="3"/>
    <n v="1903.59"/>
    <n v="1375"/>
    <n v="7"/>
    <n v="13325.13"/>
    <n v="9625"/>
    <n v="3700.1299999999992"/>
    <n v="0.27768059298483388"/>
    <x v="23"/>
  </r>
  <r>
    <d v="2022-03-27T00:00:00"/>
    <x v="10"/>
    <x v="2"/>
    <x v="2"/>
    <n v="813.29"/>
    <n v="566.61"/>
    <n v="5"/>
    <n v="4066.45"/>
    <n v="2833.05"/>
    <n v="1233.3999999999996"/>
    <n v="0.30331124199240117"/>
    <x v="7"/>
  </r>
  <r>
    <d v="2024-06-19T00:00:00"/>
    <x v="7"/>
    <x v="0"/>
    <x v="2"/>
    <n v="788.33"/>
    <n v="660.03"/>
    <n v="4"/>
    <n v="3153.32"/>
    <n v="2640.12"/>
    <n v="513.20000000000027"/>
    <n v="0.16274910253320318"/>
    <x v="4"/>
  </r>
  <r>
    <d v="2022-11-24T00:00:00"/>
    <x v="6"/>
    <x v="3"/>
    <x v="1"/>
    <n v="552.01"/>
    <n v="401.41"/>
    <n v="3"/>
    <n v="1656.03"/>
    <n v="1204.23"/>
    <n v="451.79999999999995"/>
    <n v="0.27282114454448286"/>
    <x v="1"/>
  </r>
  <r>
    <d v="2023-11-21T00:00:00"/>
    <x v="7"/>
    <x v="0"/>
    <x v="2"/>
    <n v="288.73"/>
    <n v="173.81"/>
    <n v="6"/>
    <n v="1732.38"/>
    <n v="1042.8600000000001"/>
    <n v="689.52"/>
    <n v="0.39801891040072035"/>
    <x v="10"/>
  </r>
  <r>
    <d v="2024-03-06T00:00:00"/>
    <x v="1"/>
    <x v="1"/>
    <x v="2"/>
    <n v="1157.82"/>
    <n v="761.72"/>
    <n v="6"/>
    <n v="6946.92"/>
    <n v="4570.32"/>
    <n v="2376.6000000000004"/>
    <n v="0.34210844518146177"/>
    <x v="29"/>
  </r>
  <r>
    <d v="2023-10-12T00:00:00"/>
    <x v="2"/>
    <x v="0"/>
    <x v="0"/>
    <n v="1423.46"/>
    <n v="955.46"/>
    <n v="10"/>
    <n v="14234.6"/>
    <n v="9554.6"/>
    <n v="4680"/>
    <n v="0.32877636182260128"/>
    <x v="5"/>
  </r>
  <r>
    <d v="2024-02-25T00:00:00"/>
    <x v="4"/>
    <x v="2"/>
    <x v="1"/>
    <n v="339.03"/>
    <n v="229.1"/>
    <n v="9"/>
    <n v="3051.2699999999995"/>
    <n v="2061.9"/>
    <n v="989.36999999999944"/>
    <n v="0.32424859157006741"/>
    <x v="34"/>
  </r>
  <r>
    <d v="2022-08-29T00:00:00"/>
    <x v="6"/>
    <x v="3"/>
    <x v="2"/>
    <n v="1596.54"/>
    <n v="1179.71"/>
    <n v="8"/>
    <n v="12772.32"/>
    <n v="9437.68"/>
    <n v="3334.6399999999994"/>
    <n v="0.26108334272865069"/>
    <x v="15"/>
  </r>
  <r>
    <d v="2023-08-22T00:00:00"/>
    <x v="9"/>
    <x v="3"/>
    <x v="2"/>
    <n v="1672.34"/>
    <n v="1476.13"/>
    <n v="3"/>
    <n v="5017.0199999999995"/>
    <n v="4428.3900000000003"/>
    <n v="588.6299999999992"/>
    <n v="0.11732662018489048"/>
    <x v="14"/>
  </r>
  <r>
    <d v="2023-05-01T00:00:00"/>
    <x v="4"/>
    <x v="2"/>
    <x v="0"/>
    <n v="162.26"/>
    <n v="127.93"/>
    <n v="9"/>
    <n v="1460.34"/>
    <n v="1151.3700000000001"/>
    <n v="308.9699999999998"/>
    <n v="0.21157401700973733"/>
    <x v="31"/>
  </r>
  <r>
    <d v="2024-01-06T00:00:00"/>
    <x v="7"/>
    <x v="0"/>
    <x v="2"/>
    <n v="646.45000000000005"/>
    <n v="406.13"/>
    <n v="4"/>
    <n v="2585.8000000000002"/>
    <n v="1624.52"/>
    <n v="961.2800000000002"/>
    <n v="0.37175342253847943"/>
    <x v="26"/>
  </r>
  <r>
    <d v="2023-02-25T00:00:00"/>
    <x v="0"/>
    <x v="0"/>
    <x v="1"/>
    <n v="166.1"/>
    <n v="92.38"/>
    <n v="6"/>
    <n v="996.59999999999991"/>
    <n v="554.28"/>
    <n v="442.31999999999994"/>
    <n v="0.4438290186634557"/>
    <x v="27"/>
  </r>
  <r>
    <d v="2024-09-01T00:00:00"/>
    <x v="1"/>
    <x v="1"/>
    <x v="0"/>
    <n v="255.13"/>
    <n v="183.57"/>
    <n v="8"/>
    <n v="2041.04"/>
    <n v="1468.56"/>
    <n v="572.48"/>
    <n v="0.2804844589033042"/>
    <x v="16"/>
  </r>
  <r>
    <d v="2024-06-18T00:00:00"/>
    <x v="0"/>
    <x v="0"/>
    <x v="0"/>
    <n v="979.61"/>
    <n v="709.29"/>
    <n v="7"/>
    <n v="6857.27"/>
    <n v="4965.03"/>
    <n v="1892.2400000000007"/>
    <n v="0.27594655015771591"/>
    <x v="4"/>
  </r>
  <r>
    <d v="2023-10-11T00:00:00"/>
    <x v="9"/>
    <x v="3"/>
    <x v="1"/>
    <n v="328.45"/>
    <n v="180.09"/>
    <n v="7"/>
    <n v="2299.15"/>
    <n v="1260.6300000000001"/>
    <n v="1038.52"/>
    <n v="0.45169736641802405"/>
    <x v="5"/>
  </r>
  <r>
    <d v="2023-07-12T00:00:00"/>
    <x v="8"/>
    <x v="1"/>
    <x v="0"/>
    <n v="89.74"/>
    <n v="66.61"/>
    <n v="4"/>
    <n v="358.96"/>
    <n v="266.44"/>
    <n v="92.519999999999982"/>
    <n v="0.25774459549810558"/>
    <x v="11"/>
  </r>
  <r>
    <d v="2023-12-26T00:00:00"/>
    <x v="2"/>
    <x v="0"/>
    <x v="1"/>
    <n v="1042.8"/>
    <n v="602.79"/>
    <n v="6"/>
    <n v="6256.7999999999993"/>
    <n v="3616.74"/>
    <n v="2640.0599999999995"/>
    <n v="0.42195051783659376"/>
    <x v="30"/>
  </r>
  <r>
    <d v="2023-03-22T00:00:00"/>
    <x v="8"/>
    <x v="1"/>
    <x v="0"/>
    <n v="1434.89"/>
    <n v="967.8"/>
    <n v="1"/>
    <n v="1434.89"/>
    <n v="967.8"/>
    <n v="467.09000000000015"/>
    <n v="0.32552321083846159"/>
    <x v="19"/>
  </r>
  <r>
    <d v="2022-03-05T00:00:00"/>
    <x v="2"/>
    <x v="0"/>
    <x v="2"/>
    <n v="1681.11"/>
    <n v="1032.73"/>
    <n v="8"/>
    <n v="13448.88"/>
    <n v="8261.84"/>
    <n v="5187.0399999999991"/>
    <n v="0.38568564817293333"/>
    <x v="7"/>
  </r>
  <r>
    <d v="2023-05-14T00:00:00"/>
    <x v="4"/>
    <x v="2"/>
    <x v="0"/>
    <n v="1045.03"/>
    <n v="730.79"/>
    <n v="7"/>
    <n v="7315.21"/>
    <n v="5115.53"/>
    <n v="2199.6800000000003"/>
    <n v="0.30069950144971919"/>
    <x v="31"/>
  </r>
  <r>
    <d v="2024-12-10T00:00:00"/>
    <x v="6"/>
    <x v="3"/>
    <x v="2"/>
    <n v="1597.81"/>
    <n v="916"/>
    <n v="2"/>
    <n v="3195.62"/>
    <n v="1832"/>
    <n v="1363.62"/>
    <n v="0.42671531658958195"/>
    <x v="23"/>
  </r>
  <r>
    <d v="2024-01-31T00:00:00"/>
    <x v="10"/>
    <x v="2"/>
    <x v="3"/>
    <n v="1931.59"/>
    <n v="1539.6"/>
    <n v="10"/>
    <n v="19315.899999999998"/>
    <n v="15396"/>
    <n v="3919.8999999999978"/>
    <n v="0.20293644096314425"/>
    <x v="26"/>
  </r>
  <r>
    <d v="2024-02-23T00:00:00"/>
    <x v="10"/>
    <x v="2"/>
    <x v="2"/>
    <n v="729.93"/>
    <n v="582.66999999999996"/>
    <n v="9"/>
    <n v="6569.37"/>
    <n v="5244.03"/>
    <n v="1325.3400000000001"/>
    <n v="0.20174537284397137"/>
    <x v="34"/>
  </r>
  <r>
    <d v="2024-11-19T00:00:00"/>
    <x v="8"/>
    <x v="1"/>
    <x v="1"/>
    <n v="71.19"/>
    <n v="41.79"/>
    <n v="1"/>
    <n v="71.19"/>
    <n v="41.79"/>
    <n v="29.4"/>
    <n v="0.41297935103244837"/>
    <x v="2"/>
  </r>
  <r>
    <d v="2024-08-15T00:00:00"/>
    <x v="10"/>
    <x v="2"/>
    <x v="3"/>
    <n v="1177.77"/>
    <n v="1025.54"/>
    <n v="5"/>
    <n v="5888.85"/>
    <n v="5127.7"/>
    <n v="761.15000000000055"/>
    <n v="0.12925274034828541"/>
    <x v="21"/>
  </r>
  <r>
    <d v="2023-09-26T00:00:00"/>
    <x v="3"/>
    <x v="2"/>
    <x v="0"/>
    <n v="277.68"/>
    <n v="203.53"/>
    <n v="6"/>
    <n v="1666.08"/>
    <n v="1221.18"/>
    <n v="444.89999999999986"/>
    <n v="0.26703399596658017"/>
    <x v="24"/>
  </r>
  <r>
    <d v="2024-07-30T00:00:00"/>
    <x v="10"/>
    <x v="2"/>
    <x v="3"/>
    <n v="1106.8499999999999"/>
    <n v="969.85"/>
    <n v="5"/>
    <n v="5534.25"/>
    <n v="4849.25"/>
    <n v="685"/>
    <n v="0.1237746758820075"/>
    <x v="28"/>
  </r>
  <r>
    <d v="2023-12-24T00:00:00"/>
    <x v="4"/>
    <x v="2"/>
    <x v="2"/>
    <n v="1873.67"/>
    <n v="1213.8599999999999"/>
    <n v="7"/>
    <n v="13115.69"/>
    <n v="8497.0199999999986"/>
    <n v="4618.6700000000019"/>
    <n v="0.35214845730571565"/>
    <x v="30"/>
  </r>
  <r>
    <d v="2022-07-29T00:00:00"/>
    <x v="1"/>
    <x v="1"/>
    <x v="1"/>
    <n v="1410.94"/>
    <n v="1143.8699999999999"/>
    <n v="1"/>
    <n v="1410.94"/>
    <n v="1143.8699999999999"/>
    <n v="267.07000000000016"/>
    <n v="0.18928515741278876"/>
    <x v="8"/>
  </r>
  <r>
    <d v="2022-04-18T00:00:00"/>
    <x v="7"/>
    <x v="0"/>
    <x v="0"/>
    <n v="1496.81"/>
    <n v="844.19"/>
    <n v="5"/>
    <n v="7484.0499999999993"/>
    <n v="4220.9500000000007"/>
    <n v="3263.0999999999985"/>
    <n v="0.43600724206813141"/>
    <x v="32"/>
  </r>
  <r>
    <d v="2024-09-28T00:00:00"/>
    <x v="2"/>
    <x v="0"/>
    <x v="1"/>
    <n v="1927.82"/>
    <n v="1417.71"/>
    <n v="7"/>
    <n v="13494.74"/>
    <n v="9923.9700000000012"/>
    <n v="3570.7699999999986"/>
    <n v="0.26460457926569897"/>
    <x v="16"/>
  </r>
  <r>
    <d v="2023-12-21T00:00:00"/>
    <x v="6"/>
    <x v="3"/>
    <x v="1"/>
    <n v="1465.89"/>
    <n v="828.56"/>
    <n v="8"/>
    <n v="11727.12"/>
    <n v="6628.48"/>
    <n v="5098.6400000000012"/>
    <n v="0.43477341410337755"/>
    <x v="30"/>
  </r>
  <r>
    <d v="2024-03-11T00:00:00"/>
    <x v="5"/>
    <x v="3"/>
    <x v="1"/>
    <n v="1580.72"/>
    <n v="1003.68"/>
    <n v="5"/>
    <n v="7903.6"/>
    <n v="5018.3999999999996"/>
    <n v="2885.2000000000007"/>
    <n v="0.36504883850397296"/>
    <x v="29"/>
  </r>
  <r>
    <d v="2022-08-21T00:00:00"/>
    <x v="6"/>
    <x v="3"/>
    <x v="0"/>
    <n v="391.55"/>
    <n v="207.8"/>
    <n v="1"/>
    <n v="391.55"/>
    <n v="207.8"/>
    <n v="183.75"/>
    <n v="0.46928872430085555"/>
    <x v="15"/>
  </r>
  <r>
    <d v="2024-08-13T00:00:00"/>
    <x v="2"/>
    <x v="0"/>
    <x v="0"/>
    <n v="1563.09"/>
    <n v="833.93"/>
    <n v="2"/>
    <n v="3126.18"/>
    <n v="1667.86"/>
    <n v="1458.32"/>
    <n v="0.46648625479019123"/>
    <x v="21"/>
  </r>
  <r>
    <d v="2023-07-26T00:00:00"/>
    <x v="2"/>
    <x v="0"/>
    <x v="2"/>
    <n v="519.54"/>
    <n v="324.77999999999997"/>
    <n v="6"/>
    <n v="3117.24"/>
    <n v="1948.6799999999998"/>
    <n v="1168.56"/>
    <n v="0.37487007737614042"/>
    <x v="11"/>
  </r>
  <r>
    <d v="2022-02-23T00:00:00"/>
    <x v="9"/>
    <x v="3"/>
    <x v="2"/>
    <n v="1314.17"/>
    <n v="725.61"/>
    <n v="10"/>
    <n v="13141.7"/>
    <n v="7256.1"/>
    <n v="5885.6"/>
    <n v="0.44785682217673511"/>
    <x v="20"/>
  </r>
  <r>
    <d v="2023-10-29T00:00:00"/>
    <x v="8"/>
    <x v="1"/>
    <x v="0"/>
    <n v="455.78"/>
    <n v="242.29"/>
    <n v="10"/>
    <n v="4557.7999999999993"/>
    <n v="2422.9"/>
    <n v="2134.8999999999992"/>
    <n v="0.46840580982052732"/>
    <x v="5"/>
  </r>
  <r>
    <d v="2023-11-16T00:00:00"/>
    <x v="1"/>
    <x v="1"/>
    <x v="1"/>
    <n v="279.73"/>
    <n v="230.98"/>
    <n v="1"/>
    <n v="279.73"/>
    <n v="230.98"/>
    <n v="48.750000000000028"/>
    <n v="0.17427519393701077"/>
    <x v="10"/>
  </r>
  <r>
    <d v="2022-03-21T00:00:00"/>
    <x v="1"/>
    <x v="1"/>
    <x v="3"/>
    <n v="135.49"/>
    <n v="92.01"/>
    <n v="1"/>
    <n v="135.49"/>
    <n v="92.01"/>
    <n v="43.480000000000004"/>
    <n v="0.32090929219868625"/>
    <x v="7"/>
  </r>
  <r>
    <d v="2024-09-22T00:00:00"/>
    <x v="3"/>
    <x v="2"/>
    <x v="0"/>
    <n v="559.36"/>
    <n v="432.84"/>
    <n v="3"/>
    <n v="1678.08"/>
    <n v="1298.52"/>
    <n v="379.55999999999995"/>
    <n v="0.22618707093821508"/>
    <x v="16"/>
  </r>
  <r>
    <d v="2022-05-06T00:00:00"/>
    <x v="6"/>
    <x v="3"/>
    <x v="2"/>
    <n v="42.93"/>
    <n v="31.96"/>
    <n v="7"/>
    <n v="300.51"/>
    <n v="223.72"/>
    <n v="76.789999999999992"/>
    <n v="0.25553226182156996"/>
    <x v="35"/>
  </r>
  <r>
    <d v="2022-01-15T00:00:00"/>
    <x v="10"/>
    <x v="2"/>
    <x v="3"/>
    <n v="1575.27"/>
    <n v="1404.39"/>
    <n v="5"/>
    <n v="7876.35"/>
    <n v="7021.9500000000007"/>
    <n v="854.39999999999964"/>
    <n v="0.10847664209944957"/>
    <x v="9"/>
  </r>
  <r>
    <d v="2022-11-07T00:00:00"/>
    <x v="4"/>
    <x v="2"/>
    <x v="3"/>
    <n v="1809.05"/>
    <n v="1127.3599999999999"/>
    <n v="7"/>
    <n v="12663.35"/>
    <n v="7891.5199999999995"/>
    <n v="4771.8300000000008"/>
    <n v="0.37682208894170977"/>
    <x v="1"/>
  </r>
  <r>
    <d v="2022-06-03T00:00:00"/>
    <x v="9"/>
    <x v="3"/>
    <x v="0"/>
    <n v="1699.28"/>
    <n v="1520.23"/>
    <n v="7"/>
    <n v="11894.96"/>
    <n v="10641.61"/>
    <n v="1253.3499999999985"/>
    <n v="0.10536815592486218"/>
    <x v="18"/>
  </r>
  <r>
    <d v="2024-08-12T00:00:00"/>
    <x v="2"/>
    <x v="0"/>
    <x v="0"/>
    <n v="1681.16"/>
    <n v="1093.53"/>
    <n v="10"/>
    <n v="16811.600000000002"/>
    <n v="10935.3"/>
    <n v="5876.3000000000029"/>
    <n v="0.3495384139522712"/>
    <x v="21"/>
  </r>
  <r>
    <d v="2023-11-27T00:00:00"/>
    <x v="0"/>
    <x v="0"/>
    <x v="1"/>
    <n v="770.82"/>
    <n v="529.65"/>
    <n v="3"/>
    <n v="2312.46"/>
    <n v="1588.9499999999998"/>
    <n v="723.51000000000022"/>
    <n v="0.31287460107418086"/>
    <x v="10"/>
  </r>
  <r>
    <d v="2022-02-05T00:00:00"/>
    <x v="7"/>
    <x v="0"/>
    <x v="3"/>
    <n v="1338.08"/>
    <n v="1042.48"/>
    <n v="6"/>
    <n v="8028.48"/>
    <n v="6254.88"/>
    <n v="1773.5999999999995"/>
    <n v="0.22091354776993896"/>
    <x v="20"/>
  </r>
  <r>
    <d v="2024-10-30T00:00:00"/>
    <x v="0"/>
    <x v="0"/>
    <x v="1"/>
    <n v="1011.63"/>
    <n v="834.02"/>
    <n v="7"/>
    <n v="7081.41"/>
    <n v="5838.1399999999994"/>
    <n v="1243.2700000000004"/>
    <n v="0.17556814250269373"/>
    <x v="17"/>
  </r>
  <r>
    <d v="2023-01-20T00:00:00"/>
    <x v="2"/>
    <x v="0"/>
    <x v="0"/>
    <n v="1234.97"/>
    <n v="649.52"/>
    <n v="6"/>
    <n v="7409.82"/>
    <n v="3897.12"/>
    <n v="3512.7"/>
    <n v="0.47406009862587756"/>
    <x v="13"/>
  </r>
  <r>
    <d v="2022-10-25T00:00:00"/>
    <x v="5"/>
    <x v="3"/>
    <x v="2"/>
    <n v="174.72"/>
    <n v="154.72"/>
    <n v="8"/>
    <n v="1397.76"/>
    <n v="1237.76"/>
    <n v="160"/>
    <n v="0.11446886446886446"/>
    <x v="25"/>
  </r>
  <r>
    <d v="2023-05-05T00:00:00"/>
    <x v="7"/>
    <x v="0"/>
    <x v="1"/>
    <n v="1536.68"/>
    <n v="1221.49"/>
    <n v="1"/>
    <n v="1536.68"/>
    <n v="1221.49"/>
    <n v="315.19000000000005"/>
    <n v="0.20511101855949193"/>
    <x v="31"/>
  </r>
  <r>
    <d v="2023-06-28T00:00:00"/>
    <x v="0"/>
    <x v="0"/>
    <x v="1"/>
    <n v="319.13"/>
    <n v="190.9"/>
    <n v="8"/>
    <n v="2553.04"/>
    <n v="1527.2"/>
    <n v="1025.8399999999999"/>
    <n v="0.40181117412966499"/>
    <x v="0"/>
  </r>
  <r>
    <d v="2022-02-28T00:00:00"/>
    <x v="2"/>
    <x v="0"/>
    <x v="3"/>
    <n v="1032.32"/>
    <n v="874.31"/>
    <n v="1"/>
    <n v="1032.32"/>
    <n v="874.31"/>
    <n v="158.01"/>
    <n v="0.15306300371977682"/>
    <x v="20"/>
  </r>
  <r>
    <d v="2022-10-16T00:00:00"/>
    <x v="2"/>
    <x v="0"/>
    <x v="1"/>
    <n v="1872.86"/>
    <n v="1173.1300000000001"/>
    <n v="5"/>
    <n v="9364.2999999999993"/>
    <n v="5865.6500000000005"/>
    <n v="3498.6499999999987"/>
    <n v="0.37361575344660031"/>
    <x v="25"/>
  </r>
  <r>
    <d v="2024-05-30T00:00:00"/>
    <x v="1"/>
    <x v="1"/>
    <x v="2"/>
    <n v="1124"/>
    <n v="817.62"/>
    <n v="2"/>
    <n v="2248"/>
    <n v="1635.24"/>
    <n v="612.76"/>
    <n v="0.27258007117437721"/>
    <x v="3"/>
  </r>
  <r>
    <d v="2024-11-10T00:00:00"/>
    <x v="4"/>
    <x v="2"/>
    <x v="2"/>
    <n v="514.98"/>
    <n v="412.86"/>
    <n v="2"/>
    <n v="1029.96"/>
    <n v="825.72"/>
    <n v="204.24"/>
    <n v="0.19829896306652686"/>
    <x v="2"/>
  </r>
  <r>
    <d v="2023-06-19T00:00:00"/>
    <x v="1"/>
    <x v="1"/>
    <x v="0"/>
    <n v="209.45"/>
    <n v="106.58"/>
    <n v="10"/>
    <n v="2094.5"/>
    <n v="1065.8"/>
    <n v="1028.7"/>
    <n v="0.49114347099546435"/>
    <x v="0"/>
  </r>
  <r>
    <d v="2023-05-07T00:00:00"/>
    <x v="1"/>
    <x v="1"/>
    <x v="3"/>
    <n v="1627.86"/>
    <n v="1391.09"/>
    <n v="8"/>
    <n v="13022.88"/>
    <n v="11128.72"/>
    <n v="1894.1599999999999"/>
    <n v="0.14544862580320175"/>
    <x v="31"/>
  </r>
  <r>
    <d v="2024-12-28T00:00:00"/>
    <x v="4"/>
    <x v="2"/>
    <x v="3"/>
    <n v="969.09"/>
    <n v="595.94000000000005"/>
    <n v="2"/>
    <n v="1938.18"/>
    <n v="1191.8800000000001"/>
    <n v="746.3"/>
    <n v="0.38505195595868286"/>
    <x v="23"/>
  </r>
  <r>
    <d v="2022-07-24T00:00:00"/>
    <x v="10"/>
    <x v="2"/>
    <x v="1"/>
    <n v="530.32000000000005"/>
    <n v="468.94"/>
    <n v="8"/>
    <n v="4242.5600000000004"/>
    <n v="3751.52"/>
    <n v="491.04000000000042"/>
    <n v="0.11574143913109075"/>
    <x v="8"/>
  </r>
  <r>
    <d v="2023-05-28T00:00:00"/>
    <x v="8"/>
    <x v="1"/>
    <x v="2"/>
    <n v="869.13"/>
    <n v="775.91"/>
    <n v="2"/>
    <n v="1738.26"/>
    <n v="1551.82"/>
    <n v="186.44000000000005"/>
    <n v="0.10725668196932568"/>
    <x v="31"/>
  </r>
  <r>
    <d v="2023-10-21T00:00:00"/>
    <x v="6"/>
    <x v="3"/>
    <x v="3"/>
    <n v="1535.71"/>
    <n v="940.47"/>
    <n v="7"/>
    <n v="10749.970000000001"/>
    <n v="6583.29"/>
    <n v="4166.6800000000012"/>
    <n v="0.38759922120712903"/>
    <x v="5"/>
  </r>
  <r>
    <d v="2024-08-04T00:00:00"/>
    <x v="6"/>
    <x v="3"/>
    <x v="1"/>
    <n v="1542.32"/>
    <n v="1059.51"/>
    <n v="9"/>
    <n v="13880.88"/>
    <n v="9535.59"/>
    <n v="4345.2899999999991"/>
    <n v="0.31304139218839144"/>
    <x v="21"/>
  </r>
  <r>
    <d v="2022-05-08T00:00:00"/>
    <x v="10"/>
    <x v="2"/>
    <x v="0"/>
    <n v="143.66"/>
    <n v="128.86000000000001"/>
    <n v="3"/>
    <n v="430.98"/>
    <n v="386.58000000000004"/>
    <n v="44.399999999999977"/>
    <n v="0.10302102185716269"/>
    <x v="35"/>
  </r>
  <r>
    <d v="2023-08-01T00:00:00"/>
    <x v="10"/>
    <x v="2"/>
    <x v="1"/>
    <n v="1187.04"/>
    <n v="921.67"/>
    <n v="2"/>
    <n v="2374.08"/>
    <n v="1843.34"/>
    <n v="530.74"/>
    <n v="0.22355607224693355"/>
    <x v="14"/>
  </r>
  <r>
    <d v="2024-01-01T00:00:00"/>
    <x v="10"/>
    <x v="2"/>
    <x v="0"/>
    <n v="605.57000000000005"/>
    <n v="445.33"/>
    <n v="2"/>
    <n v="1211.1400000000001"/>
    <n v="890.66"/>
    <n v="320.48000000000013"/>
    <n v="0.2646102019584855"/>
    <x v="26"/>
  </r>
  <r>
    <d v="2023-02-19T00:00:00"/>
    <x v="7"/>
    <x v="0"/>
    <x v="2"/>
    <n v="300.22000000000003"/>
    <n v="238.42"/>
    <n v="7"/>
    <n v="2101.54"/>
    <n v="1668.9399999999998"/>
    <n v="432.60000000000014"/>
    <n v="0.20584904403437487"/>
    <x v="27"/>
  </r>
  <r>
    <d v="2024-07-23T00:00:00"/>
    <x v="2"/>
    <x v="0"/>
    <x v="3"/>
    <n v="1198.33"/>
    <n v="734.6"/>
    <n v="9"/>
    <n v="10784.97"/>
    <n v="6611.4000000000005"/>
    <n v="4173.5699999999988"/>
    <n v="0.38698021413133266"/>
    <x v="28"/>
  </r>
  <r>
    <d v="2024-05-14T00:00:00"/>
    <x v="0"/>
    <x v="0"/>
    <x v="1"/>
    <n v="106.14"/>
    <n v="77.03"/>
    <n v="7"/>
    <n v="742.98"/>
    <n v="539.21"/>
    <n v="203.76999999999998"/>
    <n v="0.27426041077821744"/>
    <x v="3"/>
  </r>
  <r>
    <d v="2024-04-27T00:00:00"/>
    <x v="5"/>
    <x v="3"/>
    <x v="2"/>
    <n v="1025.8800000000001"/>
    <n v="582.61"/>
    <n v="10"/>
    <n v="10258.800000000001"/>
    <n v="5826.1"/>
    <n v="4432.7000000000007"/>
    <n v="0.43208757359535233"/>
    <x v="22"/>
  </r>
  <r>
    <d v="2024-11-28T00:00:00"/>
    <x v="7"/>
    <x v="0"/>
    <x v="3"/>
    <n v="1637.9"/>
    <n v="1232.8399999999999"/>
    <n v="8"/>
    <n v="13103.2"/>
    <n v="9862.7199999999993"/>
    <n v="3240.4800000000014"/>
    <n v="0.24730447524268889"/>
    <x v="2"/>
  </r>
  <r>
    <d v="2022-12-23T00:00:00"/>
    <x v="7"/>
    <x v="0"/>
    <x v="1"/>
    <n v="690.4"/>
    <n v="534.08000000000004"/>
    <n v="5"/>
    <n v="3452"/>
    <n v="2670.4"/>
    <n v="781.59999999999991"/>
    <n v="0.22641946697566626"/>
    <x v="33"/>
  </r>
  <r>
    <d v="2024-08-08T00:00:00"/>
    <x v="4"/>
    <x v="2"/>
    <x v="0"/>
    <n v="514"/>
    <n v="361.46"/>
    <n v="9"/>
    <n v="4626"/>
    <n v="3253.14"/>
    <n v="1372.8600000000001"/>
    <n v="0.29677042801556425"/>
    <x v="21"/>
  </r>
  <r>
    <d v="2023-02-01T00:00:00"/>
    <x v="3"/>
    <x v="2"/>
    <x v="0"/>
    <n v="900.92"/>
    <n v="545.16999999999996"/>
    <n v="2"/>
    <n v="1801.84"/>
    <n v="1090.3399999999999"/>
    <n v="711.5"/>
    <n v="0.39487412866847227"/>
    <x v="27"/>
  </r>
  <r>
    <d v="2022-08-31T00:00:00"/>
    <x v="4"/>
    <x v="2"/>
    <x v="3"/>
    <n v="878.85"/>
    <n v="588.26"/>
    <n v="3"/>
    <n v="2636.55"/>
    <n v="1764.78"/>
    <n v="871.77000000000021"/>
    <n v="0.3306480059168232"/>
    <x v="15"/>
  </r>
  <r>
    <d v="2024-08-28T00:00:00"/>
    <x v="3"/>
    <x v="2"/>
    <x v="1"/>
    <n v="1528.01"/>
    <n v="1230.77"/>
    <n v="4"/>
    <n v="6112.04"/>
    <n v="4923.08"/>
    <n v="1188.96"/>
    <n v="0.19452752272563661"/>
    <x v="21"/>
  </r>
  <r>
    <d v="2023-05-03T00:00:00"/>
    <x v="9"/>
    <x v="3"/>
    <x v="3"/>
    <n v="772.76"/>
    <n v="406.56"/>
    <n v="2"/>
    <n v="1545.52"/>
    <n v="813.12"/>
    <n v="732.4"/>
    <n v="0.4738858118950256"/>
    <x v="31"/>
  </r>
  <r>
    <d v="2024-12-28T00:00:00"/>
    <x v="7"/>
    <x v="0"/>
    <x v="1"/>
    <n v="1691.08"/>
    <n v="1405.62"/>
    <n v="10"/>
    <n v="16910.8"/>
    <n v="14056.199999999999"/>
    <n v="2854.6000000000004"/>
    <n v="0.16880336826170261"/>
    <x v="23"/>
  </r>
  <r>
    <d v="2023-03-25T00:00:00"/>
    <x v="5"/>
    <x v="3"/>
    <x v="1"/>
    <n v="393.99"/>
    <n v="288.98"/>
    <n v="8"/>
    <n v="3151.92"/>
    <n v="2311.84"/>
    <n v="840.07999999999993"/>
    <n v="0.26652960735044035"/>
    <x v="19"/>
  </r>
  <r>
    <d v="2024-12-06T00:00:00"/>
    <x v="9"/>
    <x v="3"/>
    <x v="3"/>
    <n v="792.67"/>
    <n v="600.21"/>
    <n v="8"/>
    <n v="6341.36"/>
    <n v="4801.68"/>
    <n v="1539.6799999999994"/>
    <n v="0.24279965180970636"/>
    <x v="23"/>
  </r>
  <r>
    <d v="2023-03-28T00:00:00"/>
    <x v="0"/>
    <x v="0"/>
    <x v="2"/>
    <n v="668.52"/>
    <n v="360.37"/>
    <n v="4"/>
    <n v="2674.08"/>
    <n v="1441.48"/>
    <n v="1232.5999999999999"/>
    <n v="0.46094357685633935"/>
    <x v="19"/>
  </r>
  <r>
    <d v="2023-11-04T00:00:00"/>
    <x v="10"/>
    <x v="2"/>
    <x v="2"/>
    <n v="566.20000000000005"/>
    <n v="437.17"/>
    <n v="1"/>
    <n v="566.20000000000005"/>
    <n v="437.17"/>
    <n v="129.03000000000003"/>
    <n v="0.22788767220063585"/>
    <x v="10"/>
  </r>
  <r>
    <d v="2022-03-29T00:00:00"/>
    <x v="6"/>
    <x v="3"/>
    <x v="2"/>
    <n v="587.54999999999995"/>
    <n v="449.85"/>
    <n v="6"/>
    <n v="3525.2999999999997"/>
    <n v="2699.1000000000004"/>
    <n v="826.19999999999936"/>
    <n v="0.23436303293336722"/>
    <x v="7"/>
  </r>
  <r>
    <d v="2022-09-07T00:00:00"/>
    <x v="5"/>
    <x v="3"/>
    <x v="0"/>
    <n v="1511.17"/>
    <n v="1279.58"/>
    <n v="7"/>
    <n v="10578.19"/>
    <n v="8957.06"/>
    <n v="1621.130000000001"/>
    <n v="0.15325211591018889"/>
    <x v="12"/>
  </r>
  <r>
    <d v="2023-06-19T00:00:00"/>
    <x v="1"/>
    <x v="1"/>
    <x v="1"/>
    <n v="1439.62"/>
    <n v="878.69"/>
    <n v="3"/>
    <n v="4318.8599999999997"/>
    <n v="2636.07"/>
    <n v="1682.7899999999995"/>
    <n v="0.38963754324057731"/>
    <x v="0"/>
  </r>
  <r>
    <d v="2023-07-28T00:00:00"/>
    <x v="3"/>
    <x v="2"/>
    <x v="2"/>
    <n v="1939.42"/>
    <n v="1396.01"/>
    <n v="5"/>
    <n v="9697.1"/>
    <n v="6980.05"/>
    <n v="2717.05"/>
    <n v="0.28019201616978273"/>
    <x v="11"/>
  </r>
  <r>
    <d v="2023-04-08T00:00:00"/>
    <x v="3"/>
    <x v="2"/>
    <x v="2"/>
    <n v="1464.09"/>
    <n v="1157.29"/>
    <n v="8"/>
    <n v="11712.72"/>
    <n v="9258.32"/>
    <n v="2454.3999999999996"/>
    <n v="0.20954995936042181"/>
    <x v="6"/>
  </r>
  <r>
    <d v="2023-02-26T00:00:00"/>
    <x v="7"/>
    <x v="0"/>
    <x v="0"/>
    <n v="158.72"/>
    <n v="133.03"/>
    <n v="7"/>
    <n v="1111.04"/>
    <n v="931.21"/>
    <n v="179.82999999999993"/>
    <n v="0.16185735887096769"/>
    <x v="27"/>
  </r>
  <r>
    <d v="2024-01-27T00:00:00"/>
    <x v="1"/>
    <x v="1"/>
    <x v="2"/>
    <n v="1525.13"/>
    <n v="989.68"/>
    <n v="9"/>
    <n v="13726.170000000002"/>
    <n v="8907.119999999999"/>
    <n v="4819.0500000000029"/>
    <n v="0.35108482555585441"/>
    <x v="26"/>
  </r>
  <r>
    <d v="2023-08-09T00:00:00"/>
    <x v="5"/>
    <x v="3"/>
    <x v="3"/>
    <n v="641.1"/>
    <n v="536.84"/>
    <n v="9"/>
    <n v="5769.9000000000005"/>
    <n v="4831.5600000000004"/>
    <n v="938.34000000000015"/>
    <n v="0.16262673529870536"/>
    <x v="14"/>
  </r>
  <r>
    <d v="2023-02-15T00:00:00"/>
    <x v="4"/>
    <x v="2"/>
    <x v="1"/>
    <n v="1734.26"/>
    <n v="958.67"/>
    <n v="1"/>
    <n v="1734.26"/>
    <n v="958.67"/>
    <n v="775.59"/>
    <n v="0.44721668031321721"/>
    <x v="27"/>
  </r>
  <r>
    <d v="2022-06-10T00:00:00"/>
    <x v="1"/>
    <x v="1"/>
    <x v="3"/>
    <n v="148.26"/>
    <n v="131.78"/>
    <n v="2"/>
    <n v="296.52"/>
    <n v="263.56"/>
    <n v="32.95999999999998"/>
    <n v="0.11115607716174282"/>
    <x v="18"/>
  </r>
  <r>
    <d v="2024-09-24T00:00:00"/>
    <x v="0"/>
    <x v="0"/>
    <x v="3"/>
    <n v="1109.52"/>
    <n v="640.91"/>
    <n v="3"/>
    <n v="3328.56"/>
    <n v="1922.73"/>
    <n v="1405.83"/>
    <n v="0.42235381065686062"/>
    <x v="16"/>
  </r>
  <r>
    <d v="2023-02-25T00:00:00"/>
    <x v="3"/>
    <x v="2"/>
    <x v="3"/>
    <n v="240.5"/>
    <n v="181.17"/>
    <n v="1"/>
    <n v="240.5"/>
    <n v="181.17"/>
    <n v="59.330000000000013"/>
    <n v="0.24669438669438676"/>
    <x v="27"/>
  </r>
  <r>
    <d v="2023-06-07T00:00:00"/>
    <x v="0"/>
    <x v="0"/>
    <x v="3"/>
    <n v="704.33"/>
    <n v="616.16"/>
    <n v="10"/>
    <n v="7043.3"/>
    <n v="6161.5999999999995"/>
    <n v="881.70000000000073"/>
    <n v="0.12518279783624164"/>
    <x v="0"/>
  </r>
  <r>
    <d v="2024-04-08T00:00:00"/>
    <x v="2"/>
    <x v="0"/>
    <x v="1"/>
    <n v="1965.63"/>
    <n v="1296.8399999999999"/>
    <n v="4"/>
    <n v="7862.52"/>
    <n v="5187.3599999999997"/>
    <n v="2675.1600000000008"/>
    <n v="0.34024205979762223"/>
    <x v="22"/>
  </r>
  <r>
    <d v="2024-03-10T00:00:00"/>
    <x v="7"/>
    <x v="0"/>
    <x v="3"/>
    <n v="1908.93"/>
    <n v="1092.25"/>
    <n v="9"/>
    <n v="17180.37"/>
    <n v="9830.25"/>
    <n v="7350.119999999999"/>
    <n v="0.42782082108825359"/>
    <x v="29"/>
  </r>
  <r>
    <d v="2023-12-22T00:00:00"/>
    <x v="8"/>
    <x v="1"/>
    <x v="2"/>
    <n v="673.65"/>
    <n v="445.36"/>
    <n v="9"/>
    <n v="6062.8499999999995"/>
    <n v="4008.2400000000002"/>
    <n v="2054.6099999999992"/>
    <n v="0.3388851777629332"/>
    <x v="30"/>
  </r>
  <r>
    <d v="2022-02-04T00:00:00"/>
    <x v="8"/>
    <x v="1"/>
    <x v="1"/>
    <n v="1296.74"/>
    <n v="749.57"/>
    <n v="1"/>
    <n v="1296.74"/>
    <n v="749.57"/>
    <n v="547.16999999999996"/>
    <n v="0.42195814118481728"/>
    <x v="20"/>
  </r>
  <r>
    <d v="2022-07-02T00:00:00"/>
    <x v="1"/>
    <x v="1"/>
    <x v="1"/>
    <n v="694.58"/>
    <n v="402.08"/>
    <n v="9"/>
    <n v="6251.22"/>
    <n v="3618.72"/>
    <n v="2632.5000000000005"/>
    <n v="0.42111779780586833"/>
    <x v="8"/>
  </r>
  <r>
    <d v="2022-12-16T00:00:00"/>
    <x v="7"/>
    <x v="0"/>
    <x v="0"/>
    <n v="43.35"/>
    <n v="26.45"/>
    <n v="3"/>
    <n v="130.05000000000001"/>
    <n v="79.349999999999994"/>
    <n v="50.700000000000017"/>
    <n v="0.38985005767012698"/>
    <x v="33"/>
  </r>
  <r>
    <d v="2023-06-30T00:00:00"/>
    <x v="9"/>
    <x v="3"/>
    <x v="0"/>
    <n v="546.29"/>
    <n v="365.25"/>
    <n v="4"/>
    <n v="2185.16"/>
    <n v="1461"/>
    <n v="724.15999999999985"/>
    <n v="0.33139907375203642"/>
    <x v="0"/>
  </r>
  <r>
    <d v="2022-10-20T00:00:00"/>
    <x v="1"/>
    <x v="1"/>
    <x v="1"/>
    <n v="1008.73"/>
    <n v="574.03"/>
    <n v="9"/>
    <n v="9078.57"/>
    <n v="5166.2699999999995"/>
    <n v="3912.3"/>
    <n v="0.43093791202799564"/>
    <x v="25"/>
  </r>
  <r>
    <d v="2024-02-22T00:00:00"/>
    <x v="8"/>
    <x v="1"/>
    <x v="0"/>
    <n v="1335.35"/>
    <n v="980.85"/>
    <n v="7"/>
    <n v="9347.4499999999989"/>
    <n v="6865.95"/>
    <n v="2481.4999999999991"/>
    <n v="0.26547347137454591"/>
    <x v="34"/>
  </r>
  <r>
    <d v="2023-01-27T00:00:00"/>
    <x v="7"/>
    <x v="0"/>
    <x v="1"/>
    <n v="417.21"/>
    <n v="242.68"/>
    <n v="10"/>
    <n v="4172.0999999999995"/>
    <n v="2426.8000000000002"/>
    <n v="1745.2999999999993"/>
    <n v="0.41832650224107754"/>
    <x v="13"/>
  </r>
  <r>
    <d v="2024-08-18T00:00:00"/>
    <x v="6"/>
    <x v="3"/>
    <x v="0"/>
    <n v="1367.02"/>
    <n v="780.83"/>
    <n v="5"/>
    <n v="6835.1"/>
    <n v="3904.15"/>
    <n v="2930.9500000000003"/>
    <n v="0.42880864947111236"/>
    <x v="21"/>
  </r>
  <r>
    <d v="2022-10-19T00:00:00"/>
    <x v="8"/>
    <x v="1"/>
    <x v="2"/>
    <n v="1999.67"/>
    <n v="1647.64"/>
    <n v="2"/>
    <n v="3999.34"/>
    <n v="3295.28"/>
    <n v="704.06"/>
    <n v="0.17604404726779915"/>
    <x v="25"/>
  </r>
  <r>
    <d v="2023-06-17T00:00:00"/>
    <x v="8"/>
    <x v="1"/>
    <x v="1"/>
    <n v="730.58"/>
    <n v="367.05"/>
    <n v="5"/>
    <n v="3652.9"/>
    <n v="1835.25"/>
    <n v="1817.65"/>
    <n v="0.49759095513153934"/>
    <x v="0"/>
  </r>
  <r>
    <d v="2023-09-11T00:00:00"/>
    <x v="6"/>
    <x v="3"/>
    <x v="0"/>
    <n v="1175.2"/>
    <n v="623"/>
    <n v="6"/>
    <n v="7051.2000000000007"/>
    <n v="3738"/>
    <n v="3313.2000000000007"/>
    <n v="0.46987746766507832"/>
    <x v="24"/>
  </r>
  <r>
    <d v="2023-08-21T00:00:00"/>
    <x v="7"/>
    <x v="0"/>
    <x v="0"/>
    <n v="393.69"/>
    <n v="280.72000000000003"/>
    <n v="3"/>
    <n v="1181.07"/>
    <n v="842.16000000000008"/>
    <n v="338.90999999999985"/>
    <n v="0.28695166247555171"/>
    <x v="14"/>
  </r>
  <r>
    <d v="2022-09-03T00:00:00"/>
    <x v="9"/>
    <x v="3"/>
    <x v="2"/>
    <n v="1141.51"/>
    <n v="735.05"/>
    <n v="10"/>
    <n v="11415.1"/>
    <n v="7350.5"/>
    <n v="4064.6000000000004"/>
    <n v="0.35607222012947765"/>
    <x v="12"/>
  </r>
  <r>
    <d v="2022-03-17T00:00:00"/>
    <x v="4"/>
    <x v="2"/>
    <x v="1"/>
    <n v="1834.94"/>
    <n v="1082.29"/>
    <n v="5"/>
    <n v="9174.7000000000007"/>
    <n v="5411.45"/>
    <n v="3763.2500000000009"/>
    <n v="0.41017689951715047"/>
    <x v="7"/>
  </r>
  <r>
    <d v="2024-05-27T00:00:00"/>
    <x v="7"/>
    <x v="0"/>
    <x v="3"/>
    <n v="31.51"/>
    <n v="28.35"/>
    <n v="7"/>
    <n v="220.57000000000002"/>
    <n v="198.45000000000002"/>
    <n v="22.120000000000005"/>
    <n v="0.1002856236115519"/>
    <x v="3"/>
  </r>
  <r>
    <d v="2024-01-15T00:00:00"/>
    <x v="0"/>
    <x v="0"/>
    <x v="0"/>
    <n v="1383.5"/>
    <n v="766.77"/>
    <n v="1"/>
    <n v="1383.5"/>
    <n v="766.77"/>
    <n v="616.73"/>
    <n v="0.44577520780628843"/>
    <x v="26"/>
  </r>
  <r>
    <d v="2024-02-05T00:00:00"/>
    <x v="9"/>
    <x v="3"/>
    <x v="2"/>
    <n v="373.63"/>
    <n v="304.39999999999998"/>
    <n v="10"/>
    <n v="3736.3"/>
    <n v="3044"/>
    <n v="692.30000000000018"/>
    <n v="0.18529026041806068"/>
    <x v="34"/>
  </r>
  <r>
    <d v="2023-09-14T00:00:00"/>
    <x v="0"/>
    <x v="0"/>
    <x v="0"/>
    <n v="610.92999999999995"/>
    <n v="366.93"/>
    <n v="10"/>
    <n v="6109.2999999999993"/>
    <n v="3669.3"/>
    <n v="2439.9999999999991"/>
    <n v="0.39939109226916331"/>
    <x v="24"/>
  </r>
  <r>
    <d v="2024-03-01T00:00:00"/>
    <x v="4"/>
    <x v="2"/>
    <x v="0"/>
    <n v="595.88"/>
    <n v="486.43"/>
    <n v="6"/>
    <n v="3575.2799999999997"/>
    <n v="2918.58"/>
    <n v="656.69999999999982"/>
    <n v="0.18367792172920719"/>
    <x v="29"/>
  </r>
  <r>
    <d v="2023-03-15T00:00:00"/>
    <x v="0"/>
    <x v="0"/>
    <x v="1"/>
    <n v="1415.4"/>
    <n v="1190.54"/>
    <n v="1"/>
    <n v="1415.4"/>
    <n v="1190.54"/>
    <n v="224.86000000000013"/>
    <n v="0.15886675144835391"/>
    <x v="19"/>
  </r>
  <r>
    <d v="2022-12-11T00:00:00"/>
    <x v="9"/>
    <x v="3"/>
    <x v="2"/>
    <n v="1928.01"/>
    <n v="1480.33"/>
    <n v="9"/>
    <n v="17352.09"/>
    <n v="13322.97"/>
    <n v="4029.1200000000008"/>
    <n v="0.23219796577818586"/>
    <x v="33"/>
  </r>
  <r>
    <d v="2022-07-27T00:00:00"/>
    <x v="7"/>
    <x v="0"/>
    <x v="2"/>
    <n v="699.35"/>
    <n v="363.34"/>
    <n v="9"/>
    <n v="6294.1500000000005"/>
    <n v="3270.06"/>
    <n v="3024.0900000000006"/>
    <n v="0.48046042753985851"/>
    <x v="8"/>
  </r>
  <r>
    <d v="2022-01-15T00:00:00"/>
    <x v="0"/>
    <x v="0"/>
    <x v="2"/>
    <n v="1855.01"/>
    <n v="1449.01"/>
    <n v="9"/>
    <n v="16695.09"/>
    <n v="13041.09"/>
    <n v="3654"/>
    <n v="0.21886674465366762"/>
    <x v="9"/>
  </r>
  <r>
    <d v="2023-01-05T00:00:00"/>
    <x v="5"/>
    <x v="3"/>
    <x v="2"/>
    <n v="166.15"/>
    <n v="107.16"/>
    <n v="5"/>
    <n v="830.75"/>
    <n v="535.79999999999995"/>
    <n v="294.95000000000005"/>
    <n v="0.35504062594041536"/>
    <x v="13"/>
  </r>
  <r>
    <d v="2023-03-23T00:00:00"/>
    <x v="3"/>
    <x v="2"/>
    <x v="1"/>
    <n v="1365.96"/>
    <n v="891.59"/>
    <n v="5"/>
    <n v="6829.8"/>
    <n v="4457.95"/>
    <n v="2371.8500000000004"/>
    <n v="0.34727956894784623"/>
    <x v="19"/>
  </r>
  <r>
    <d v="2024-07-20T00:00:00"/>
    <x v="5"/>
    <x v="3"/>
    <x v="1"/>
    <n v="1582.86"/>
    <n v="947.26"/>
    <n v="2"/>
    <n v="3165.72"/>
    <n v="1894.52"/>
    <n v="1271.1999999999998"/>
    <n v="0.40155162174797515"/>
    <x v="28"/>
  </r>
  <r>
    <d v="2023-12-14T00:00:00"/>
    <x v="10"/>
    <x v="2"/>
    <x v="3"/>
    <n v="350.74"/>
    <n v="292.39"/>
    <n v="8"/>
    <n v="2805.92"/>
    <n v="2339.12"/>
    <n v="466.80000000000018"/>
    <n v="0.16636254775617274"/>
    <x v="30"/>
  </r>
  <r>
    <d v="2024-10-16T00:00:00"/>
    <x v="6"/>
    <x v="3"/>
    <x v="1"/>
    <n v="1578.28"/>
    <n v="793.29"/>
    <n v="4"/>
    <n v="6313.12"/>
    <n v="3173.16"/>
    <n v="3139.96"/>
    <n v="0.49737055528803509"/>
    <x v="17"/>
  </r>
  <r>
    <d v="2023-07-24T00:00:00"/>
    <x v="5"/>
    <x v="3"/>
    <x v="2"/>
    <n v="1874.79"/>
    <n v="939.96"/>
    <n v="8"/>
    <n v="14998.32"/>
    <n v="7519.68"/>
    <n v="7478.6399999999994"/>
    <n v="0.49863184676683786"/>
    <x v="11"/>
  </r>
  <r>
    <d v="2024-02-27T00:00:00"/>
    <x v="2"/>
    <x v="0"/>
    <x v="2"/>
    <n v="733.83"/>
    <n v="523.24"/>
    <n v="4"/>
    <n v="2935.32"/>
    <n v="2092.96"/>
    <n v="842.36000000000013"/>
    <n v="0.28697382227491386"/>
    <x v="34"/>
  </r>
  <r>
    <d v="2022-08-17T00:00:00"/>
    <x v="2"/>
    <x v="0"/>
    <x v="0"/>
    <n v="1207.54"/>
    <n v="797.45"/>
    <n v="2"/>
    <n v="2415.08"/>
    <n v="1594.9"/>
    <n v="820.17999999999984"/>
    <n v="0.33960779767129862"/>
    <x v="15"/>
  </r>
  <r>
    <d v="2022-02-11T00:00:00"/>
    <x v="0"/>
    <x v="0"/>
    <x v="3"/>
    <n v="1386.41"/>
    <n v="746.43"/>
    <n v="8"/>
    <n v="11091.28"/>
    <n v="5971.44"/>
    <n v="5119.8400000000011"/>
    <n v="0.46160948060097667"/>
    <x v="20"/>
  </r>
  <r>
    <d v="2022-01-24T00:00:00"/>
    <x v="10"/>
    <x v="2"/>
    <x v="3"/>
    <n v="1550.72"/>
    <n v="994.66"/>
    <n v="4"/>
    <n v="6202.88"/>
    <n v="3978.64"/>
    <n v="2224.2400000000002"/>
    <n v="0.35858182005777967"/>
    <x v="9"/>
  </r>
  <r>
    <d v="2022-03-13T00:00:00"/>
    <x v="10"/>
    <x v="2"/>
    <x v="0"/>
    <n v="1965.51"/>
    <n v="1088.8699999999999"/>
    <n v="5"/>
    <n v="9827.5499999999993"/>
    <n v="5444.3499999999995"/>
    <n v="4383.2"/>
    <n v="0.44601146776154793"/>
    <x v="7"/>
  </r>
  <r>
    <d v="2022-09-29T00:00:00"/>
    <x v="3"/>
    <x v="2"/>
    <x v="1"/>
    <n v="304.12"/>
    <n v="267.55"/>
    <n v="8"/>
    <n v="2432.96"/>
    <n v="2140.4"/>
    <n v="292.55999999999995"/>
    <n v="0.12024858608444033"/>
    <x v="12"/>
  </r>
  <r>
    <d v="2024-06-26T00:00:00"/>
    <x v="1"/>
    <x v="1"/>
    <x v="1"/>
    <n v="1177.8599999999999"/>
    <n v="726.69"/>
    <n v="1"/>
    <n v="1177.8599999999999"/>
    <n v="726.69"/>
    <n v="451.16999999999985"/>
    <n v="0.38304212724772035"/>
    <x v="4"/>
  </r>
  <r>
    <d v="2022-03-10T00:00:00"/>
    <x v="8"/>
    <x v="1"/>
    <x v="3"/>
    <n v="1994.68"/>
    <n v="1616.44"/>
    <n v="2"/>
    <n v="3989.36"/>
    <n v="3232.88"/>
    <n v="756.48"/>
    <n v="0.18962440090641106"/>
    <x v="7"/>
  </r>
  <r>
    <d v="2024-12-16T00:00:00"/>
    <x v="8"/>
    <x v="1"/>
    <x v="2"/>
    <n v="1099.1600000000001"/>
    <n v="756.14"/>
    <n v="7"/>
    <n v="7694.1200000000008"/>
    <n v="5292.98"/>
    <n v="2401.1400000000012"/>
    <n v="0.31207467520652149"/>
    <x v="23"/>
  </r>
  <r>
    <d v="2024-03-24T00:00:00"/>
    <x v="7"/>
    <x v="0"/>
    <x v="0"/>
    <n v="401.16"/>
    <n v="324.55"/>
    <n v="2"/>
    <n v="802.32"/>
    <n v="649.1"/>
    <n v="153.22000000000003"/>
    <n v="0.19097118356765383"/>
    <x v="29"/>
  </r>
  <r>
    <d v="2023-10-03T00:00:00"/>
    <x v="1"/>
    <x v="1"/>
    <x v="3"/>
    <n v="482.58"/>
    <n v="402.03"/>
    <n v="8"/>
    <n v="3860.64"/>
    <n v="3216.24"/>
    <n v="644.40000000000009"/>
    <n v="0.16691533010070872"/>
    <x v="5"/>
  </r>
  <r>
    <d v="2022-09-04T00:00:00"/>
    <x v="10"/>
    <x v="2"/>
    <x v="0"/>
    <n v="1223.9100000000001"/>
    <n v="960.26"/>
    <n v="10"/>
    <n v="12239.1"/>
    <n v="9602.6"/>
    <n v="2636.5"/>
    <n v="0.21541616622137247"/>
    <x v="12"/>
  </r>
  <r>
    <d v="2022-05-25T00:00:00"/>
    <x v="2"/>
    <x v="0"/>
    <x v="0"/>
    <n v="1508.99"/>
    <n v="895.34"/>
    <n v="1"/>
    <n v="1508.99"/>
    <n v="895.34"/>
    <n v="613.65"/>
    <n v="0.40666273467683683"/>
    <x v="35"/>
  </r>
  <r>
    <d v="2022-04-30T00:00:00"/>
    <x v="9"/>
    <x v="3"/>
    <x v="3"/>
    <n v="266.33999999999997"/>
    <n v="160.16"/>
    <n v="6"/>
    <n v="1598.04"/>
    <n v="960.96"/>
    <n v="637.07999999999993"/>
    <n v="0.39866336261920848"/>
    <x v="32"/>
  </r>
  <r>
    <d v="2024-11-23T00:00:00"/>
    <x v="10"/>
    <x v="2"/>
    <x v="3"/>
    <n v="336.03"/>
    <n v="180.07"/>
    <n v="9"/>
    <n v="3024.2699999999995"/>
    <n v="1620.6299999999999"/>
    <n v="1403.6399999999996"/>
    <n v="0.46412522691426356"/>
    <x v="2"/>
  </r>
  <r>
    <d v="2024-03-31T00:00:00"/>
    <x v="4"/>
    <x v="2"/>
    <x v="0"/>
    <n v="24.46"/>
    <n v="15.9"/>
    <n v="1"/>
    <n v="24.46"/>
    <n v="15.9"/>
    <n v="8.56"/>
    <n v="0.34995911692559284"/>
    <x v="29"/>
  </r>
  <r>
    <d v="2024-12-03T00:00:00"/>
    <x v="10"/>
    <x v="2"/>
    <x v="0"/>
    <n v="946.23"/>
    <n v="542.46"/>
    <n v="4"/>
    <n v="3784.92"/>
    <n v="2169.84"/>
    <n v="1615.08"/>
    <n v="0.42671443517960744"/>
    <x v="23"/>
  </r>
  <r>
    <d v="2024-01-05T00:00:00"/>
    <x v="1"/>
    <x v="1"/>
    <x v="1"/>
    <n v="926.49"/>
    <n v="518.42999999999995"/>
    <n v="7"/>
    <n v="6485.43"/>
    <n v="3629.0099999999998"/>
    <n v="2856.4200000000005"/>
    <n v="0.44043648609267239"/>
    <x v="26"/>
  </r>
  <r>
    <d v="2022-04-11T00:00:00"/>
    <x v="3"/>
    <x v="2"/>
    <x v="2"/>
    <n v="491.95"/>
    <n v="393.46"/>
    <n v="5"/>
    <n v="2459.75"/>
    <n v="1967.3"/>
    <n v="492.45000000000005"/>
    <n v="0.20020327269031407"/>
    <x v="32"/>
  </r>
  <r>
    <d v="2022-02-04T00:00:00"/>
    <x v="6"/>
    <x v="3"/>
    <x v="3"/>
    <n v="1749.09"/>
    <n v="954.14"/>
    <n v="3"/>
    <n v="5247.2699999999995"/>
    <n v="2862.42"/>
    <n v="2384.8499999999995"/>
    <n v="0.45449347946646534"/>
    <x v="20"/>
  </r>
  <r>
    <d v="2023-07-12T00:00:00"/>
    <x v="3"/>
    <x v="2"/>
    <x v="2"/>
    <n v="688.14"/>
    <n v="540.64"/>
    <n v="2"/>
    <n v="1376.28"/>
    <n v="1081.28"/>
    <n v="295"/>
    <n v="0.21434591798180602"/>
    <x v="11"/>
  </r>
  <r>
    <d v="2023-02-01T00:00:00"/>
    <x v="6"/>
    <x v="3"/>
    <x v="2"/>
    <n v="1333.17"/>
    <n v="976.95"/>
    <n v="2"/>
    <n v="2666.34"/>
    <n v="1953.9"/>
    <n v="712.44"/>
    <n v="0.26719773172213596"/>
    <x v="27"/>
  </r>
  <r>
    <d v="2024-01-13T00:00:00"/>
    <x v="1"/>
    <x v="1"/>
    <x v="3"/>
    <n v="1823.72"/>
    <n v="1151.83"/>
    <n v="4"/>
    <n v="7294.88"/>
    <n v="4607.32"/>
    <n v="2687.5600000000004"/>
    <n v="0.36841730090145419"/>
    <x v="26"/>
  </r>
  <r>
    <d v="2024-12-18T00:00:00"/>
    <x v="4"/>
    <x v="2"/>
    <x v="2"/>
    <n v="991.44"/>
    <n v="530.16"/>
    <n v="7"/>
    <n v="6940.08"/>
    <n v="3711.12"/>
    <n v="3228.96"/>
    <n v="0.46526264826918423"/>
    <x v="23"/>
  </r>
  <r>
    <d v="2023-04-03T00:00:00"/>
    <x v="9"/>
    <x v="3"/>
    <x v="1"/>
    <n v="1795.01"/>
    <n v="1004.49"/>
    <n v="10"/>
    <n v="17950.099999999999"/>
    <n v="10044.9"/>
    <n v="7905.1999999999989"/>
    <n v="0.44039866073169504"/>
    <x v="6"/>
  </r>
  <r>
    <d v="2022-07-10T00:00:00"/>
    <x v="1"/>
    <x v="1"/>
    <x v="3"/>
    <n v="1377.45"/>
    <n v="934.45"/>
    <n v="10"/>
    <n v="13774.5"/>
    <n v="9344.5"/>
    <n v="4430"/>
    <n v="0.32160876982830594"/>
    <x v="8"/>
  </r>
  <r>
    <d v="2024-12-08T00:00:00"/>
    <x v="4"/>
    <x v="2"/>
    <x v="3"/>
    <n v="902.54"/>
    <n v="775.43"/>
    <n v="9"/>
    <n v="8122.86"/>
    <n v="6978.87"/>
    <n v="1143.9899999999998"/>
    <n v="0.14083586323043851"/>
    <x v="23"/>
  </r>
  <r>
    <d v="2023-10-01T00:00:00"/>
    <x v="1"/>
    <x v="1"/>
    <x v="0"/>
    <n v="129.05000000000001"/>
    <n v="81.55"/>
    <n v="5"/>
    <n v="645.25"/>
    <n v="407.75"/>
    <n v="237.5"/>
    <n v="0.36807438977140644"/>
    <x v="5"/>
  </r>
  <r>
    <d v="2023-08-08T00:00:00"/>
    <x v="6"/>
    <x v="3"/>
    <x v="1"/>
    <n v="773.09"/>
    <n v="671.43"/>
    <n v="10"/>
    <n v="7730.9000000000005"/>
    <n v="6714.2999999999993"/>
    <n v="1016.6000000000013"/>
    <n v="0.13149827316353868"/>
    <x v="14"/>
  </r>
  <r>
    <d v="2022-09-18T00:00:00"/>
    <x v="1"/>
    <x v="1"/>
    <x v="2"/>
    <n v="867.3"/>
    <n v="602.72"/>
    <n v="8"/>
    <n v="6938.4"/>
    <n v="4821.76"/>
    <n v="2116.6399999999994"/>
    <n v="0.30506168569122555"/>
    <x v="12"/>
  </r>
  <r>
    <d v="2024-01-08T00:00:00"/>
    <x v="10"/>
    <x v="2"/>
    <x v="0"/>
    <n v="455.27"/>
    <n v="350.54"/>
    <n v="9"/>
    <n v="4097.43"/>
    <n v="3154.86"/>
    <n v="942.57000000000016"/>
    <n v="0.23003931732817889"/>
    <x v="26"/>
  </r>
  <r>
    <d v="2022-09-20T00:00:00"/>
    <x v="10"/>
    <x v="2"/>
    <x v="3"/>
    <n v="1711.86"/>
    <n v="1378.88"/>
    <n v="2"/>
    <n v="3423.72"/>
    <n v="2757.76"/>
    <n v="665.95999999999958"/>
    <n v="0.19451357003493266"/>
    <x v="12"/>
  </r>
  <r>
    <d v="2024-12-20T00:00:00"/>
    <x v="9"/>
    <x v="3"/>
    <x v="2"/>
    <n v="523.17999999999995"/>
    <n v="307.19"/>
    <n v="8"/>
    <n v="4185.4399999999996"/>
    <n v="2457.52"/>
    <n v="1727.9199999999996"/>
    <n v="0.41284070491991282"/>
    <x v="23"/>
  </r>
  <r>
    <d v="2022-08-24T00:00:00"/>
    <x v="3"/>
    <x v="2"/>
    <x v="0"/>
    <n v="919.72"/>
    <n v="787.05"/>
    <n v="2"/>
    <n v="1839.44"/>
    <n v="1574.1"/>
    <n v="265.34000000000015"/>
    <n v="0.14425042404209984"/>
    <x v="15"/>
  </r>
  <r>
    <d v="2024-02-09T00:00:00"/>
    <x v="2"/>
    <x v="0"/>
    <x v="3"/>
    <n v="777.64"/>
    <n v="697.98"/>
    <n v="6"/>
    <n v="4665.84"/>
    <n v="4187.88"/>
    <n v="477.96000000000004"/>
    <n v="0.10243814618589579"/>
    <x v="34"/>
  </r>
  <r>
    <d v="2024-09-08T00:00:00"/>
    <x v="8"/>
    <x v="1"/>
    <x v="1"/>
    <n v="1955.35"/>
    <n v="1138.71"/>
    <n v="6"/>
    <n v="11732.099999999999"/>
    <n v="6832.26"/>
    <n v="4899.8399999999983"/>
    <n v="0.41764390006904123"/>
    <x v="16"/>
  </r>
  <r>
    <d v="2022-05-24T00:00:00"/>
    <x v="10"/>
    <x v="2"/>
    <x v="1"/>
    <n v="1959.78"/>
    <n v="1017.1"/>
    <n v="6"/>
    <n v="11758.68"/>
    <n v="6102.6"/>
    <n v="5656.08"/>
    <n v="0.48101317494820844"/>
    <x v="35"/>
  </r>
  <r>
    <d v="2022-03-03T00:00:00"/>
    <x v="5"/>
    <x v="3"/>
    <x v="2"/>
    <n v="1767.23"/>
    <n v="1052.8599999999999"/>
    <n v="2"/>
    <n v="3534.46"/>
    <n v="2105.7199999999998"/>
    <n v="1428.7400000000002"/>
    <n v="0.40423148090514538"/>
    <x v="7"/>
  </r>
  <r>
    <d v="2023-11-16T00:00:00"/>
    <x v="2"/>
    <x v="0"/>
    <x v="1"/>
    <n v="896.5"/>
    <n v="724.4"/>
    <n v="1"/>
    <n v="896.5"/>
    <n v="724.4"/>
    <n v="172.10000000000002"/>
    <n v="0.19196876742889016"/>
    <x v="10"/>
  </r>
  <r>
    <d v="2023-08-12T00:00:00"/>
    <x v="6"/>
    <x v="3"/>
    <x v="2"/>
    <n v="1520.92"/>
    <n v="1246.3"/>
    <n v="8"/>
    <n v="12167.36"/>
    <n v="9970.4"/>
    <n v="2196.9600000000009"/>
    <n v="0.18056176524735035"/>
    <x v="14"/>
  </r>
  <r>
    <d v="2024-06-13T00:00:00"/>
    <x v="8"/>
    <x v="1"/>
    <x v="2"/>
    <n v="266.85000000000002"/>
    <n v="133.61000000000001"/>
    <n v="6"/>
    <n v="1601.1000000000001"/>
    <n v="801.66000000000008"/>
    <n v="799.44"/>
    <n v="0.49930672662544501"/>
    <x v="4"/>
  </r>
  <r>
    <d v="2024-01-12T00:00:00"/>
    <x v="10"/>
    <x v="2"/>
    <x v="3"/>
    <n v="1315.88"/>
    <n v="664.9"/>
    <n v="4"/>
    <n v="5263.52"/>
    <n v="2659.6"/>
    <n v="2603.9200000000005"/>
    <n v="0.4947107638994438"/>
    <x v="26"/>
  </r>
  <r>
    <d v="2022-08-25T00:00:00"/>
    <x v="6"/>
    <x v="3"/>
    <x v="3"/>
    <n v="238.74"/>
    <n v="163.86"/>
    <n v="9"/>
    <n v="2148.66"/>
    <n v="1474.7400000000002"/>
    <n v="673.91999999999962"/>
    <n v="0.31364664488564953"/>
    <x v="15"/>
  </r>
  <r>
    <d v="2022-07-24T00:00:00"/>
    <x v="8"/>
    <x v="1"/>
    <x v="0"/>
    <n v="1976.33"/>
    <n v="1690.17"/>
    <n v="7"/>
    <n v="13834.31"/>
    <n v="11831.19"/>
    <n v="2003.119999999999"/>
    <n v="0.14479363264232181"/>
    <x v="8"/>
  </r>
  <r>
    <d v="2022-08-17T00:00:00"/>
    <x v="6"/>
    <x v="3"/>
    <x v="2"/>
    <n v="1309.8499999999999"/>
    <n v="967.49"/>
    <n v="2"/>
    <n v="2619.6999999999998"/>
    <n v="1934.98"/>
    <n v="684.7199999999998"/>
    <n v="0.26137343970683663"/>
    <x v="15"/>
  </r>
  <r>
    <d v="2023-01-20T00:00:00"/>
    <x v="9"/>
    <x v="3"/>
    <x v="0"/>
    <n v="869.01"/>
    <n v="525"/>
    <n v="5"/>
    <n v="4345.05"/>
    <n v="2625"/>
    <n v="1720.0500000000002"/>
    <n v="0.39586425932958197"/>
    <x v="13"/>
  </r>
  <r>
    <d v="2022-03-02T00:00:00"/>
    <x v="9"/>
    <x v="3"/>
    <x v="3"/>
    <n v="578.70000000000005"/>
    <n v="397.26"/>
    <n v="3"/>
    <n v="1736.1000000000001"/>
    <n v="1191.78"/>
    <n v="544.32000000000016"/>
    <n v="0.31353032659409025"/>
    <x v="7"/>
  </r>
  <r>
    <d v="2022-01-14T00:00:00"/>
    <x v="6"/>
    <x v="3"/>
    <x v="2"/>
    <n v="1407.34"/>
    <n v="1233.74"/>
    <n v="3"/>
    <n v="4222.0199999999995"/>
    <n v="3701.2200000000003"/>
    <n v="520.79999999999927"/>
    <n v="0.12335327639376396"/>
    <x v="9"/>
  </r>
  <r>
    <d v="2023-06-13T00:00:00"/>
    <x v="9"/>
    <x v="3"/>
    <x v="0"/>
    <n v="202.06"/>
    <n v="139.31"/>
    <n v="10"/>
    <n v="2020.6"/>
    <n v="1393.1"/>
    <n v="627.5"/>
    <n v="0.31055132138968622"/>
    <x v="0"/>
  </r>
  <r>
    <d v="2023-12-06T00:00:00"/>
    <x v="10"/>
    <x v="2"/>
    <x v="1"/>
    <n v="976.38"/>
    <n v="488.66"/>
    <n v="10"/>
    <n v="9763.7999999999993"/>
    <n v="4886.6000000000004"/>
    <n v="4877.1999999999989"/>
    <n v="0.49951863004158209"/>
    <x v="30"/>
  </r>
  <r>
    <d v="2022-09-14T00:00:00"/>
    <x v="2"/>
    <x v="0"/>
    <x v="0"/>
    <n v="1573.03"/>
    <n v="1196.8900000000001"/>
    <n v="4"/>
    <n v="6292.12"/>
    <n v="4787.5600000000004"/>
    <n v="1504.5599999999995"/>
    <n v="0.23911813506417542"/>
    <x v="12"/>
  </r>
  <r>
    <d v="2022-04-06T00:00:00"/>
    <x v="6"/>
    <x v="3"/>
    <x v="2"/>
    <n v="416.51"/>
    <n v="305.35000000000002"/>
    <n v="4"/>
    <n v="1666.04"/>
    <n v="1221.4000000000001"/>
    <n v="444.63999999999987"/>
    <n v="0.26688434851504156"/>
    <x v="32"/>
  </r>
  <r>
    <d v="2022-01-11T00:00:00"/>
    <x v="8"/>
    <x v="1"/>
    <x v="1"/>
    <n v="1697.16"/>
    <n v="1245.1600000000001"/>
    <n v="2"/>
    <n v="3394.32"/>
    <n v="2490.3200000000002"/>
    <n v="904"/>
    <n v="0.2663272761554597"/>
    <x v="9"/>
  </r>
  <r>
    <d v="2023-11-06T00:00:00"/>
    <x v="0"/>
    <x v="0"/>
    <x v="1"/>
    <n v="442.08"/>
    <n v="385.79"/>
    <n v="7"/>
    <n v="3094.56"/>
    <n v="2700.53"/>
    <n v="394.02999999999975"/>
    <n v="0.12732989504162134"/>
    <x v="10"/>
  </r>
  <r>
    <d v="2023-11-27T00:00:00"/>
    <x v="9"/>
    <x v="3"/>
    <x v="3"/>
    <n v="87.13"/>
    <n v="61.43"/>
    <n v="9"/>
    <n v="784.17"/>
    <n v="552.87"/>
    <n v="231.29999999999995"/>
    <n v="0.29496155170434979"/>
    <x v="10"/>
  </r>
  <r>
    <d v="2022-06-29T00:00:00"/>
    <x v="7"/>
    <x v="0"/>
    <x v="3"/>
    <n v="1111.21"/>
    <n v="960.41"/>
    <n v="9"/>
    <n v="10000.89"/>
    <n v="8643.69"/>
    <n v="1357.1999999999989"/>
    <n v="0.13570792199494236"/>
    <x v="18"/>
  </r>
  <r>
    <d v="2024-06-26T00:00:00"/>
    <x v="10"/>
    <x v="2"/>
    <x v="1"/>
    <n v="1307.27"/>
    <n v="840.33"/>
    <n v="4"/>
    <n v="5229.08"/>
    <n v="3361.32"/>
    <n v="1867.7599999999998"/>
    <n v="0.3571871151330635"/>
    <x v="4"/>
  </r>
  <r>
    <d v="2023-12-29T00:00:00"/>
    <x v="8"/>
    <x v="1"/>
    <x v="2"/>
    <n v="387.49"/>
    <n v="193.83"/>
    <n v="8"/>
    <n v="3099.92"/>
    <n v="1550.64"/>
    <n v="1549.28"/>
    <n v="0.49978063950037416"/>
    <x v="30"/>
  </r>
  <r>
    <d v="2023-11-21T00:00:00"/>
    <x v="5"/>
    <x v="3"/>
    <x v="3"/>
    <n v="203.36"/>
    <n v="150.72999999999999"/>
    <n v="10"/>
    <n v="2033.6000000000001"/>
    <n v="1507.3"/>
    <n v="526.30000000000018"/>
    <n v="0.2588021243115658"/>
    <x v="10"/>
  </r>
  <r>
    <d v="2024-08-03T00:00:00"/>
    <x v="10"/>
    <x v="2"/>
    <x v="1"/>
    <n v="752.93"/>
    <n v="455.82"/>
    <n v="10"/>
    <n v="7529.2999999999993"/>
    <n v="4558.2"/>
    <n v="2971.0999999999995"/>
    <n v="0.39460507616909934"/>
    <x v="21"/>
  </r>
  <r>
    <d v="2024-01-05T00:00:00"/>
    <x v="1"/>
    <x v="1"/>
    <x v="3"/>
    <n v="1377.96"/>
    <n v="960.88"/>
    <n v="8"/>
    <n v="11023.68"/>
    <n v="7687.04"/>
    <n v="3336.6400000000003"/>
    <n v="0.30267932305727308"/>
    <x v="26"/>
  </r>
  <r>
    <d v="2022-11-30T00:00:00"/>
    <x v="9"/>
    <x v="3"/>
    <x v="1"/>
    <n v="1608.28"/>
    <n v="983.83"/>
    <n v="8"/>
    <n v="12866.24"/>
    <n v="7870.64"/>
    <n v="4995.5999999999995"/>
    <n v="0.38827194269654536"/>
    <x v="1"/>
  </r>
  <r>
    <d v="2022-10-30T00:00:00"/>
    <x v="3"/>
    <x v="2"/>
    <x v="0"/>
    <n v="646.63"/>
    <n v="369.33"/>
    <n v="2"/>
    <n v="1293.26"/>
    <n v="738.66"/>
    <n v="554.6"/>
    <n v="0.42883874858883753"/>
    <x v="25"/>
  </r>
  <r>
    <d v="2022-12-18T00:00:00"/>
    <x v="9"/>
    <x v="3"/>
    <x v="2"/>
    <n v="1201.48"/>
    <n v="749.99"/>
    <n v="1"/>
    <n v="1201.48"/>
    <n v="749.99"/>
    <n v="451.49"/>
    <n v="0.37577820687818358"/>
    <x v="33"/>
  </r>
  <r>
    <d v="2024-09-23T00:00:00"/>
    <x v="2"/>
    <x v="0"/>
    <x v="2"/>
    <n v="621.66"/>
    <n v="418.72"/>
    <n v="9"/>
    <n v="5594.94"/>
    <n v="3768.4800000000005"/>
    <n v="1826.4599999999991"/>
    <n v="0.32644854100312054"/>
    <x v="16"/>
  </r>
  <r>
    <d v="2023-10-06T00:00:00"/>
    <x v="0"/>
    <x v="0"/>
    <x v="3"/>
    <n v="1158.27"/>
    <n v="819.36"/>
    <n v="1"/>
    <n v="1158.27"/>
    <n v="819.36"/>
    <n v="338.90999999999997"/>
    <n v="0.29260017094459839"/>
    <x v="5"/>
  </r>
  <r>
    <d v="2023-04-08T00:00:00"/>
    <x v="0"/>
    <x v="0"/>
    <x v="1"/>
    <n v="40.1"/>
    <n v="22.64"/>
    <n v="4"/>
    <n v="160.4"/>
    <n v="90.56"/>
    <n v="69.84"/>
    <n v="0.43541147132169578"/>
    <x v="6"/>
  </r>
  <r>
    <d v="2022-10-01T00:00:00"/>
    <x v="2"/>
    <x v="0"/>
    <x v="0"/>
    <n v="1690.25"/>
    <n v="934.91"/>
    <n v="7"/>
    <n v="11831.75"/>
    <n v="6544.37"/>
    <n v="5287.38"/>
    <n v="0.44688063895873392"/>
    <x v="25"/>
  </r>
  <r>
    <d v="2022-02-06T00:00:00"/>
    <x v="9"/>
    <x v="3"/>
    <x v="2"/>
    <n v="1316.07"/>
    <n v="1020.72"/>
    <n v="4"/>
    <n v="5264.28"/>
    <n v="4082.88"/>
    <n v="1181.3999999999996"/>
    <n v="0.22441815404955659"/>
    <x v="20"/>
  </r>
  <r>
    <d v="2024-08-23T00:00:00"/>
    <x v="7"/>
    <x v="0"/>
    <x v="0"/>
    <n v="151.63"/>
    <n v="103.66"/>
    <n v="7"/>
    <n v="1061.4099999999999"/>
    <n v="725.62"/>
    <n v="335.78999999999985"/>
    <n v="0.31636219745432953"/>
    <x v="21"/>
  </r>
  <r>
    <d v="2023-09-29T00:00:00"/>
    <x v="4"/>
    <x v="2"/>
    <x v="0"/>
    <n v="310.07"/>
    <n v="181.69"/>
    <n v="6"/>
    <n v="1860.42"/>
    <n v="1090.1399999999999"/>
    <n v="770.2800000000002"/>
    <n v="0.41403554036185386"/>
    <x v="24"/>
  </r>
  <r>
    <d v="2024-01-09T00:00:00"/>
    <x v="7"/>
    <x v="0"/>
    <x v="3"/>
    <n v="45.53"/>
    <n v="27.5"/>
    <n v="5"/>
    <n v="227.65"/>
    <n v="137.5"/>
    <n v="90.15"/>
    <n v="0.39600263562486276"/>
    <x v="26"/>
  </r>
  <r>
    <d v="2023-05-28T00:00:00"/>
    <x v="3"/>
    <x v="2"/>
    <x v="3"/>
    <n v="627.03"/>
    <n v="368.55"/>
    <n v="9"/>
    <n v="5643.2699999999995"/>
    <n v="3316.9500000000003"/>
    <n v="2326.3199999999993"/>
    <n v="0.41222907994832775"/>
    <x v="31"/>
  </r>
  <r>
    <d v="2022-12-09T00:00:00"/>
    <x v="2"/>
    <x v="0"/>
    <x v="2"/>
    <n v="565.84"/>
    <n v="383.49"/>
    <n v="7"/>
    <n v="3960.88"/>
    <n v="2684.4300000000003"/>
    <n v="1276.4499999999998"/>
    <n v="0.32226424430934536"/>
    <x v="33"/>
  </r>
  <r>
    <d v="2023-06-22T00:00:00"/>
    <x v="0"/>
    <x v="0"/>
    <x v="3"/>
    <n v="1237.76"/>
    <n v="980.08"/>
    <n v="8"/>
    <n v="9902.08"/>
    <n v="7840.64"/>
    <n v="2061.4399999999996"/>
    <n v="0.20818252326783865"/>
    <x v="0"/>
  </r>
  <r>
    <d v="2022-11-17T00:00:00"/>
    <x v="4"/>
    <x v="2"/>
    <x v="1"/>
    <n v="1271.3399999999999"/>
    <n v="735.23"/>
    <n v="9"/>
    <n v="11442.06"/>
    <n v="6617.07"/>
    <n v="4824.99"/>
    <n v="0.42168892664432805"/>
    <x v="1"/>
  </r>
  <r>
    <d v="2022-07-14T00:00:00"/>
    <x v="4"/>
    <x v="2"/>
    <x v="3"/>
    <n v="498.74"/>
    <n v="443.93"/>
    <n v="10"/>
    <n v="4987.3999999999996"/>
    <n v="4439.3"/>
    <n v="548.09999999999945"/>
    <n v="0.10989694028952951"/>
    <x v="8"/>
  </r>
  <r>
    <d v="2022-02-02T00:00:00"/>
    <x v="7"/>
    <x v="0"/>
    <x v="3"/>
    <n v="1171.3399999999999"/>
    <n v="921.5"/>
    <n v="8"/>
    <n v="9370.7199999999993"/>
    <n v="7372"/>
    <n v="1998.7199999999993"/>
    <n v="0.21329417590110467"/>
    <x v="20"/>
  </r>
  <r>
    <d v="2023-08-24T00:00:00"/>
    <x v="5"/>
    <x v="3"/>
    <x v="1"/>
    <n v="951.63"/>
    <n v="579.41"/>
    <n v="3"/>
    <n v="2854.89"/>
    <n v="1738.23"/>
    <n v="1116.6599999999999"/>
    <n v="0.39113941342748754"/>
    <x v="14"/>
  </r>
  <r>
    <d v="2024-05-20T00:00:00"/>
    <x v="0"/>
    <x v="0"/>
    <x v="3"/>
    <n v="135.72999999999999"/>
    <n v="84.8"/>
    <n v="1"/>
    <n v="135.72999999999999"/>
    <n v="84.8"/>
    <n v="50.929999999999993"/>
    <n v="0.37523023649893167"/>
    <x v="3"/>
  </r>
  <r>
    <d v="2022-04-22T00:00:00"/>
    <x v="2"/>
    <x v="0"/>
    <x v="3"/>
    <n v="1633.7"/>
    <n v="988.43"/>
    <n v="8"/>
    <n v="13069.6"/>
    <n v="7907.44"/>
    <n v="5162.1600000000008"/>
    <n v="0.39497459753932795"/>
    <x v="32"/>
  </r>
  <r>
    <d v="2022-06-25T00:00:00"/>
    <x v="8"/>
    <x v="1"/>
    <x v="3"/>
    <n v="1905.88"/>
    <n v="1662.4"/>
    <n v="9"/>
    <n v="17152.920000000002"/>
    <n v="14961.6"/>
    <n v="2191.3200000000015"/>
    <n v="0.12775200957038227"/>
    <x v="18"/>
  </r>
  <r>
    <d v="2023-04-30T00:00:00"/>
    <x v="2"/>
    <x v="0"/>
    <x v="3"/>
    <n v="411.21"/>
    <n v="211.15"/>
    <n v="2"/>
    <n v="822.42"/>
    <n v="422.3"/>
    <n v="400.11999999999995"/>
    <n v="0.48651540575375107"/>
    <x v="6"/>
  </r>
  <r>
    <d v="2024-12-16T00:00:00"/>
    <x v="10"/>
    <x v="2"/>
    <x v="0"/>
    <n v="349.7"/>
    <n v="280.64"/>
    <n v="10"/>
    <n v="3497"/>
    <n v="2806.3999999999996"/>
    <n v="690.60000000000036"/>
    <n v="0.19748355733485856"/>
    <x v="23"/>
  </r>
  <r>
    <d v="2022-01-24T00:00:00"/>
    <x v="2"/>
    <x v="0"/>
    <x v="1"/>
    <n v="760.28"/>
    <n v="467.63"/>
    <n v="10"/>
    <n v="7602.7999999999993"/>
    <n v="4676.3"/>
    <n v="2926.4999999999991"/>
    <n v="0.3849239753774924"/>
    <x v="9"/>
  </r>
  <r>
    <d v="2024-01-04T00:00:00"/>
    <x v="2"/>
    <x v="0"/>
    <x v="0"/>
    <n v="1169.6300000000001"/>
    <n v="788.84"/>
    <n v="8"/>
    <n v="9357.0400000000009"/>
    <n v="6310.72"/>
    <n v="3046.3200000000006"/>
    <n v="0.32556449475475152"/>
    <x v="26"/>
  </r>
  <r>
    <d v="2023-03-14T00:00:00"/>
    <x v="6"/>
    <x v="3"/>
    <x v="0"/>
    <n v="1018.57"/>
    <n v="544.52"/>
    <n v="10"/>
    <n v="10185.700000000001"/>
    <n v="5445.2"/>
    <n v="4740.5000000000009"/>
    <n v="0.46540738486309241"/>
    <x v="19"/>
  </r>
  <r>
    <d v="2022-01-12T00:00:00"/>
    <x v="5"/>
    <x v="3"/>
    <x v="2"/>
    <n v="1896.87"/>
    <n v="1118.52"/>
    <n v="5"/>
    <n v="9484.3499999999985"/>
    <n v="5592.6"/>
    <n v="3891.7499999999982"/>
    <n v="0.41033386578943193"/>
    <x v="9"/>
  </r>
  <r>
    <d v="2022-05-03T00:00:00"/>
    <x v="2"/>
    <x v="0"/>
    <x v="0"/>
    <n v="1957.25"/>
    <n v="1119.1099999999999"/>
    <n v="1"/>
    <n v="1957.25"/>
    <n v="1119.1099999999999"/>
    <n v="838.1400000000001"/>
    <n v="0.42822327244858865"/>
    <x v="35"/>
  </r>
  <r>
    <d v="2024-06-24T00:00:00"/>
    <x v="0"/>
    <x v="0"/>
    <x v="0"/>
    <n v="1683.18"/>
    <n v="1499.25"/>
    <n v="10"/>
    <n v="16831.8"/>
    <n v="14992.5"/>
    <n v="1839.2999999999993"/>
    <n v="0.10927530032438594"/>
    <x v="4"/>
  </r>
  <r>
    <d v="2024-12-30T00:00:00"/>
    <x v="7"/>
    <x v="0"/>
    <x v="1"/>
    <n v="881.3"/>
    <n v="646.49"/>
    <n v="3"/>
    <n v="2643.8999999999996"/>
    <n v="1939.47"/>
    <n v="704.42999999999961"/>
    <n v="0.26643594689662986"/>
    <x v="23"/>
  </r>
  <r>
    <d v="2023-08-08T00:00:00"/>
    <x v="0"/>
    <x v="0"/>
    <x v="3"/>
    <n v="1635.07"/>
    <n v="1387.46"/>
    <n v="2"/>
    <n v="3270.14"/>
    <n v="2774.92"/>
    <n v="495.2199999999998"/>
    <n v="0.15143694153767112"/>
    <x v="14"/>
  </r>
  <r>
    <d v="2023-10-18T00:00:00"/>
    <x v="7"/>
    <x v="0"/>
    <x v="2"/>
    <n v="1260.72"/>
    <n v="937.99"/>
    <n v="9"/>
    <n v="11346.48"/>
    <n v="8441.91"/>
    <n v="2904.5699999999997"/>
    <n v="0.25598864141125705"/>
    <x v="5"/>
  </r>
  <r>
    <d v="2022-01-12T00:00:00"/>
    <x v="9"/>
    <x v="3"/>
    <x v="1"/>
    <n v="286.52999999999997"/>
    <n v="227.95"/>
    <n v="7"/>
    <n v="2005.7099999999998"/>
    <n v="1595.6499999999999"/>
    <n v="410.05999999999995"/>
    <n v="0.2044463057969497"/>
    <x v="9"/>
  </r>
  <r>
    <d v="2022-10-27T00:00:00"/>
    <x v="8"/>
    <x v="1"/>
    <x v="1"/>
    <n v="315.41000000000003"/>
    <n v="277.52999999999997"/>
    <n v="10"/>
    <n v="3154.1000000000004"/>
    <n v="2775.2999999999997"/>
    <n v="378.80000000000064"/>
    <n v="0.12009765067689693"/>
    <x v="25"/>
  </r>
  <r>
    <d v="2024-11-03T00:00:00"/>
    <x v="7"/>
    <x v="0"/>
    <x v="3"/>
    <n v="1303.8399999999999"/>
    <n v="897.47"/>
    <n v="7"/>
    <n v="9126.8799999999992"/>
    <n v="6282.29"/>
    <n v="2844.5899999999992"/>
    <n v="0.31167167750644248"/>
    <x v="2"/>
  </r>
  <r>
    <d v="2022-06-17T00:00:00"/>
    <x v="0"/>
    <x v="0"/>
    <x v="2"/>
    <n v="1749.78"/>
    <n v="1245.3599999999999"/>
    <n v="9"/>
    <n v="15748.02"/>
    <n v="11208.24"/>
    <n v="4539.7800000000007"/>
    <n v="0.28827624044165556"/>
    <x v="18"/>
  </r>
  <r>
    <d v="2024-09-21T00:00:00"/>
    <x v="0"/>
    <x v="0"/>
    <x v="1"/>
    <n v="1202.27"/>
    <n v="827.82"/>
    <n v="2"/>
    <n v="2404.54"/>
    <n v="1655.64"/>
    <n v="748.89999999999986"/>
    <n v="0.31145250234972172"/>
    <x v="16"/>
  </r>
  <r>
    <d v="2023-11-23T00:00:00"/>
    <x v="5"/>
    <x v="3"/>
    <x v="1"/>
    <n v="672.32"/>
    <n v="520.79999999999995"/>
    <n v="1"/>
    <n v="672.32"/>
    <n v="520.79999999999995"/>
    <n v="151.5200000000001"/>
    <n v="0.22536887196573072"/>
    <x v="10"/>
  </r>
  <r>
    <d v="2024-10-25T00:00:00"/>
    <x v="0"/>
    <x v="0"/>
    <x v="3"/>
    <n v="1713.49"/>
    <n v="1007.64"/>
    <n v="1"/>
    <n v="1713.49"/>
    <n v="1007.64"/>
    <n v="705.85"/>
    <n v="0.41193704077642707"/>
    <x v="17"/>
  </r>
  <r>
    <d v="2023-04-04T00:00:00"/>
    <x v="9"/>
    <x v="3"/>
    <x v="3"/>
    <n v="244.5"/>
    <n v="202.11"/>
    <n v="5"/>
    <n v="1222.5"/>
    <n v="1010.5500000000001"/>
    <n v="211.94999999999993"/>
    <n v="0.17337423312883429"/>
    <x v="6"/>
  </r>
  <r>
    <d v="2022-12-20T00:00:00"/>
    <x v="6"/>
    <x v="3"/>
    <x v="0"/>
    <n v="1624.39"/>
    <n v="1379.84"/>
    <n v="4"/>
    <n v="6497.56"/>
    <n v="5519.36"/>
    <n v="978.20000000000073"/>
    <n v="0.15054882140372705"/>
    <x v="33"/>
  </r>
  <r>
    <d v="2022-09-22T00:00:00"/>
    <x v="9"/>
    <x v="3"/>
    <x v="2"/>
    <n v="1836.03"/>
    <n v="1408.99"/>
    <n v="6"/>
    <n v="11016.18"/>
    <n v="8453.94"/>
    <n v="2562.2399999999998"/>
    <n v="0.23258879212213304"/>
    <x v="12"/>
  </r>
  <r>
    <d v="2024-09-05T00:00:00"/>
    <x v="9"/>
    <x v="3"/>
    <x v="0"/>
    <n v="1611.5"/>
    <n v="1308.56"/>
    <n v="3"/>
    <n v="4834.5"/>
    <n v="3925.68"/>
    <n v="908.82000000000016"/>
    <n v="0.18798634812286694"/>
    <x v="16"/>
  </r>
  <r>
    <d v="2024-05-17T00:00:00"/>
    <x v="4"/>
    <x v="2"/>
    <x v="3"/>
    <n v="1226.18"/>
    <n v="824.68"/>
    <n v="3"/>
    <n v="3678.54"/>
    <n v="2474.04"/>
    <n v="1204.5"/>
    <n v="0.3274396907468724"/>
    <x v="3"/>
  </r>
  <r>
    <d v="2023-01-16T00:00:00"/>
    <x v="7"/>
    <x v="0"/>
    <x v="0"/>
    <n v="1751.59"/>
    <n v="1309.05"/>
    <n v="5"/>
    <n v="8757.9499999999989"/>
    <n v="6545.25"/>
    <n v="2212.6999999999989"/>
    <n v="0.25265044902060402"/>
    <x v="13"/>
  </r>
  <r>
    <d v="2024-04-03T00:00:00"/>
    <x v="8"/>
    <x v="1"/>
    <x v="0"/>
    <n v="467.31"/>
    <n v="310.63"/>
    <n v="8"/>
    <n v="3738.48"/>
    <n v="2485.04"/>
    <n v="1253.44"/>
    <n v="0.33528064881984121"/>
    <x v="22"/>
  </r>
  <r>
    <d v="2024-05-19T00:00:00"/>
    <x v="4"/>
    <x v="2"/>
    <x v="1"/>
    <n v="1140.32"/>
    <n v="982.66"/>
    <n v="4"/>
    <n v="4561.28"/>
    <n v="3930.64"/>
    <n v="630.63999999999987"/>
    <n v="0.1382594359478041"/>
    <x v="3"/>
  </r>
  <r>
    <d v="2022-12-30T00:00:00"/>
    <x v="3"/>
    <x v="2"/>
    <x v="0"/>
    <n v="1578.32"/>
    <n v="1127.92"/>
    <n v="6"/>
    <n v="9469.92"/>
    <n v="6767.52"/>
    <n v="2702.3999999999996"/>
    <n v="0.28536671904303307"/>
    <x v="33"/>
  </r>
  <r>
    <d v="2022-06-08T00:00:00"/>
    <x v="0"/>
    <x v="0"/>
    <x v="2"/>
    <n v="1109.07"/>
    <n v="724.7"/>
    <n v="8"/>
    <n v="8872.56"/>
    <n v="5797.6"/>
    <n v="3074.9599999999991"/>
    <n v="0.34656964844419191"/>
    <x v="18"/>
  </r>
  <r>
    <d v="2023-11-06T00:00:00"/>
    <x v="10"/>
    <x v="2"/>
    <x v="3"/>
    <n v="769.35"/>
    <n v="689.25"/>
    <n v="3"/>
    <n v="2308.0500000000002"/>
    <n v="2067.75"/>
    <n v="240.30000000000018"/>
    <n v="0.10411386235133561"/>
    <x v="10"/>
  </r>
  <r>
    <d v="2024-12-08T00:00:00"/>
    <x v="1"/>
    <x v="1"/>
    <x v="0"/>
    <n v="955.04"/>
    <n v="659.13"/>
    <n v="2"/>
    <n v="1910.08"/>
    <n v="1318.26"/>
    <n v="591.81999999999994"/>
    <n v="0.30984042553191488"/>
    <x v="23"/>
  </r>
  <r>
    <d v="2024-12-17T00:00:00"/>
    <x v="9"/>
    <x v="3"/>
    <x v="0"/>
    <n v="292.60000000000002"/>
    <n v="169.51"/>
    <n v="3"/>
    <n v="877.80000000000007"/>
    <n v="508.53"/>
    <n v="369.2700000000001"/>
    <n v="0.42067669172932337"/>
    <x v="23"/>
  </r>
  <r>
    <d v="2024-10-04T00:00:00"/>
    <x v="3"/>
    <x v="2"/>
    <x v="2"/>
    <n v="191.45"/>
    <n v="159.74"/>
    <n v="6"/>
    <n v="1148.6999999999998"/>
    <n v="958.44"/>
    <n v="190.25999999999976"/>
    <n v="0.16563071297989013"/>
    <x v="17"/>
  </r>
  <r>
    <d v="2022-11-20T00:00:00"/>
    <x v="3"/>
    <x v="2"/>
    <x v="0"/>
    <n v="71.88"/>
    <n v="50.23"/>
    <n v="10"/>
    <n v="718.8"/>
    <n v="502.29999999999995"/>
    <n v="216.5"/>
    <n v="0.30119643850862549"/>
    <x v="1"/>
  </r>
  <r>
    <d v="2023-02-12T00:00:00"/>
    <x v="2"/>
    <x v="0"/>
    <x v="0"/>
    <n v="1194.28"/>
    <n v="763.12"/>
    <n v="9"/>
    <n v="10748.52"/>
    <n v="6868.08"/>
    <n v="3880.4400000000005"/>
    <n v="0.36102086612854611"/>
    <x v="27"/>
  </r>
  <r>
    <d v="2022-02-06T00:00:00"/>
    <x v="0"/>
    <x v="0"/>
    <x v="0"/>
    <n v="1338.79"/>
    <n v="1183.08"/>
    <n v="9"/>
    <n v="12049.11"/>
    <n v="10647.72"/>
    <n v="1401.3900000000012"/>
    <n v="0.11630651558496861"/>
    <x v="20"/>
  </r>
  <r>
    <d v="2024-10-07T00:00:00"/>
    <x v="9"/>
    <x v="3"/>
    <x v="3"/>
    <n v="1131.8800000000001"/>
    <n v="826.18"/>
    <n v="1"/>
    <n v="1131.8800000000001"/>
    <n v="826.18"/>
    <n v="305.70000000000016"/>
    <n v="0.27008163409548724"/>
    <x v="17"/>
  </r>
  <r>
    <d v="2023-06-04T00:00:00"/>
    <x v="8"/>
    <x v="1"/>
    <x v="3"/>
    <n v="676.74"/>
    <n v="362.28"/>
    <n v="10"/>
    <n v="6767.4"/>
    <n v="3622.7999999999997"/>
    <n v="3144.6"/>
    <n v="0.46466885362177501"/>
    <x v="0"/>
  </r>
  <r>
    <d v="2024-05-20T00:00:00"/>
    <x v="2"/>
    <x v="0"/>
    <x v="3"/>
    <n v="1434.78"/>
    <n v="865.28"/>
    <n v="6"/>
    <n v="8608.68"/>
    <n v="5191.68"/>
    <n v="3417"/>
    <n v="0.39692496410599531"/>
    <x v="3"/>
  </r>
  <r>
    <d v="2024-10-25T00:00:00"/>
    <x v="1"/>
    <x v="1"/>
    <x v="3"/>
    <n v="1290.92"/>
    <n v="981.78"/>
    <n v="3"/>
    <n v="3872.76"/>
    <n v="2945.34"/>
    <n v="927.42000000000007"/>
    <n v="0.23947262417500698"/>
    <x v="17"/>
  </r>
  <r>
    <d v="2024-03-02T00:00:00"/>
    <x v="10"/>
    <x v="2"/>
    <x v="2"/>
    <n v="788.34"/>
    <n v="440.04"/>
    <n v="7"/>
    <n v="5518.38"/>
    <n v="3080.28"/>
    <n v="2438.1"/>
    <n v="0.44181444554380089"/>
    <x v="29"/>
  </r>
  <r>
    <d v="2024-09-19T00:00:00"/>
    <x v="10"/>
    <x v="2"/>
    <x v="3"/>
    <n v="58.32"/>
    <n v="47.15"/>
    <n v="8"/>
    <n v="466.56"/>
    <n v="377.2"/>
    <n v="89.360000000000014"/>
    <n v="0.19152949245541842"/>
    <x v="16"/>
  </r>
  <r>
    <d v="2022-06-26T00:00:00"/>
    <x v="7"/>
    <x v="0"/>
    <x v="1"/>
    <n v="1342.11"/>
    <n v="793.21"/>
    <n v="9"/>
    <n v="12078.99"/>
    <n v="7138.89"/>
    <n v="4940.0999999999995"/>
    <n v="0.40898287025653629"/>
    <x v="18"/>
  </r>
  <r>
    <d v="2023-12-09T00:00:00"/>
    <x v="2"/>
    <x v="0"/>
    <x v="0"/>
    <n v="200.09"/>
    <n v="157.52000000000001"/>
    <n v="5"/>
    <n v="1000.45"/>
    <n v="787.6"/>
    <n v="212.85000000000002"/>
    <n v="0.21275426058273778"/>
    <x v="30"/>
  </r>
  <r>
    <d v="2023-03-12T00:00:00"/>
    <x v="9"/>
    <x v="3"/>
    <x v="0"/>
    <n v="341.18"/>
    <n v="197.41"/>
    <n v="10"/>
    <n v="3411.8"/>
    <n v="1974.1"/>
    <n v="1437.7000000000003"/>
    <n v="0.42139046837446514"/>
    <x v="19"/>
  </r>
  <r>
    <d v="2024-11-29T00:00:00"/>
    <x v="4"/>
    <x v="2"/>
    <x v="0"/>
    <n v="213.46"/>
    <n v="110.55"/>
    <n v="1"/>
    <n v="213.46"/>
    <n v="110.55"/>
    <n v="102.91000000000001"/>
    <n v="0.48210437552703084"/>
    <x v="2"/>
  </r>
  <r>
    <d v="2024-08-03T00:00:00"/>
    <x v="2"/>
    <x v="0"/>
    <x v="1"/>
    <n v="730.54"/>
    <n v="511.29"/>
    <n v="1"/>
    <n v="730.54"/>
    <n v="511.29"/>
    <n v="219.24999999999994"/>
    <n v="0.30012045883866723"/>
    <x v="21"/>
  </r>
  <r>
    <d v="2024-11-23T00:00:00"/>
    <x v="8"/>
    <x v="1"/>
    <x v="3"/>
    <n v="1603.68"/>
    <n v="818.78"/>
    <n v="8"/>
    <n v="12829.44"/>
    <n v="6550.24"/>
    <n v="6279.2000000000007"/>
    <n v="0.48943679537064755"/>
    <x v="2"/>
  </r>
  <r>
    <d v="2022-01-17T00:00:00"/>
    <x v="7"/>
    <x v="0"/>
    <x v="1"/>
    <n v="252.59"/>
    <n v="196.74"/>
    <n v="10"/>
    <n v="2525.9"/>
    <n v="1967.4"/>
    <n v="558.5"/>
    <n v="0.22110930757353814"/>
    <x v="9"/>
  </r>
  <r>
    <d v="2024-03-23T00:00:00"/>
    <x v="3"/>
    <x v="2"/>
    <x v="3"/>
    <n v="1051.3699999999999"/>
    <n v="596.71"/>
    <n v="7"/>
    <n v="7359.5899999999992"/>
    <n v="4176.97"/>
    <n v="3182.619999999999"/>
    <n v="0.43244528567488127"/>
    <x v="29"/>
  </r>
  <r>
    <d v="2024-03-16T00:00:00"/>
    <x v="8"/>
    <x v="1"/>
    <x v="0"/>
    <n v="1358.94"/>
    <n v="1089.93"/>
    <n v="7"/>
    <n v="9512.58"/>
    <n v="7629.51"/>
    <n v="1883.0699999999997"/>
    <n v="0.197955759636187"/>
    <x v="29"/>
  </r>
  <r>
    <d v="2024-12-19T00:00:00"/>
    <x v="0"/>
    <x v="0"/>
    <x v="3"/>
    <n v="679.06"/>
    <n v="453.06"/>
    <n v="6"/>
    <n v="4074.3599999999997"/>
    <n v="2718.36"/>
    <n v="1355.9999999999995"/>
    <n v="0.33281300621447285"/>
    <x v="23"/>
  </r>
  <r>
    <d v="2023-06-13T00:00:00"/>
    <x v="8"/>
    <x v="1"/>
    <x v="1"/>
    <n v="734.31"/>
    <n v="657.28"/>
    <n v="7"/>
    <n v="5140.17"/>
    <n v="4600.96"/>
    <n v="539.21"/>
    <n v="0.10490119976576651"/>
    <x v="0"/>
  </r>
  <r>
    <d v="2023-12-15T00:00:00"/>
    <x v="10"/>
    <x v="2"/>
    <x v="0"/>
    <n v="1617.66"/>
    <n v="940.11"/>
    <n v="1"/>
    <n v="1617.66"/>
    <n v="940.11"/>
    <n v="677.55000000000007"/>
    <n v="0.41884574014316978"/>
    <x v="30"/>
  </r>
  <r>
    <d v="2022-09-07T00:00:00"/>
    <x v="9"/>
    <x v="3"/>
    <x v="0"/>
    <n v="928.03"/>
    <n v="559.13"/>
    <n v="4"/>
    <n v="3712.12"/>
    <n v="2236.52"/>
    <n v="1475.6"/>
    <n v="0.39750870122733101"/>
    <x v="12"/>
  </r>
  <r>
    <d v="2024-04-22T00:00:00"/>
    <x v="2"/>
    <x v="0"/>
    <x v="2"/>
    <n v="380.84"/>
    <n v="221.59"/>
    <n v="8"/>
    <n v="3046.72"/>
    <n v="1772.72"/>
    <n v="1273.9999999999998"/>
    <n v="0.41815460560865453"/>
    <x v="22"/>
  </r>
  <r>
    <d v="2022-02-15T00:00:00"/>
    <x v="6"/>
    <x v="3"/>
    <x v="0"/>
    <n v="411.49"/>
    <n v="273.72000000000003"/>
    <n v="1"/>
    <n v="411.49"/>
    <n v="273.72000000000003"/>
    <n v="137.76999999999998"/>
    <n v="0.33480765024666453"/>
    <x v="20"/>
  </r>
  <r>
    <d v="2024-02-21T00:00:00"/>
    <x v="0"/>
    <x v="0"/>
    <x v="2"/>
    <n v="849.22"/>
    <n v="625.44000000000005"/>
    <n v="2"/>
    <n v="1698.44"/>
    <n v="1250.8800000000001"/>
    <n v="447.55999999999995"/>
    <n v="0.26351239961376316"/>
    <x v="34"/>
  </r>
  <r>
    <d v="2022-01-27T00:00:00"/>
    <x v="6"/>
    <x v="3"/>
    <x v="2"/>
    <n v="679.27"/>
    <n v="439.25"/>
    <n v="5"/>
    <n v="3396.35"/>
    <n v="2196.25"/>
    <n v="1200.0999999999999"/>
    <n v="0.35334991976680846"/>
    <x v="9"/>
  </r>
  <r>
    <d v="2024-01-12T00:00:00"/>
    <x v="1"/>
    <x v="1"/>
    <x v="0"/>
    <n v="397.85"/>
    <n v="269.83"/>
    <n v="5"/>
    <n v="1989.25"/>
    <n v="1349.1499999999999"/>
    <n v="640.10000000000014"/>
    <n v="0.32177956516274986"/>
    <x v="26"/>
  </r>
  <r>
    <d v="2024-03-02T00:00:00"/>
    <x v="7"/>
    <x v="0"/>
    <x v="0"/>
    <n v="1471.63"/>
    <n v="888.01"/>
    <n v="6"/>
    <n v="8829.7800000000007"/>
    <n v="5328.0599999999995"/>
    <n v="3501.7200000000012"/>
    <n v="0.39658066225885591"/>
    <x v="29"/>
  </r>
  <r>
    <d v="2022-03-24T00:00:00"/>
    <x v="0"/>
    <x v="0"/>
    <x v="2"/>
    <n v="1464.06"/>
    <n v="954.09"/>
    <n v="1"/>
    <n v="1464.06"/>
    <n v="954.09"/>
    <n v="509.96999999999991"/>
    <n v="0.34832588828326705"/>
    <x v="7"/>
  </r>
  <r>
    <d v="2024-11-01T00:00:00"/>
    <x v="3"/>
    <x v="2"/>
    <x v="1"/>
    <n v="1041.51"/>
    <n v="632.14"/>
    <n v="1"/>
    <n v="1041.51"/>
    <n v="632.14"/>
    <n v="409.37"/>
    <n v="0.39305431536903152"/>
    <x v="2"/>
  </r>
  <r>
    <d v="2023-03-21T00:00:00"/>
    <x v="8"/>
    <x v="1"/>
    <x v="1"/>
    <n v="1520.08"/>
    <n v="1355.69"/>
    <n v="5"/>
    <n v="7600.4"/>
    <n v="6778.4500000000007"/>
    <n v="821.94999999999891"/>
    <n v="0.10814562391453067"/>
    <x v="19"/>
  </r>
  <r>
    <d v="2023-07-29T00:00:00"/>
    <x v="3"/>
    <x v="2"/>
    <x v="3"/>
    <n v="1048.1600000000001"/>
    <n v="752.02"/>
    <n v="4"/>
    <n v="4192.6400000000003"/>
    <n v="3008.08"/>
    <n v="1184.5600000000004"/>
    <n v="0.28253320103800955"/>
    <x v="11"/>
  </r>
  <r>
    <d v="2022-10-10T00:00:00"/>
    <x v="10"/>
    <x v="2"/>
    <x v="2"/>
    <n v="1984.94"/>
    <n v="1007.52"/>
    <n v="3"/>
    <n v="5954.82"/>
    <n v="3022.56"/>
    <n v="2932.2599999999998"/>
    <n v="0.49241790683849385"/>
    <x v="25"/>
  </r>
  <r>
    <d v="2023-01-04T00:00:00"/>
    <x v="9"/>
    <x v="3"/>
    <x v="0"/>
    <n v="143.19"/>
    <n v="91.72"/>
    <n v="5"/>
    <n v="715.95"/>
    <n v="458.6"/>
    <n v="257.35000000000002"/>
    <n v="0.35945247573154548"/>
    <x v="13"/>
  </r>
  <r>
    <d v="2024-10-24T00:00:00"/>
    <x v="3"/>
    <x v="2"/>
    <x v="1"/>
    <n v="947.41"/>
    <n v="699.03"/>
    <n v="4"/>
    <n v="3789.64"/>
    <n v="2796.12"/>
    <n v="993.52"/>
    <n v="0.26216738265376133"/>
    <x v="17"/>
  </r>
  <r>
    <d v="2022-12-16T00:00:00"/>
    <x v="0"/>
    <x v="0"/>
    <x v="3"/>
    <n v="1693.95"/>
    <n v="1343.23"/>
    <n v="8"/>
    <n v="13551.6"/>
    <n v="10745.84"/>
    <n v="2805.76"/>
    <n v="0.20704271082381417"/>
    <x v="33"/>
  </r>
  <r>
    <d v="2022-03-23T00:00:00"/>
    <x v="6"/>
    <x v="3"/>
    <x v="0"/>
    <n v="734.13"/>
    <n v="448.97"/>
    <n v="4"/>
    <n v="2936.52"/>
    <n v="1795.88"/>
    <n v="1140.6399999999999"/>
    <n v="0.3884325664391865"/>
    <x v="7"/>
  </r>
  <r>
    <d v="2022-02-22T00:00:00"/>
    <x v="6"/>
    <x v="3"/>
    <x v="0"/>
    <n v="472.44"/>
    <n v="301.14999999999998"/>
    <n v="2"/>
    <n v="944.88"/>
    <n v="602.29999999999995"/>
    <n v="342.58000000000004"/>
    <n v="0.36256455846245028"/>
    <x v="20"/>
  </r>
  <r>
    <d v="2024-09-21T00:00:00"/>
    <x v="4"/>
    <x v="2"/>
    <x v="1"/>
    <n v="1363.23"/>
    <n v="808.24"/>
    <n v="6"/>
    <n v="8179.38"/>
    <n v="4849.4400000000005"/>
    <n v="3329.9399999999996"/>
    <n v="0.40711398663468373"/>
    <x v="16"/>
  </r>
  <r>
    <d v="2022-07-09T00:00:00"/>
    <x v="4"/>
    <x v="2"/>
    <x v="0"/>
    <n v="1214.6400000000001"/>
    <n v="1014.33"/>
    <n v="4"/>
    <n v="4858.5600000000004"/>
    <n v="4057.32"/>
    <n v="801.24000000000024"/>
    <n v="0.16491306065994865"/>
    <x v="8"/>
  </r>
  <r>
    <d v="2022-04-10T00:00:00"/>
    <x v="9"/>
    <x v="3"/>
    <x v="2"/>
    <n v="242.69"/>
    <n v="156.16999999999999"/>
    <n v="4"/>
    <n v="970.76"/>
    <n v="624.67999999999995"/>
    <n v="346.08000000000004"/>
    <n v="0.35650418229016445"/>
    <x v="32"/>
  </r>
  <r>
    <d v="2022-12-07T00:00:00"/>
    <x v="9"/>
    <x v="3"/>
    <x v="2"/>
    <n v="981.71"/>
    <n v="729.44"/>
    <n v="7"/>
    <n v="6871.97"/>
    <n v="5106.08"/>
    <n v="1765.8900000000003"/>
    <n v="0.25696998095160489"/>
    <x v="33"/>
  </r>
  <r>
    <d v="2023-03-19T00:00:00"/>
    <x v="8"/>
    <x v="1"/>
    <x v="0"/>
    <n v="1549.83"/>
    <n v="1368.47"/>
    <n v="6"/>
    <n v="9298.98"/>
    <n v="8210.82"/>
    <n v="1088.1599999999999"/>
    <n v="0.11701928598620492"/>
    <x v="19"/>
  </r>
  <r>
    <d v="2024-06-10T00:00:00"/>
    <x v="2"/>
    <x v="0"/>
    <x v="1"/>
    <n v="1830.65"/>
    <n v="1531.97"/>
    <n v="1"/>
    <n v="1830.65"/>
    <n v="1531.97"/>
    <n v="298.68000000000006"/>
    <n v="0.16315516346652831"/>
    <x v="4"/>
  </r>
  <r>
    <d v="2024-12-23T00:00:00"/>
    <x v="8"/>
    <x v="1"/>
    <x v="1"/>
    <n v="334.3"/>
    <n v="211.59"/>
    <n v="5"/>
    <n v="1671.5"/>
    <n v="1057.95"/>
    <n v="613.54999999999995"/>
    <n v="0.36706551002093923"/>
    <x v="23"/>
  </r>
  <r>
    <d v="2023-03-19T00:00:00"/>
    <x v="7"/>
    <x v="0"/>
    <x v="0"/>
    <n v="1545.65"/>
    <n v="927.94"/>
    <n v="7"/>
    <n v="10819.550000000001"/>
    <n v="6495.58"/>
    <n v="4323.9700000000012"/>
    <n v="0.39964416265001784"/>
    <x v="19"/>
  </r>
  <r>
    <d v="2024-03-04T00:00:00"/>
    <x v="9"/>
    <x v="3"/>
    <x v="2"/>
    <n v="633.66"/>
    <n v="561.99"/>
    <n v="7"/>
    <n v="4435.62"/>
    <n v="3933.9300000000003"/>
    <n v="501.6899999999996"/>
    <n v="0.11310481961935415"/>
    <x v="29"/>
  </r>
  <r>
    <d v="2024-11-13T00:00:00"/>
    <x v="5"/>
    <x v="3"/>
    <x v="0"/>
    <n v="1874.04"/>
    <n v="1609.23"/>
    <n v="1"/>
    <n v="1874.04"/>
    <n v="1609.23"/>
    <n v="264.80999999999995"/>
    <n v="0.14130434782608692"/>
    <x v="2"/>
  </r>
  <r>
    <d v="2024-02-27T00:00:00"/>
    <x v="8"/>
    <x v="1"/>
    <x v="3"/>
    <n v="774.13"/>
    <n v="428.3"/>
    <n v="2"/>
    <n v="1548.26"/>
    <n v="856.6"/>
    <n v="691.66"/>
    <n v="0.44673375272886984"/>
    <x v="34"/>
  </r>
  <r>
    <d v="2024-04-07T00:00:00"/>
    <x v="3"/>
    <x v="2"/>
    <x v="2"/>
    <n v="975.76"/>
    <n v="827.35"/>
    <n v="8"/>
    <n v="7806.08"/>
    <n v="6618.8"/>
    <n v="1187.2799999999997"/>
    <n v="0.15209682708862832"/>
    <x v="22"/>
  </r>
  <r>
    <d v="2024-04-24T00:00:00"/>
    <x v="3"/>
    <x v="2"/>
    <x v="0"/>
    <n v="1117.72"/>
    <n v="767.61"/>
    <n v="9"/>
    <n v="10059.48"/>
    <n v="6908.49"/>
    <n v="3150.99"/>
    <n v="0.31323587302723399"/>
    <x v="22"/>
  </r>
  <r>
    <d v="2023-05-04T00:00:00"/>
    <x v="10"/>
    <x v="2"/>
    <x v="3"/>
    <n v="1538.85"/>
    <n v="1277.06"/>
    <n v="3"/>
    <n v="4616.5499999999993"/>
    <n v="3831.18"/>
    <n v="785.36999999999944"/>
    <n v="0.17012054456249787"/>
    <x v="31"/>
  </r>
  <r>
    <d v="2022-10-26T00:00:00"/>
    <x v="8"/>
    <x v="1"/>
    <x v="3"/>
    <n v="68.06"/>
    <n v="34.270000000000003"/>
    <n v="3"/>
    <n v="204.18"/>
    <n v="102.81"/>
    <n v="101.37"/>
    <n v="0.49647369967675581"/>
    <x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3-06-28T00:00:00"/>
    <x v="0"/>
    <x v="0"/>
    <x v="0"/>
    <n v="1641.49"/>
    <n v="1320.71"/>
    <n v="7"/>
    <n v="11490.43"/>
    <n v="9244.9700000000012"/>
    <n v="2245.4599999999991"/>
    <n v="0.19542001474270321"/>
    <x v="0"/>
    <n v="2245.4599999999991"/>
  </r>
  <r>
    <d v="2022-11-01T00:00:00"/>
    <x v="1"/>
    <x v="1"/>
    <x v="0"/>
    <n v="1368.71"/>
    <n v="691.23"/>
    <n v="5"/>
    <n v="6843.55"/>
    <n v="3456.15"/>
    <n v="3387.4"/>
    <n v="0.49497702215955169"/>
    <x v="1"/>
    <n v="3387.4"/>
  </r>
  <r>
    <d v="2024-11-10T00:00:00"/>
    <x v="2"/>
    <x v="0"/>
    <x v="1"/>
    <n v="1865.58"/>
    <n v="1612.14"/>
    <n v="6"/>
    <n v="11193.48"/>
    <n v="9672.84"/>
    <n v="1520.6399999999994"/>
    <n v="0.13585051297719739"/>
    <x v="2"/>
    <n v="1520.6399999999994"/>
  </r>
  <r>
    <d v="2024-05-26T00:00:00"/>
    <x v="3"/>
    <x v="2"/>
    <x v="0"/>
    <n v="163.13999999999999"/>
    <n v="81.7"/>
    <n v="4"/>
    <n v="652.55999999999995"/>
    <n v="326.8"/>
    <n v="325.75999999999993"/>
    <n v="0.49920313840872865"/>
    <x v="3"/>
    <n v="325.75999999999993"/>
  </r>
  <r>
    <d v="2024-06-23T00:00:00"/>
    <x v="2"/>
    <x v="0"/>
    <x v="0"/>
    <n v="1807.93"/>
    <n v="1098.26"/>
    <n v="2"/>
    <n v="3615.86"/>
    <n v="2196.52"/>
    <n v="1419.3400000000001"/>
    <n v="0.39253179050073844"/>
    <x v="4"/>
    <n v="1419.3400000000001"/>
  </r>
  <r>
    <d v="2024-11-16T00:00:00"/>
    <x v="4"/>
    <x v="2"/>
    <x v="2"/>
    <n v="522.77"/>
    <n v="265.95"/>
    <n v="2"/>
    <n v="1045.54"/>
    <n v="531.9"/>
    <n v="513.64"/>
    <n v="0.49126767029477592"/>
    <x v="2"/>
    <n v="513.64"/>
  </r>
  <r>
    <d v="2023-10-01T00:00:00"/>
    <x v="4"/>
    <x v="2"/>
    <x v="3"/>
    <n v="642.88"/>
    <n v="402.65"/>
    <n v="4"/>
    <n v="2571.52"/>
    <n v="1610.6"/>
    <n v="960.92000000000007"/>
    <n v="0.37367782478845202"/>
    <x v="5"/>
    <n v="960.92000000000007"/>
  </r>
  <r>
    <d v="2023-04-06T00:00:00"/>
    <x v="4"/>
    <x v="2"/>
    <x v="1"/>
    <n v="713.78"/>
    <n v="598.36"/>
    <n v="3"/>
    <n v="2141.34"/>
    <n v="1795.08"/>
    <n v="346.26000000000022"/>
    <n v="0.16170248535963472"/>
    <x v="6"/>
    <n v="346.26000000000022"/>
  </r>
  <r>
    <d v="2022-03-07T00:00:00"/>
    <x v="5"/>
    <x v="3"/>
    <x v="1"/>
    <n v="1490.26"/>
    <n v="1003.3"/>
    <n v="1"/>
    <n v="1490.26"/>
    <n v="1003.3"/>
    <n v="486.96000000000004"/>
    <n v="0.32676177311341648"/>
    <x v="7"/>
    <n v="486.96000000000004"/>
  </r>
  <r>
    <d v="2022-07-07T00:00:00"/>
    <x v="5"/>
    <x v="3"/>
    <x v="3"/>
    <n v="1530.74"/>
    <n v="868.87"/>
    <n v="2"/>
    <n v="3061.48"/>
    <n v="1737.74"/>
    <n v="1323.74"/>
    <n v="0.43238564354495213"/>
    <x v="8"/>
    <n v="1323.74"/>
  </r>
  <r>
    <d v="2022-01-21T00:00:00"/>
    <x v="2"/>
    <x v="0"/>
    <x v="0"/>
    <n v="1515.59"/>
    <n v="1213.2"/>
    <n v="1"/>
    <n v="1515.59"/>
    <n v="1213.2"/>
    <n v="302.38999999999987"/>
    <n v="0.19951965901068225"/>
    <x v="9"/>
    <n v="302.38999999999987"/>
  </r>
  <r>
    <d v="2023-11-05T00:00:00"/>
    <x v="2"/>
    <x v="0"/>
    <x v="3"/>
    <n v="1569.54"/>
    <n v="1267.6500000000001"/>
    <n v="6"/>
    <n v="9417.24"/>
    <n v="7605.9000000000005"/>
    <n v="1811.3399999999992"/>
    <n v="0.19234297947169227"/>
    <x v="10"/>
    <n v="1811.3399999999992"/>
  </r>
  <r>
    <d v="2023-07-10T00:00:00"/>
    <x v="3"/>
    <x v="2"/>
    <x v="1"/>
    <n v="1290.77"/>
    <n v="999.7"/>
    <n v="4"/>
    <n v="5163.08"/>
    <n v="3998.8"/>
    <n v="1164.2799999999997"/>
    <n v="0.22550105750830896"/>
    <x v="11"/>
    <n v="1164.2799999999997"/>
  </r>
  <r>
    <d v="2024-05-26T00:00:00"/>
    <x v="0"/>
    <x v="0"/>
    <x v="0"/>
    <n v="1143.8800000000001"/>
    <n v="581.04999999999995"/>
    <n v="4"/>
    <n v="4575.5200000000004"/>
    <n v="2324.1999999999998"/>
    <n v="2251.3200000000006"/>
    <n v="0.49203587788928915"/>
    <x v="3"/>
    <n v="2251.3200000000006"/>
  </r>
  <r>
    <d v="2022-09-05T00:00:00"/>
    <x v="4"/>
    <x v="2"/>
    <x v="2"/>
    <n v="747.87"/>
    <n v="403.12"/>
    <n v="6"/>
    <n v="4487.22"/>
    <n v="2418.7200000000003"/>
    <n v="2068.5"/>
    <n v="0.46097583804671932"/>
    <x v="12"/>
    <n v="2068.5"/>
  </r>
  <r>
    <d v="2023-01-21T00:00:00"/>
    <x v="6"/>
    <x v="3"/>
    <x v="2"/>
    <n v="431.4"/>
    <n v="276"/>
    <n v="10"/>
    <n v="4314"/>
    <n v="2760"/>
    <n v="1554"/>
    <n v="0.36022253129346316"/>
    <x v="13"/>
    <n v="1554"/>
  </r>
  <r>
    <d v="2023-08-15T00:00:00"/>
    <x v="1"/>
    <x v="1"/>
    <x v="1"/>
    <n v="322.10000000000002"/>
    <n v="249.05"/>
    <n v="10"/>
    <n v="3221"/>
    <n v="2490.5"/>
    <n v="730.5"/>
    <n v="0.22679292145296492"/>
    <x v="14"/>
    <n v="730.5"/>
  </r>
  <r>
    <d v="2022-08-19T00:00:00"/>
    <x v="2"/>
    <x v="0"/>
    <x v="2"/>
    <n v="1392.68"/>
    <n v="1186.3399999999999"/>
    <n v="4"/>
    <n v="5570.72"/>
    <n v="4745.3599999999997"/>
    <n v="825.36000000000058"/>
    <n v="0.14816038142286825"/>
    <x v="15"/>
    <n v="825.36000000000058"/>
  </r>
  <r>
    <d v="2022-07-26T00:00:00"/>
    <x v="7"/>
    <x v="0"/>
    <x v="0"/>
    <n v="496.74"/>
    <n v="333.38"/>
    <n v="2"/>
    <n v="993.48"/>
    <n v="666.76"/>
    <n v="326.72000000000003"/>
    <n v="0.32886419454845595"/>
    <x v="8"/>
    <n v="326.72000000000003"/>
  </r>
  <r>
    <d v="2024-09-25T00:00:00"/>
    <x v="2"/>
    <x v="0"/>
    <x v="1"/>
    <n v="1361.41"/>
    <n v="901.56"/>
    <n v="10"/>
    <n v="13614.1"/>
    <n v="9015.5999999999985"/>
    <n v="4598.5000000000018"/>
    <n v="0.3377748070015647"/>
    <x v="16"/>
    <n v="4598.5000000000018"/>
  </r>
  <r>
    <d v="2022-01-28T00:00:00"/>
    <x v="4"/>
    <x v="2"/>
    <x v="0"/>
    <n v="1550.37"/>
    <n v="1004.18"/>
    <n v="3"/>
    <n v="4651.1099999999997"/>
    <n v="3012.54"/>
    <n v="1638.5699999999997"/>
    <n v="0.35229654856582621"/>
    <x v="9"/>
    <n v="1638.5699999999997"/>
  </r>
  <r>
    <d v="2024-10-10T00:00:00"/>
    <x v="4"/>
    <x v="2"/>
    <x v="3"/>
    <n v="648.98"/>
    <n v="475.86"/>
    <n v="9"/>
    <n v="5840.82"/>
    <n v="4282.74"/>
    <n v="1558.08"/>
    <n v="0.26675706493266355"/>
    <x v="17"/>
    <n v="1558.08"/>
  </r>
  <r>
    <d v="2023-11-16T00:00:00"/>
    <x v="3"/>
    <x v="2"/>
    <x v="1"/>
    <n v="351.95"/>
    <n v="232.1"/>
    <n v="6"/>
    <n v="2111.6999999999998"/>
    <n v="1392.6"/>
    <n v="719.09999999999991"/>
    <n v="0.3405313254723682"/>
    <x v="10"/>
    <n v="719.09999999999991"/>
  </r>
  <r>
    <d v="2022-06-11T00:00:00"/>
    <x v="5"/>
    <x v="3"/>
    <x v="1"/>
    <n v="295.36"/>
    <n v="151.66999999999999"/>
    <n v="10"/>
    <n v="2953.6000000000004"/>
    <n v="1516.6999999999998"/>
    <n v="1436.9000000000005"/>
    <n v="0.48649106175514639"/>
    <x v="18"/>
    <n v="1436.9000000000005"/>
  </r>
  <r>
    <d v="2022-09-25T00:00:00"/>
    <x v="5"/>
    <x v="3"/>
    <x v="0"/>
    <n v="903.6"/>
    <n v="511.4"/>
    <n v="7"/>
    <n v="6325.2"/>
    <n v="3579.7999999999997"/>
    <n v="2745.4"/>
    <n v="0.43404161133244801"/>
    <x v="12"/>
    <n v="2745.4"/>
  </r>
  <r>
    <d v="2023-08-01T00:00:00"/>
    <x v="2"/>
    <x v="0"/>
    <x v="2"/>
    <n v="71.900000000000006"/>
    <n v="63.73"/>
    <n v="2"/>
    <n v="143.80000000000001"/>
    <n v="127.46"/>
    <n v="16.340000000000018"/>
    <n v="0.11363004172461764"/>
    <x v="14"/>
    <n v="16.340000000000018"/>
  </r>
  <r>
    <d v="2023-03-13T00:00:00"/>
    <x v="2"/>
    <x v="0"/>
    <x v="2"/>
    <n v="750.28"/>
    <n v="415.42"/>
    <n v="5"/>
    <n v="3751.3999999999996"/>
    <n v="2077.1"/>
    <n v="1674.2999999999997"/>
    <n v="0.44631337633949991"/>
    <x v="19"/>
    <n v="1674.2999999999997"/>
  </r>
  <r>
    <d v="2022-02-03T00:00:00"/>
    <x v="8"/>
    <x v="1"/>
    <x v="3"/>
    <n v="1751.03"/>
    <n v="1515.32"/>
    <n v="4"/>
    <n v="7004.12"/>
    <n v="6061.28"/>
    <n v="942.84000000000015"/>
    <n v="0.13461219967676169"/>
    <x v="20"/>
    <n v="942.84000000000015"/>
  </r>
  <r>
    <d v="2024-08-29T00:00:00"/>
    <x v="1"/>
    <x v="1"/>
    <x v="2"/>
    <n v="1814.43"/>
    <n v="1395.46"/>
    <n v="4"/>
    <n v="7257.72"/>
    <n v="5581.84"/>
    <n v="1675.88"/>
    <n v="0.23090998274940341"/>
    <x v="21"/>
    <n v="1675.88"/>
  </r>
  <r>
    <d v="2022-06-30T00:00:00"/>
    <x v="8"/>
    <x v="1"/>
    <x v="2"/>
    <n v="1854.49"/>
    <n v="1552.16"/>
    <n v="7"/>
    <n v="12981.43"/>
    <n v="10865.12"/>
    <n v="2116.3099999999995"/>
    <n v="0.16302595322703273"/>
    <x v="18"/>
    <n v="2116.3099999999995"/>
  </r>
  <r>
    <d v="2023-04-22T00:00:00"/>
    <x v="9"/>
    <x v="3"/>
    <x v="3"/>
    <n v="1678.72"/>
    <n v="862.71"/>
    <n v="9"/>
    <n v="15108.48"/>
    <n v="7764.39"/>
    <n v="7344.0899999999992"/>
    <n v="0.48609059283263434"/>
    <x v="6"/>
    <n v="7344.0899999999992"/>
  </r>
  <r>
    <d v="2024-08-05T00:00:00"/>
    <x v="2"/>
    <x v="0"/>
    <x v="1"/>
    <n v="1720.13"/>
    <n v="1268.29"/>
    <n v="8"/>
    <n v="13761.04"/>
    <n v="10146.32"/>
    <n v="3614.7200000000012"/>
    <n v="0.26267782086237673"/>
    <x v="21"/>
    <n v="3614.7200000000012"/>
  </r>
  <r>
    <d v="2024-04-15T00:00:00"/>
    <x v="6"/>
    <x v="3"/>
    <x v="1"/>
    <n v="1316.95"/>
    <n v="717.77"/>
    <n v="4"/>
    <n v="5267.8"/>
    <n v="2871.08"/>
    <n v="2396.7200000000003"/>
    <n v="0.45497551159876992"/>
    <x v="22"/>
    <n v="2396.7200000000003"/>
  </r>
  <r>
    <d v="2022-11-25T00:00:00"/>
    <x v="5"/>
    <x v="3"/>
    <x v="2"/>
    <n v="377.02"/>
    <n v="247.03"/>
    <n v="2"/>
    <n v="754.04"/>
    <n v="494.06"/>
    <n v="259.97999999999996"/>
    <n v="0.34478277014481989"/>
    <x v="1"/>
    <n v="259.97999999999996"/>
  </r>
  <r>
    <d v="2024-12-11T00:00:00"/>
    <x v="4"/>
    <x v="2"/>
    <x v="3"/>
    <n v="475.27"/>
    <n v="400.31"/>
    <n v="10"/>
    <n v="4752.7"/>
    <n v="4003.1"/>
    <n v="749.59999999999991"/>
    <n v="0.15772087445031244"/>
    <x v="23"/>
    <n v="749.59999999999991"/>
  </r>
  <r>
    <d v="2023-09-26T00:00:00"/>
    <x v="10"/>
    <x v="2"/>
    <x v="3"/>
    <n v="1394.89"/>
    <n v="723.49"/>
    <n v="5"/>
    <n v="6974.4500000000007"/>
    <n v="3617.45"/>
    <n v="3357.0000000000009"/>
    <n v="0.48132827678168177"/>
    <x v="24"/>
    <n v="3357.0000000000009"/>
  </r>
  <r>
    <d v="2024-11-12T00:00:00"/>
    <x v="4"/>
    <x v="2"/>
    <x v="1"/>
    <n v="1635.61"/>
    <n v="822.15"/>
    <n v="8"/>
    <n v="13084.88"/>
    <n v="6577.2"/>
    <n v="6507.6799999999994"/>
    <n v="0.49734349875581585"/>
    <x v="2"/>
    <n v="6507.6799999999994"/>
  </r>
  <r>
    <d v="2022-10-04T00:00:00"/>
    <x v="4"/>
    <x v="2"/>
    <x v="0"/>
    <n v="309.45999999999998"/>
    <n v="217.35"/>
    <n v="9"/>
    <n v="2785.14"/>
    <n v="1956.1499999999999"/>
    <n v="828.99"/>
    <n v="0.29764751502617465"/>
    <x v="25"/>
    <n v="828.99"/>
  </r>
  <r>
    <d v="2022-02-25T00:00:00"/>
    <x v="4"/>
    <x v="2"/>
    <x v="1"/>
    <n v="1467.54"/>
    <n v="1176.79"/>
    <n v="5"/>
    <n v="7337.7"/>
    <n v="5883.95"/>
    <n v="1453.75"/>
    <n v="0.19812066451340338"/>
    <x v="20"/>
    <n v="1453.75"/>
  </r>
  <r>
    <d v="2023-07-20T00:00:00"/>
    <x v="8"/>
    <x v="1"/>
    <x v="2"/>
    <n v="924.01"/>
    <n v="681.12"/>
    <n v="7"/>
    <n v="6468.07"/>
    <n v="4767.84"/>
    <n v="1700.2299999999996"/>
    <n v="0.26286512050735378"/>
    <x v="11"/>
    <n v="1700.2299999999996"/>
  </r>
  <r>
    <d v="2024-01-17T00:00:00"/>
    <x v="7"/>
    <x v="0"/>
    <x v="3"/>
    <n v="1554.68"/>
    <n v="1282.8900000000001"/>
    <n v="6"/>
    <n v="9328.08"/>
    <n v="7697.34"/>
    <n v="1630.7399999999998"/>
    <n v="0.17482054184784004"/>
    <x v="26"/>
    <n v="1630.7399999999998"/>
  </r>
  <r>
    <d v="2023-02-13T00:00:00"/>
    <x v="2"/>
    <x v="0"/>
    <x v="2"/>
    <n v="898.06"/>
    <n v="723.45"/>
    <n v="2"/>
    <n v="1796.12"/>
    <n v="1446.9"/>
    <n v="349.2199999999998"/>
    <n v="0.19443021624390341"/>
    <x v="27"/>
    <n v="349.2199999999998"/>
  </r>
  <r>
    <d v="2023-02-12T00:00:00"/>
    <x v="1"/>
    <x v="1"/>
    <x v="1"/>
    <n v="1879.67"/>
    <n v="1126.8499999999999"/>
    <n v="2"/>
    <n v="3759.34"/>
    <n v="2253.6999999999998"/>
    <n v="1505.6400000000003"/>
    <n v="0.40050647188070254"/>
    <x v="27"/>
    <n v="1505.6400000000003"/>
  </r>
  <r>
    <d v="2023-06-01T00:00:00"/>
    <x v="3"/>
    <x v="2"/>
    <x v="2"/>
    <n v="1452.13"/>
    <n v="1293.68"/>
    <n v="2"/>
    <n v="2904.26"/>
    <n v="2587.36"/>
    <n v="316.90000000000009"/>
    <n v="0.10911557505182046"/>
    <x v="0"/>
    <n v="316.90000000000009"/>
  </r>
  <r>
    <d v="2023-06-25T00:00:00"/>
    <x v="8"/>
    <x v="1"/>
    <x v="2"/>
    <n v="638.03"/>
    <n v="519.16"/>
    <n v="8"/>
    <n v="5104.24"/>
    <n v="4153.28"/>
    <n v="950.96"/>
    <n v="0.18630785386267104"/>
    <x v="0"/>
    <n v="950.96"/>
  </r>
  <r>
    <d v="2024-07-09T00:00:00"/>
    <x v="3"/>
    <x v="2"/>
    <x v="2"/>
    <n v="647.75"/>
    <n v="371.57"/>
    <n v="8"/>
    <n v="5182"/>
    <n v="2972.56"/>
    <n v="2209.44"/>
    <n v="0.42636819760710154"/>
    <x v="28"/>
    <n v="2209.44"/>
  </r>
  <r>
    <d v="2024-03-16T00:00:00"/>
    <x v="2"/>
    <x v="0"/>
    <x v="3"/>
    <n v="1638.71"/>
    <n v="1461.22"/>
    <n v="8"/>
    <n v="13109.68"/>
    <n v="11689.76"/>
    <n v="1419.92"/>
    <n v="0.10831080545062885"/>
    <x v="29"/>
    <n v="1419.92"/>
  </r>
  <r>
    <d v="2024-04-18T00:00:00"/>
    <x v="6"/>
    <x v="3"/>
    <x v="0"/>
    <n v="955"/>
    <n v="658.35"/>
    <n v="1"/>
    <n v="955"/>
    <n v="658.35"/>
    <n v="296.64999999999998"/>
    <n v="0.3106282722513089"/>
    <x v="22"/>
    <n v="296.64999999999998"/>
  </r>
  <r>
    <d v="2023-01-15T00:00:00"/>
    <x v="10"/>
    <x v="2"/>
    <x v="0"/>
    <n v="1924.06"/>
    <n v="1428.57"/>
    <n v="2"/>
    <n v="3848.12"/>
    <n v="2857.14"/>
    <n v="990.98"/>
    <n v="0.25752315416359156"/>
    <x v="13"/>
    <n v="990.98"/>
  </r>
  <r>
    <d v="2024-06-25T00:00:00"/>
    <x v="8"/>
    <x v="1"/>
    <x v="1"/>
    <n v="1029.92"/>
    <n v="550.91"/>
    <n v="10"/>
    <n v="10299.200000000001"/>
    <n v="5509.0999999999995"/>
    <n v="4790.1000000000013"/>
    <n v="0.46509437626223404"/>
    <x v="4"/>
    <n v="4790.1000000000013"/>
  </r>
  <r>
    <d v="2024-06-16T00:00:00"/>
    <x v="9"/>
    <x v="3"/>
    <x v="0"/>
    <n v="601.14"/>
    <n v="371.84"/>
    <n v="9"/>
    <n v="5410.26"/>
    <n v="3346.56"/>
    <n v="2063.7000000000003"/>
    <n v="0.38144192700535651"/>
    <x v="4"/>
    <n v="2063.7000000000003"/>
  </r>
  <r>
    <d v="2022-09-10T00:00:00"/>
    <x v="6"/>
    <x v="3"/>
    <x v="0"/>
    <n v="223.31"/>
    <n v="182.79"/>
    <n v="4"/>
    <n v="893.24"/>
    <n v="731.16"/>
    <n v="162.08000000000004"/>
    <n v="0.18145179347095969"/>
    <x v="12"/>
    <n v="162.08000000000004"/>
  </r>
  <r>
    <d v="2023-09-28T00:00:00"/>
    <x v="10"/>
    <x v="2"/>
    <x v="3"/>
    <n v="426.88"/>
    <n v="311.35000000000002"/>
    <n v="2"/>
    <n v="853.76"/>
    <n v="622.70000000000005"/>
    <n v="231.05999999999995"/>
    <n v="0.27063811844077956"/>
    <x v="24"/>
    <n v="231.05999999999995"/>
  </r>
  <r>
    <d v="2023-09-12T00:00:00"/>
    <x v="5"/>
    <x v="3"/>
    <x v="2"/>
    <n v="419.95"/>
    <n v="325.27"/>
    <n v="9"/>
    <n v="3779.5499999999997"/>
    <n v="2927.43"/>
    <n v="852.11999999999989"/>
    <n v="0.22545541135849503"/>
    <x v="24"/>
    <n v="852.11999999999989"/>
  </r>
  <r>
    <d v="2022-02-26T00:00:00"/>
    <x v="10"/>
    <x v="2"/>
    <x v="3"/>
    <n v="1941.24"/>
    <n v="1626.1"/>
    <n v="4"/>
    <n v="7764.96"/>
    <n v="6504.4"/>
    <n v="1260.5600000000004"/>
    <n v="0.16233953555459402"/>
    <x v="20"/>
    <n v="1260.5600000000004"/>
  </r>
  <r>
    <d v="2023-07-07T00:00:00"/>
    <x v="7"/>
    <x v="0"/>
    <x v="2"/>
    <n v="1323.68"/>
    <n v="1125.95"/>
    <n v="10"/>
    <n v="13236.800000000001"/>
    <n v="11259.5"/>
    <n v="1977.3000000000011"/>
    <n v="0.14937900398887954"/>
    <x v="11"/>
    <n v="1977.3000000000011"/>
  </r>
  <r>
    <d v="2023-12-20T00:00:00"/>
    <x v="10"/>
    <x v="2"/>
    <x v="2"/>
    <n v="973.74"/>
    <n v="848.74"/>
    <n v="9"/>
    <n v="8763.66"/>
    <n v="7638.66"/>
    <n v="1125"/>
    <n v="0.12837102306570541"/>
    <x v="30"/>
    <n v="1125"/>
  </r>
  <r>
    <d v="2024-05-05T00:00:00"/>
    <x v="3"/>
    <x v="2"/>
    <x v="3"/>
    <n v="91.22"/>
    <n v="77.14"/>
    <n v="4"/>
    <n v="364.88"/>
    <n v="308.56"/>
    <n v="56.319999999999993"/>
    <n v="0.15435211576408681"/>
    <x v="3"/>
    <n v="56.319999999999993"/>
  </r>
  <r>
    <d v="2023-05-21T00:00:00"/>
    <x v="0"/>
    <x v="0"/>
    <x v="2"/>
    <n v="96.35"/>
    <n v="63.96"/>
    <n v="8"/>
    <n v="770.8"/>
    <n v="511.68"/>
    <n v="259.11999999999995"/>
    <n v="0.33617021276595738"/>
    <x v="31"/>
    <n v="259.11999999999995"/>
  </r>
  <r>
    <d v="2022-04-22T00:00:00"/>
    <x v="0"/>
    <x v="0"/>
    <x v="0"/>
    <n v="639.75"/>
    <n v="488.42"/>
    <n v="1"/>
    <n v="639.75"/>
    <n v="488.42"/>
    <n v="151.32999999999998"/>
    <n v="0.23654552559593589"/>
    <x v="32"/>
    <n v="151.32999999999998"/>
  </r>
  <r>
    <d v="2024-04-07T00:00:00"/>
    <x v="7"/>
    <x v="0"/>
    <x v="0"/>
    <n v="224.85"/>
    <n v="131.08000000000001"/>
    <n v="8"/>
    <n v="1798.8"/>
    <n v="1048.6400000000001"/>
    <n v="750.15999999999985"/>
    <n v="0.41703357794084939"/>
    <x v="22"/>
    <n v="750.15999999999985"/>
  </r>
  <r>
    <d v="2024-04-03T00:00:00"/>
    <x v="9"/>
    <x v="3"/>
    <x v="1"/>
    <n v="202.75"/>
    <n v="144.77000000000001"/>
    <n v="9"/>
    <n v="1824.75"/>
    <n v="1302.93"/>
    <n v="521.81999999999994"/>
    <n v="0.28596794081381005"/>
    <x v="22"/>
    <n v="521.81999999999994"/>
  </r>
  <r>
    <d v="2024-07-02T00:00:00"/>
    <x v="0"/>
    <x v="0"/>
    <x v="0"/>
    <n v="839.39"/>
    <n v="521.74"/>
    <n v="9"/>
    <n v="7554.51"/>
    <n v="4695.66"/>
    <n v="2858.8500000000004"/>
    <n v="0.37842957385720588"/>
    <x v="28"/>
    <n v="2858.8500000000004"/>
  </r>
  <r>
    <d v="2023-08-10T00:00:00"/>
    <x v="0"/>
    <x v="0"/>
    <x v="3"/>
    <n v="471.15"/>
    <n v="393.77"/>
    <n v="5"/>
    <n v="2355.75"/>
    <n v="1968.85"/>
    <n v="386.90000000000009"/>
    <n v="0.16423644274647145"/>
    <x v="14"/>
    <n v="386.90000000000009"/>
  </r>
  <r>
    <d v="2024-11-14T00:00:00"/>
    <x v="9"/>
    <x v="3"/>
    <x v="3"/>
    <n v="1919.37"/>
    <n v="1059.1199999999999"/>
    <n v="2"/>
    <n v="3838.74"/>
    <n v="2118.2399999999998"/>
    <n v="1720.5"/>
    <n v="0.44819393863611501"/>
    <x v="2"/>
    <n v="1720.5"/>
  </r>
  <r>
    <d v="2022-02-10T00:00:00"/>
    <x v="2"/>
    <x v="0"/>
    <x v="1"/>
    <n v="242.6"/>
    <n v="122.5"/>
    <n v="6"/>
    <n v="1455.6"/>
    <n v="735"/>
    <n v="720.59999999999991"/>
    <n v="0.49505358615004119"/>
    <x v="20"/>
    <n v="720.59999999999991"/>
  </r>
  <r>
    <d v="2022-04-02T00:00:00"/>
    <x v="3"/>
    <x v="2"/>
    <x v="0"/>
    <n v="136.78"/>
    <n v="69.59"/>
    <n v="9"/>
    <n v="1231.02"/>
    <n v="626.31000000000006"/>
    <n v="604.70999999999992"/>
    <n v="0.49122678754203825"/>
    <x v="32"/>
    <n v="604.70999999999992"/>
  </r>
  <r>
    <d v="2023-12-10T00:00:00"/>
    <x v="7"/>
    <x v="0"/>
    <x v="1"/>
    <n v="1522.4"/>
    <n v="1162.8699999999999"/>
    <n v="9"/>
    <n v="13701.6"/>
    <n v="10465.829999999998"/>
    <n v="3235.7700000000023"/>
    <n v="0.23616001050972166"/>
    <x v="30"/>
    <n v="3235.7700000000023"/>
  </r>
  <r>
    <d v="2023-12-08T00:00:00"/>
    <x v="9"/>
    <x v="3"/>
    <x v="0"/>
    <n v="542.57000000000005"/>
    <n v="352.9"/>
    <n v="2"/>
    <n v="1085.1400000000001"/>
    <n v="705.8"/>
    <n v="379.34000000000015"/>
    <n v="0.34957701310430001"/>
    <x v="30"/>
    <n v="379.34000000000015"/>
  </r>
  <r>
    <d v="2024-05-20T00:00:00"/>
    <x v="2"/>
    <x v="0"/>
    <x v="2"/>
    <n v="310.69"/>
    <n v="178.84"/>
    <n v="2"/>
    <n v="621.38"/>
    <n v="357.68"/>
    <n v="263.7"/>
    <n v="0.42437799736071324"/>
    <x v="3"/>
    <n v="263.7"/>
  </r>
  <r>
    <d v="2023-11-06T00:00:00"/>
    <x v="5"/>
    <x v="3"/>
    <x v="0"/>
    <n v="333.08"/>
    <n v="202.2"/>
    <n v="5"/>
    <n v="1665.3999999999999"/>
    <n v="1011"/>
    <n v="654.39999999999986"/>
    <n v="0.39293863336135459"/>
    <x v="10"/>
    <n v="654.39999999999986"/>
  </r>
  <r>
    <d v="2023-02-04T00:00:00"/>
    <x v="2"/>
    <x v="0"/>
    <x v="1"/>
    <n v="1174.94"/>
    <n v="921"/>
    <n v="1"/>
    <n v="1174.94"/>
    <n v="921"/>
    <n v="253.94000000000005"/>
    <n v="0.21613018537116793"/>
    <x v="27"/>
    <n v="253.94000000000005"/>
  </r>
  <r>
    <d v="2023-11-18T00:00:00"/>
    <x v="0"/>
    <x v="0"/>
    <x v="0"/>
    <n v="1068.96"/>
    <n v="718.57"/>
    <n v="5"/>
    <n v="5344.8"/>
    <n v="3592.8500000000004"/>
    <n v="1751.9499999999998"/>
    <n v="0.32778588534650499"/>
    <x v="10"/>
    <n v="1751.9499999999998"/>
  </r>
  <r>
    <d v="2022-09-19T00:00:00"/>
    <x v="2"/>
    <x v="0"/>
    <x v="1"/>
    <n v="73"/>
    <n v="63.96"/>
    <n v="4"/>
    <n v="292"/>
    <n v="255.84"/>
    <n v="36.159999999999997"/>
    <n v="0.12383561643835615"/>
    <x v="12"/>
    <n v="36.159999999999997"/>
  </r>
  <r>
    <d v="2024-03-29T00:00:00"/>
    <x v="3"/>
    <x v="2"/>
    <x v="2"/>
    <n v="335.39"/>
    <n v="287.07"/>
    <n v="8"/>
    <n v="2683.12"/>
    <n v="2296.56"/>
    <n v="386.55999999999995"/>
    <n v="0.14407108142759176"/>
    <x v="29"/>
    <n v="386.55999999999995"/>
  </r>
  <r>
    <d v="2023-12-19T00:00:00"/>
    <x v="5"/>
    <x v="3"/>
    <x v="3"/>
    <n v="1498.8"/>
    <n v="1029.06"/>
    <n v="9"/>
    <n v="13489.199999999999"/>
    <n v="9261.5399999999991"/>
    <n v="4227.66"/>
    <n v="0.31341072858286628"/>
    <x v="30"/>
    <n v="4227.66"/>
  </r>
  <r>
    <d v="2022-07-12T00:00:00"/>
    <x v="4"/>
    <x v="2"/>
    <x v="3"/>
    <n v="1354.22"/>
    <n v="810.9"/>
    <n v="9"/>
    <n v="12187.98"/>
    <n v="7298.0999999999995"/>
    <n v="4889.88"/>
    <n v="0.40120512176751194"/>
    <x v="8"/>
    <n v="4889.88"/>
  </r>
  <r>
    <d v="2023-07-14T00:00:00"/>
    <x v="5"/>
    <x v="3"/>
    <x v="0"/>
    <n v="745.56"/>
    <n v="423.85"/>
    <n v="9"/>
    <n v="6710.0399999999991"/>
    <n v="3814.65"/>
    <n v="2895.389999999999"/>
    <n v="0.43150115349535911"/>
    <x v="11"/>
    <n v="2895.389999999999"/>
  </r>
  <r>
    <d v="2022-10-10T00:00:00"/>
    <x v="5"/>
    <x v="3"/>
    <x v="1"/>
    <n v="598.80999999999995"/>
    <n v="340.32"/>
    <n v="7"/>
    <n v="4191.67"/>
    <n v="2382.2399999999998"/>
    <n v="1809.4300000000003"/>
    <n v="0.43167281775521454"/>
    <x v="25"/>
    <n v="1809.4300000000003"/>
  </r>
  <r>
    <d v="2023-02-26T00:00:00"/>
    <x v="2"/>
    <x v="0"/>
    <x v="1"/>
    <n v="425.41"/>
    <n v="288.47000000000003"/>
    <n v="6"/>
    <n v="2552.46"/>
    <n v="1730.8200000000002"/>
    <n v="821.63999999999987"/>
    <n v="0.32190122470087673"/>
    <x v="27"/>
    <n v="821.63999999999987"/>
  </r>
  <r>
    <d v="2024-06-09T00:00:00"/>
    <x v="4"/>
    <x v="2"/>
    <x v="1"/>
    <n v="1573.04"/>
    <n v="874.53"/>
    <n v="4"/>
    <n v="6292.16"/>
    <n v="3498.12"/>
    <n v="2794.04"/>
    <n v="0.44405100951024767"/>
    <x v="4"/>
    <n v="2794.04"/>
  </r>
  <r>
    <d v="2022-09-07T00:00:00"/>
    <x v="2"/>
    <x v="0"/>
    <x v="3"/>
    <n v="1222.45"/>
    <n v="720.8"/>
    <n v="8"/>
    <n v="9779.6"/>
    <n v="5766.4"/>
    <n v="4013.2000000000007"/>
    <n v="0.41036443208311185"/>
    <x v="12"/>
    <n v="4013.2000000000007"/>
  </r>
  <r>
    <d v="2022-12-25T00:00:00"/>
    <x v="10"/>
    <x v="2"/>
    <x v="2"/>
    <n v="1918.76"/>
    <n v="1386.05"/>
    <n v="9"/>
    <n v="17268.84"/>
    <n v="12474.449999999999"/>
    <n v="4794.3900000000012"/>
    <n v="0.27763242927724163"/>
    <x v="33"/>
    <n v="4794.3900000000012"/>
  </r>
  <r>
    <d v="2024-12-26T00:00:00"/>
    <x v="10"/>
    <x v="2"/>
    <x v="3"/>
    <n v="1903.6"/>
    <n v="1480.35"/>
    <n v="10"/>
    <n v="19036"/>
    <n v="14803.5"/>
    <n v="4232.5"/>
    <n v="0.222341878545913"/>
    <x v="23"/>
    <n v="4232.5"/>
  </r>
  <r>
    <d v="2023-01-14T00:00:00"/>
    <x v="3"/>
    <x v="2"/>
    <x v="0"/>
    <n v="580.89"/>
    <n v="371.47"/>
    <n v="7"/>
    <n v="4066.23"/>
    <n v="2600.29"/>
    <n v="1465.94"/>
    <n v="0.3605157602988518"/>
    <x v="13"/>
    <n v="1465.94"/>
  </r>
  <r>
    <d v="2024-08-09T00:00:00"/>
    <x v="8"/>
    <x v="1"/>
    <x v="1"/>
    <n v="1146.3"/>
    <n v="858.05"/>
    <n v="3"/>
    <n v="3438.8999999999996"/>
    <n v="2574.1499999999996"/>
    <n v="864.75"/>
    <n v="0.25146122306551516"/>
    <x v="21"/>
    <n v="864.75"/>
  </r>
  <r>
    <d v="2023-09-13T00:00:00"/>
    <x v="2"/>
    <x v="0"/>
    <x v="2"/>
    <n v="1512.49"/>
    <n v="1093.73"/>
    <n v="10"/>
    <n v="15124.9"/>
    <n v="10937.3"/>
    <n v="4187.6000000000004"/>
    <n v="0.27686794623435529"/>
    <x v="24"/>
    <n v="4187.6000000000004"/>
  </r>
  <r>
    <d v="2022-11-22T00:00:00"/>
    <x v="2"/>
    <x v="0"/>
    <x v="3"/>
    <n v="680.6"/>
    <n v="589.33000000000004"/>
    <n v="4"/>
    <n v="2722.4"/>
    <n v="2357.3200000000002"/>
    <n v="365.07999999999993"/>
    <n v="0.13410226270937406"/>
    <x v="1"/>
    <n v="365.07999999999993"/>
  </r>
  <r>
    <d v="2023-09-21T00:00:00"/>
    <x v="9"/>
    <x v="3"/>
    <x v="3"/>
    <n v="775.8"/>
    <n v="610.35"/>
    <n v="9"/>
    <n v="6982.2"/>
    <n v="5493.1500000000005"/>
    <n v="1489.0499999999993"/>
    <n v="0.21326372776488775"/>
    <x v="24"/>
    <n v="1489.0499999999993"/>
  </r>
  <r>
    <d v="2024-12-26T00:00:00"/>
    <x v="9"/>
    <x v="3"/>
    <x v="1"/>
    <n v="1778.29"/>
    <n v="1055.8900000000001"/>
    <n v="8"/>
    <n v="14226.32"/>
    <n v="8447.1200000000008"/>
    <n v="5779.1999999999989"/>
    <n v="0.4062329541300912"/>
    <x v="23"/>
    <n v="5779.1999999999989"/>
  </r>
  <r>
    <d v="2024-05-30T00:00:00"/>
    <x v="6"/>
    <x v="3"/>
    <x v="0"/>
    <n v="820.47"/>
    <n v="693.41"/>
    <n v="8"/>
    <n v="6563.76"/>
    <n v="5547.28"/>
    <n v="1016.4800000000005"/>
    <n v="0.15486245688446873"/>
    <x v="3"/>
    <n v="1016.4800000000005"/>
  </r>
  <r>
    <d v="2023-12-14T00:00:00"/>
    <x v="4"/>
    <x v="2"/>
    <x v="1"/>
    <n v="348.43"/>
    <n v="276.13"/>
    <n v="4"/>
    <n v="1393.72"/>
    <n v="1104.52"/>
    <n v="289.20000000000005"/>
    <n v="0.20750222426312318"/>
    <x v="30"/>
    <n v="289.20000000000005"/>
  </r>
  <r>
    <d v="2024-10-30T00:00:00"/>
    <x v="1"/>
    <x v="1"/>
    <x v="0"/>
    <n v="1353.59"/>
    <n v="679.82"/>
    <n v="3"/>
    <n v="4060.7699999999995"/>
    <n v="2039.46"/>
    <n v="2021.3099999999995"/>
    <n v="0.4977652021660916"/>
    <x v="17"/>
    <n v="2021.3099999999995"/>
  </r>
  <r>
    <d v="2024-11-24T00:00:00"/>
    <x v="6"/>
    <x v="3"/>
    <x v="1"/>
    <n v="775.87"/>
    <n v="578.87"/>
    <n v="3"/>
    <n v="2327.61"/>
    <n v="1736.6100000000001"/>
    <n v="591"/>
    <n v="0.25390851560184052"/>
    <x v="2"/>
    <n v="591"/>
  </r>
  <r>
    <d v="2022-04-28T00:00:00"/>
    <x v="8"/>
    <x v="1"/>
    <x v="2"/>
    <n v="323.16000000000003"/>
    <n v="219.45"/>
    <n v="1"/>
    <n v="323.16000000000003"/>
    <n v="219.45"/>
    <n v="103.71000000000004"/>
    <n v="0.32092461938358718"/>
    <x v="32"/>
    <n v="103.71000000000004"/>
  </r>
  <r>
    <d v="2024-08-16T00:00:00"/>
    <x v="0"/>
    <x v="0"/>
    <x v="1"/>
    <n v="1072.97"/>
    <n v="569.95000000000005"/>
    <n v="9"/>
    <n v="9656.73"/>
    <n v="5129.55"/>
    <n v="4527.1799999999994"/>
    <n v="0.46881087076059902"/>
    <x v="21"/>
    <n v="4527.1799999999994"/>
  </r>
  <r>
    <d v="2022-06-23T00:00:00"/>
    <x v="2"/>
    <x v="0"/>
    <x v="0"/>
    <n v="534.59"/>
    <n v="379.64"/>
    <n v="3"/>
    <n v="1603.77"/>
    <n v="1138.92"/>
    <n v="464.84999999999991"/>
    <n v="0.28984829495501219"/>
    <x v="18"/>
    <n v="464.84999999999991"/>
  </r>
  <r>
    <d v="2024-01-07T00:00:00"/>
    <x v="9"/>
    <x v="3"/>
    <x v="1"/>
    <n v="496.15"/>
    <n v="298.77"/>
    <n v="2"/>
    <n v="992.3"/>
    <n v="597.54"/>
    <n v="394.76"/>
    <n v="0.39782323893983673"/>
    <x v="26"/>
    <n v="394.76"/>
  </r>
  <r>
    <d v="2024-03-29T00:00:00"/>
    <x v="3"/>
    <x v="2"/>
    <x v="3"/>
    <n v="1938.65"/>
    <n v="1418.12"/>
    <n v="9"/>
    <n v="17447.850000000002"/>
    <n v="12763.079999999998"/>
    <n v="4684.7700000000041"/>
    <n v="0.26850127666159462"/>
    <x v="29"/>
    <n v="4684.7700000000041"/>
  </r>
  <r>
    <d v="2024-04-24T00:00:00"/>
    <x v="5"/>
    <x v="3"/>
    <x v="0"/>
    <n v="632.66999999999996"/>
    <n v="348.4"/>
    <n v="3"/>
    <n v="1898.0099999999998"/>
    <n v="1045.1999999999998"/>
    <n v="852.81"/>
    <n v="0.44931796987370987"/>
    <x v="22"/>
    <n v="852.81"/>
  </r>
  <r>
    <d v="2024-07-29T00:00:00"/>
    <x v="3"/>
    <x v="2"/>
    <x v="2"/>
    <n v="185.65"/>
    <n v="159.1"/>
    <n v="3"/>
    <n v="556.95000000000005"/>
    <n v="477.29999999999995"/>
    <n v="79.650000000000091"/>
    <n v="0.14301104228386766"/>
    <x v="28"/>
    <n v="79.650000000000091"/>
  </r>
  <r>
    <d v="2022-09-30T00:00:00"/>
    <x v="4"/>
    <x v="2"/>
    <x v="2"/>
    <n v="1657.78"/>
    <n v="1037.3399999999999"/>
    <n v="6"/>
    <n v="9946.68"/>
    <n v="6224.0399999999991"/>
    <n v="3722.6400000000012"/>
    <n v="0.37425955193089566"/>
    <x v="12"/>
    <n v="3722.6400000000012"/>
  </r>
  <r>
    <d v="2024-12-03T00:00:00"/>
    <x v="10"/>
    <x v="2"/>
    <x v="3"/>
    <n v="964.51"/>
    <n v="778.56"/>
    <n v="3"/>
    <n v="2893.5299999999997"/>
    <n v="2335.6799999999998"/>
    <n v="557.84999999999991"/>
    <n v="0.19279219500057021"/>
    <x v="23"/>
    <n v="557.84999999999991"/>
  </r>
  <r>
    <d v="2022-10-26T00:00:00"/>
    <x v="4"/>
    <x v="2"/>
    <x v="1"/>
    <n v="1223.18"/>
    <n v="726.29"/>
    <n v="1"/>
    <n v="1223.18"/>
    <n v="726.29"/>
    <n v="496.8900000000001"/>
    <n v="0.40622802858123913"/>
    <x v="25"/>
    <n v="496.8900000000001"/>
  </r>
  <r>
    <d v="2022-11-17T00:00:00"/>
    <x v="1"/>
    <x v="1"/>
    <x v="3"/>
    <n v="613.09"/>
    <n v="435.53"/>
    <n v="8"/>
    <n v="4904.72"/>
    <n v="3484.24"/>
    <n v="1420.4800000000005"/>
    <n v="0.28961490156420761"/>
    <x v="1"/>
    <n v="1420.4800000000005"/>
  </r>
  <r>
    <d v="2023-07-12T00:00:00"/>
    <x v="0"/>
    <x v="0"/>
    <x v="1"/>
    <n v="721.45"/>
    <n v="638.66"/>
    <n v="1"/>
    <n v="721.45"/>
    <n v="638.66"/>
    <n v="82.790000000000077"/>
    <n v="0.11475500727701167"/>
    <x v="11"/>
    <n v="82.790000000000077"/>
  </r>
  <r>
    <d v="2023-07-13T00:00:00"/>
    <x v="7"/>
    <x v="0"/>
    <x v="1"/>
    <n v="1291.78"/>
    <n v="1015.9"/>
    <n v="7"/>
    <n v="9042.4599999999991"/>
    <n v="7111.3"/>
    <n v="1931.1599999999989"/>
    <n v="0.2135657774543652"/>
    <x v="11"/>
    <n v="1931.1599999999989"/>
  </r>
  <r>
    <d v="2024-09-27T00:00:00"/>
    <x v="2"/>
    <x v="0"/>
    <x v="3"/>
    <n v="873.75"/>
    <n v="766.37"/>
    <n v="5"/>
    <n v="4368.75"/>
    <n v="3831.85"/>
    <n v="536.90000000000009"/>
    <n v="0.12289556509299"/>
    <x v="16"/>
    <n v="536.90000000000009"/>
  </r>
  <r>
    <d v="2022-06-24T00:00:00"/>
    <x v="10"/>
    <x v="2"/>
    <x v="3"/>
    <n v="989.82"/>
    <n v="710.34"/>
    <n v="3"/>
    <n v="2969.46"/>
    <n v="2131.02"/>
    <n v="838.44"/>
    <n v="0.28235436746075043"/>
    <x v="18"/>
    <n v="838.44"/>
  </r>
  <r>
    <d v="2023-05-25T00:00:00"/>
    <x v="10"/>
    <x v="2"/>
    <x v="3"/>
    <n v="576.76"/>
    <n v="428.9"/>
    <n v="1"/>
    <n v="576.76"/>
    <n v="428.9"/>
    <n v="147.86000000000001"/>
    <n v="0.2563631319786393"/>
    <x v="31"/>
    <n v="147.86000000000001"/>
  </r>
  <r>
    <d v="2023-05-16T00:00:00"/>
    <x v="3"/>
    <x v="2"/>
    <x v="0"/>
    <n v="237.57"/>
    <n v="159.15"/>
    <n v="5"/>
    <n v="1187.8499999999999"/>
    <n v="795.75"/>
    <n v="392.09999999999991"/>
    <n v="0.33009218335648438"/>
    <x v="31"/>
    <n v="392.09999999999991"/>
  </r>
  <r>
    <d v="2024-10-25T00:00:00"/>
    <x v="1"/>
    <x v="1"/>
    <x v="0"/>
    <n v="1494.32"/>
    <n v="1295.55"/>
    <n v="9"/>
    <n v="13448.88"/>
    <n v="11659.949999999999"/>
    <n v="1788.9300000000003"/>
    <n v="0.13301702446597788"/>
    <x v="17"/>
    <n v="1788.9300000000003"/>
  </r>
  <r>
    <d v="2024-10-29T00:00:00"/>
    <x v="3"/>
    <x v="2"/>
    <x v="1"/>
    <n v="1280.47"/>
    <n v="723.05"/>
    <n v="8"/>
    <n v="10243.76"/>
    <n v="5784.4"/>
    <n v="4459.3600000000006"/>
    <n v="0.43532452927440712"/>
    <x v="17"/>
    <n v="4459.3600000000006"/>
  </r>
  <r>
    <d v="2022-12-08T00:00:00"/>
    <x v="10"/>
    <x v="2"/>
    <x v="0"/>
    <n v="876.12"/>
    <n v="462.95"/>
    <n v="1"/>
    <n v="876.12"/>
    <n v="462.95"/>
    <n v="413.17"/>
    <n v="0.47159064968269188"/>
    <x v="33"/>
    <n v="413.17"/>
  </r>
  <r>
    <d v="2023-11-29T00:00:00"/>
    <x v="3"/>
    <x v="2"/>
    <x v="2"/>
    <n v="90.27"/>
    <n v="79.209999999999994"/>
    <n v="7"/>
    <n v="631.89"/>
    <n v="554.46999999999991"/>
    <n v="77.420000000000073"/>
    <n v="0.12252132491414656"/>
    <x v="10"/>
    <n v="77.420000000000073"/>
  </r>
  <r>
    <d v="2024-04-02T00:00:00"/>
    <x v="5"/>
    <x v="3"/>
    <x v="2"/>
    <n v="952.95"/>
    <n v="794.02"/>
    <n v="10"/>
    <n v="9529.5"/>
    <n v="7940.2"/>
    <n v="1589.3000000000002"/>
    <n v="0.16677685083162813"/>
    <x v="22"/>
    <n v="1589.3000000000002"/>
  </r>
  <r>
    <d v="2022-11-06T00:00:00"/>
    <x v="6"/>
    <x v="3"/>
    <x v="2"/>
    <n v="1024.25"/>
    <n v="828.09"/>
    <n v="7"/>
    <n v="7169.75"/>
    <n v="5796.63"/>
    <n v="1373.12"/>
    <n v="0.19151574322675127"/>
    <x v="1"/>
    <n v="1373.12"/>
  </r>
  <r>
    <d v="2022-02-01T00:00:00"/>
    <x v="9"/>
    <x v="3"/>
    <x v="0"/>
    <n v="1187.4100000000001"/>
    <n v="1004.63"/>
    <n v="3"/>
    <n v="3562.2300000000005"/>
    <n v="3013.89"/>
    <n v="548.3400000000006"/>
    <n v="0.15393166639997993"/>
    <x v="20"/>
    <n v="548.3400000000006"/>
  </r>
  <r>
    <d v="2022-11-16T00:00:00"/>
    <x v="0"/>
    <x v="0"/>
    <x v="1"/>
    <n v="1681.93"/>
    <n v="865.67"/>
    <n v="2"/>
    <n v="3363.86"/>
    <n v="1731.34"/>
    <n v="1632.5200000000002"/>
    <n v="0.48531151712615866"/>
    <x v="1"/>
    <n v="1632.5200000000002"/>
  </r>
  <r>
    <d v="2022-03-17T00:00:00"/>
    <x v="10"/>
    <x v="2"/>
    <x v="2"/>
    <n v="93.35"/>
    <n v="65.540000000000006"/>
    <n v="5"/>
    <n v="466.75"/>
    <n v="327.70000000000005"/>
    <n v="139.04999999999995"/>
    <n v="0.29791108730583815"/>
    <x v="7"/>
    <n v="139.04999999999995"/>
  </r>
  <r>
    <d v="2023-03-23T00:00:00"/>
    <x v="0"/>
    <x v="0"/>
    <x v="0"/>
    <n v="835.94"/>
    <n v="485"/>
    <n v="4"/>
    <n v="3343.76"/>
    <n v="1940"/>
    <n v="1403.7600000000002"/>
    <n v="0.41981481924540043"/>
    <x v="19"/>
    <n v="1403.7600000000002"/>
  </r>
  <r>
    <d v="2024-08-05T00:00:00"/>
    <x v="0"/>
    <x v="0"/>
    <x v="0"/>
    <n v="704.67"/>
    <n v="564.33000000000004"/>
    <n v="5"/>
    <n v="3523.35"/>
    <n v="2821.65"/>
    <n v="701.69999999999982"/>
    <n v="0.19915705223721739"/>
    <x v="21"/>
    <n v="701.69999999999982"/>
  </r>
  <r>
    <d v="2022-10-21T00:00:00"/>
    <x v="8"/>
    <x v="1"/>
    <x v="1"/>
    <n v="743.01"/>
    <n v="552.95000000000005"/>
    <n v="6"/>
    <n v="4458.0599999999995"/>
    <n v="3317.7000000000003"/>
    <n v="1140.3599999999992"/>
    <n v="0.25579736477301773"/>
    <x v="25"/>
    <n v="1140.3599999999992"/>
  </r>
  <r>
    <d v="2023-06-24T00:00:00"/>
    <x v="3"/>
    <x v="2"/>
    <x v="1"/>
    <n v="1627.89"/>
    <n v="1082.3699999999999"/>
    <n v="10"/>
    <n v="16278.900000000001"/>
    <n v="10823.699999999999"/>
    <n v="5455.2000000000025"/>
    <n v="0.33510863756150611"/>
    <x v="0"/>
    <n v="5455.2000000000025"/>
  </r>
  <r>
    <d v="2024-04-03T00:00:00"/>
    <x v="5"/>
    <x v="3"/>
    <x v="1"/>
    <n v="1977.65"/>
    <n v="1668.37"/>
    <n v="3"/>
    <n v="5932.9500000000007"/>
    <n v="5005.1099999999997"/>
    <n v="927.84000000000106"/>
    <n v="0.15638763178519977"/>
    <x v="22"/>
    <n v="927.84000000000106"/>
  </r>
  <r>
    <d v="2024-05-20T00:00:00"/>
    <x v="5"/>
    <x v="3"/>
    <x v="2"/>
    <n v="627.55999999999995"/>
    <n v="432.46"/>
    <n v="6"/>
    <n v="3765.3599999999997"/>
    <n v="2594.7599999999998"/>
    <n v="1170.5999999999999"/>
    <n v="0.31088660845178151"/>
    <x v="3"/>
    <n v="1170.5999999999999"/>
  </r>
  <r>
    <d v="2023-08-05T00:00:00"/>
    <x v="8"/>
    <x v="1"/>
    <x v="2"/>
    <n v="1633.27"/>
    <n v="834.25"/>
    <n v="6"/>
    <n v="9799.619999999999"/>
    <n v="5005.5"/>
    <n v="4794.119999999999"/>
    <n v="0.48921488792422557"/>
    <x v="14"/>
    <n v="4794.119999999999"/>
  </r>
  <r>
    <d v="2024-09-19T00:00:00"/>
    <x v="1"/>
    <x v="1"/>
    <x v="0"/>
    <n v="1016.26"/>
    <n v="518.9"/>
    <n v="4"/>
    <n v="4065.04"/>
    <n v="2075.6"/>
    <n v="1989.44"/>
    <n v="0.48940231830437092"/>
    <x v="16"/>
    <n v="1989.44"/>
  </r>
  <r>
    <d v="2024-08-13T00:00:00"/>
    <x v="3"/>
    <x v="2"/>
    <x v="2"/>
    <n v="718.74"/>
    <n v="625.47"/>
    <n v="2"/>
    <n v="1437.48"/>
    <n v="1250.94"/>
    <n v="186.53999999999996"/>
    <n v="0.12976876200016693"/>
    <x v="21"/>
    <n v="186.53999999999996"/>
  </r>
  <r>
    <d v="2024-10-07T00:00:00"/>
    <x v="8"/>
    <x v="1"/>
    <x v="0"/>
    <n v="38.93"/>
    <n v="30.21"/>
    <n v="8"/>
    <n v="311.44"/>
    <n v="241.68"/>
    <n v="69.759999999999991"/>
    <n v="0.22399178011816076"/>
    <x v="17"/>
    <n v="69.759999999999991"/>
  </r>
  <r>
    <d v="2022-03-22T00:00:00"/>
    <x v="7"/>
    <x v="0"/>
    <x v="2"/>
    <n v="1997.13"/>
    <n v="1265.8399999999999"/>
    <n v="9"/>
    <n v="17974.170000000002"/>
    <n v="11392.56"/>
    <n v="6581.6100000000024"/>
    <n v="0.36617045460235448"/>
    <x v="7"/>
    <n v="6581.6100000000024"/>
  </r>
  <r>
    <d v="2022-06-08T00:00:00"/>
    <x v="6"/>
    <x v="3"/>
    <x v="2"/>
    <n v="242.46"/>
    <n v="125.35"/>
    <n v="9"/>
    <n v="2182.14"/>
    <n v="1128.1499999999999"/>
    <n v="1053.99"/>
    <n v="0.4830075063928071"/>
    <x v="18"/>
    <n v="1053.99"/>
  </r>
  <r>
    <d v="2022-06-09T00:00:00"/>
    <x v="0"/>
    <x v="0"/>
    <x v="0"/>
    <n v="1637.06"/>
    <n v="1168.48"/>
    <n v="1"/>
    <n v="1637.06"/>
    <n v="1168.48"/>
    <n v="468.57999999999993"/>
    <n v="0.2862326365557768"/>
    <x v="18"/>
    <n v="468.57999999999993"/>
  </r>
  <r>
    <d v="2023-08-24T00:00:00"/>
    <x v="0"/>
    <x v="0"/>
    <x v="2"/>
    <n v="1326.54"/>
    <n v="852.28"/>
    <n v="4"/>
    <n v="5306.16"/>
    <n v="3409.12"/>
    <n v="1897.04"/>
    <n v="0.35751654680597644"/>
    <x v="14"/>
    <n v="1897.04"/>
  </r>
  <r>
    <d v="2023-03-03T00:00:00"/>
    <x v="8"/>
    <x v="1"/>
    <x v="3"/>
    <n v="20.16"/>
    <n v="15.14"/>
    <n v="2"/>
    <n v="40.32"/>
    <n v="30.28"/>
    <n v="10.039999999999999"/>
    <n v="0.24900793650793648"/>
    <x v="19"/>
    <n v="10.039999999999999"/>
  </r>
  <r>
    <d v="2023-09-01T00:00:00"/>
    <x v="0"/>
    <x v="0"/>
    <x v="1"/>
    <n v="468.99"/>
    <n v="353.84"/>
    <n v="5"/>
    <n v="2344.9499999999998"/>
    <n v="1769.1999999999998"/>
    <n v="575.75"/>
    <n v="0.24552762319025995"/>
    <x v="24"/>
    <n v="575.75"/>
  </r>
  <r>
    <d v="2024-05-16T00:00:00"/>
    <x v="5"/>
    <x v="3"/>
    <x v="3"/>
    <n v="1488.48"/>
    <n v="1049.08"/>
    <n v="6"/>
    <n v="8930.880000000001"/>
    <n v="6294.48"/>
    <n v="2636.4000000000015"/>
    <n v="0.29520047296571011"/>
    <x v="3"/>
    <n v="2636.4000000000015"/>
  </r>
  <r>
    <d v="2024-03-16T00:00:00"/>
    <x v="1"/>
    <x v="1"/>
    <x v="2"/>
    <n v="407.94"/>
    <n v="342.7"/>
    <n v="1"/>
    <n v="407.94"/>
    <n v="342.7"/>
    <n v="65.240000000000009"/>
    <n v="0.15992547923714273"/>
    <x v="29"/>
    <n v="65.240000000000009"/>
  </r>
  <r>
    <d v="2023-10-15T00:00:00"/>
    <x v="1"/>
    <x v="1"/>
    <x v="2"/>
    <n v="1461.6"/>
    <n v="1012.72"/>
    <n v="3"/>
    <n v="4384.7999999999993"/>
    <n v="3038.16"/>
    <n v="1346.6399999999994"/>
    <n v="0.30711548987411047"/>
    <x v="5"/>
    <n v="1346.6399999999994"/>
  </r>
  <r>
    <d v="2023-04-09T00:00:00"/>
    <x v="4"/>
    <x v="2"/>
    <x v="1"/>
    <n v="1775.64"/>
    <n v="1194.9100000000001"/>
    <n v="4"/>
    <n v="7102.56"/>
    <n v="4779.6400000000003"/>
    <n v="2322.92"/>
    <n v="0.32705390732355655"/>
    <x v="6"/>
    <n v="2322.92"/>
  </r>
  <r>
    <d v="2024-12-27T00:00:00"/>
    <x v="5"/>
    <x v="3"/>
    <x v="1"/>
    <n v="1828.24"/>
    <n v="1294.47"/>
    <n v="10"/>
    <n v="18282.400000000001"/>
    <n v="12944.7"/>
    <n v="5337.7000000000007"/>
    <n v="0.29195838620750014"/>
    <x v="23"/>
    <n v="5337.7000000000007"/>
  </r>
  <r>
    <d v="2023-06-26T00:00:00"/>
    <x v="8"/>
    <x v="1"/>
    <x v="0"/>
    <n v="1264.02"/>
    <n v="835.07"/>
    <n v="10"/>
    <n v="12640.2"/>
    <n v="8350.7000000000007"/>
    <n v="4289.5"/>
    <n v="0.33935380769291623"/>
    <x v="0"/>
    <n v="4289.5"/>
  </r>
  <r>
    <d v="2023-06-22T00:00:00"/>
    <x v="8"/>
    <x v="1"/>
    <x v="2"/>
    <n v="728.96"/>
    <n v="492.42"/>
    <n v="10"/>
    <n v="7289.6"/>
    <n v="4924.2"/>
    <n v="2365.4000000000005"/>
    <n v="0.32448968393327488"/>
    <x v="0"/>
    <n v="2365.4000000000005"/>
  </r>
  <r>
    <d v="2023-08-21T00:00:00"/>
    <x v="5"/>
    <x v="3"/>
    <x v="3"/>
    <n v="1623.4"/>
    <n v="1288.68"/>
    <n v="2"/>
    <n v="3246.8"/>
    <n v="2577.36"/>
    <n v="669.44"/>
    <n v="0.20618455094246643"/>
    <x v="14"/>
    <n v="669.44"/>
  </r>
  <r>
    <d v="2022-10-02T00:00:00"/>
    <x v="3"/>
    <x v="2"/>
    <x v="2"/>
    <n v="1004.21"/>
    <n v="880.42"/>
    <n v="7"/>
    <n v="7029.47"/>
    <n v="6162.94"/>
    <n v="866.53000000000065"/>
    <n v="0.12327102896804462"/>
    <x v="25"/>
    <n v="866.53000000000065"/>
  </r>
  <r>
    <d v="2023-05-03T00:00:00"/>
    <x v="10"/>
    <x v="2"/>
    <x v="3"/>
    <n v="53.98"/>
    <n v="37.01"/>
    <n v="2"/>
    <n v="107.96"/>
    <n v="74.02"/>
    <n v="33.94"/>
    <n v="0.31437569470174137"/>
    <x v="31"/>
    <n v="33.94"/>
  </r>
  <r>
    <d v="2024-02-05T00:00:00"/>
    <x v="10"/>
    <x v="2"/>
    <x v="1"/>
    <n v="1168.53"/>
    <n v="821.13"/>
    <n v="6"/>
    <n v="7011.18"/>
    <n v="4926.78"/>
    <n v="2084.4000000000005"/>
    <n v="0.29729660342481584"/>
    <x v="34"/>
    <n v="2084.4000000000005"/>
  </r>
  <r>
    <d v="2022-10-29T00:00:00"/>
    <x v="6"/>
    <x v="3"/>
    <x v="0"/>
    <n v="1087.94"/>
    <n v="595.33000000000004"/>
    <n v="9"/>
    <n v="9791.4600000000009"/>
    <n v="5357.97"/>
    <n v="4433.4900000000007"/>
    <n v="0.45279151423791758"/>
    <x v="25"/>
    <n v="4433.4900000000007"/>
  </r>
  <r>
    <d v="2022-11-25T00:00:00"/>
    <x v="1"/>
    <x v="1"/>
    <x v="2"/>
    <n v="1145.57"/>
    <n v="859.78"/>
    <n v="2"/>
    <n v="2291.14"/>
    <n v="1719.56"/>
    <n v="571.57999999999993"/>
    <n v="0.24947406094782509"/>
    <x v="1"/>
    <n v="571.57999999999993"/>
  </r>
  <r>
    <d v="2024-07-13T00:00:00"/>
    <x v="4"/>
    <x v="2"/>
    <x v="1"/>
    <n v="1816.42"/>
    <n v="1327.37"/>
    <n v="5"/>
    <n v="9082.1"/>
    <n v="6636.8499999999995"/>
    <n v="2445.2500000000009"/>
    <n v="0.2692383920018499"/>
    <x v="28"/>
    <n v="2445.2500000000009"/>
  </r>
  <r>
    <d v="2023-03-21T00:00:00"/>
    <x v="10"/>
    <x v="2"/>
    <x v="0"/>
    <n v="246.44"/>
    <n v="200.62"/>
    <n v="4"/>
    <n v="985.76"/>
    <n v="802.48"/>
    <n v="183.27999999999997"/>
    <n v="0.18592760915435802"/>
    <x v="19"/>
    <n v="183.27999999999997"/>
  </r>
  <r>
    <d v="2022-02-27T00:00:00"/>
    <x v="0"/>
    <x v="0"/>
    <x v="0"/>
    <n v="1850.31"/>
    <n v="1051.01"/>
    <n v="9"/>
    <n v="16652.79"/>
    <n v="9459.09"/>
    <n v="7193.7000000000007"/>
    <n v="0.43198166793672416"/>
    <x v="20"/>
    <n v="7193.7000000000007"/>
  </r>
  <r>
    <d v="2022-02-14T00:00:00"/>
    <x v="6"/>
    <x v="3"/>
    <x v="0"/>
    <n v="767.38"/>
    <n v="686.49"/>
    <n v="1"/>
    <n v="767.38"/>
    <n v="686.49"/>
    <n v="80.889999999999986"/>
    <n v="0.10541061794677993"/>
    <x v="20"/>
    <n v="80.889999999999986"/>
  </r>
  <r>
    <d v="2022-06-02T00:00:00"/>
    <x v="2"/>
    <x v="0"/>
    <x v="0"/>
    <n v="1609.01"/>
    <n v="876.8"/>
    <n v="5"/>
    <n v="8045.05"/>
    <n v="4384"/>
    <n v="3661.05"/>
    <n v="0.45506864469456376"/>
    <x v="18"/>
    <n v="3661.05"/>
  </r>
  <r>
    <d v="2024-03-22T00:00:00"/>
    <x v="4"/>
    <x v="2"/>
    <x v="3"/>
    <n v="1359.99"/>
    <n v="870.28"/>
    <n v="5"/>
    <n v="6799.95"/>
    <n v="4351.3999999999996"/>
    <n v="2448.5500000000002"/>
    <n v="0.36008353002595611"/>
    <x v="29"/>
    <n v="2448.5500000000002"/>
  </r>
  <r>
    <d v="2024-01-20T00:00:00"/>
    <x v="0"/>
    <x v="0"/>
    <x v="1"/>
    <n v="1587.06"/>
    <n v="1013.15"/>
    <n v="4"/>
    <n v="6348.24"/>
    <n v="4052.6"/>
    <n v="2295.64"/>
    <n v="0.36161833831109091"/>
    <x v="26"/>
    <n v="2295.64"/>
  </r>
  <r>
    <d v="2024-12-12T00:00:00"/>
    <x v="7"/>
    <x v="0"/>
    <x v="1"/>
    <n v="323.14"/>
    <n v="195.79"/>
    <n v="4"/>
    <n v="1292.56"/>
    <n v="783.16"/>
    <n v="509.4"/>
    <n v="0.3941016277774339"/>
    <x v="23"/>
    <n v="509.4"/>
  </r>
  <r>
    <d v="2022-01-16T00:00:00"/>
    <x v="3"/>
    <x v="2"/>
    <x v="2"/>
    <n v="836.38"/>
    <n v="711.18"/>
    <n v="8"/>
    <n v="6691.04"/>
    <n v="5689.44"/>
    <n v="1001.6000000000004"/>
    <n v="0.14969272340323783"/>
    <x v="9"/>
    <n v="1001.6000000000004"/>
  </r>
  <r>
    <d v="2022-02-04T00:00:00"/>
    <x v="2"/>
    <x v="0"/>
    <x v="3"/>
    <n v="833.51"/>
    <n v="677.38"/>
    <n v="8"/>
    <n v="6668.08"/>
    <n v="5419.04"/>
    <n v="1249.04"/>
    <n v="0.18731628894674329"/>
    <x v="20"/>
    <n v="1249.04"/>
  </r>
  <r>
    <d v="2023-09-29T00:00:00"/>
    <x v="5"/>
    <x v="3"/>
    <x v="1"/>
    <n v="1400.09"/>
    <n v="936.45"/>
    <n v="3"/>
    <n v="4200.2699999999995"/>
    <n v="2809.3500000000004"/>
    <n v="1390.9199999999992"/>
    <n v="0.33115014034812029"/>
    <x v="24"/>
    <n v="1390.9199999999992"/>
  </r>
  <r>
    <d v="2023-07-21T00:00:00"/>
    <x v="2"/>
    <x v="0"/>
    <x v="0"/>
    <n v="229.43"/>
    <n v="181.19"/>
    <n v="7"/>
    <n v="1606.01"/>
    <n v="1268.33"/>
    <n v="337.68000000000006"/>
    <n v="0.21026021008586501"/>
    <x v="11"/>
    <n v="337.68000000000006"/>
  </r>
  <r>
    <d v="2023-06-05T00:00:00"/>
    <x v="10"/>
    <x v="2"/>
    <x v="0"/>
    <n v="223.07"/>
    <n v="156.33000000000001"/>
    <n v="5"/>
    <n v="1115.3499999999999"/>
    <n v="781.65000000000009"/>
    <n v="333.69999999999982"/>
    <n v="0.29918859550813631"/>
    <x v="0"/>
    <n v="333.69999999999982"/>
  </r>
  <r>
    <d v="2024-06-07T00:00:00"/>
    <x v="3"/>
    <x v="2"/>
    <x v="0"/>
    <n v="781.48"/>
    <n v="466.27"/>
    <n v="2"/>
    <n v="1562.96"/>
    <n v="932.54"/>
    <n v="630.42000000000007"/>
    <n v="0.40335005374417776"/>
    <x v="4"/>
    <n v="630.42000000000007"/>
  </r>
  <r>
    <d v="2022-05-11T00:00:00"/>
    <x v="4"/>
    <x v="2"/>
    <x v="2"/>
    <n v="919.09"/>
    <n v="748.71"/>
    <n v="5"/>
    <n v="4595.45"/>
    <n v="3743.55"/>
    <n v="851.89999999999964"/>
    <n v="0.18537901620080724"/>
    <x v="35"/>
    <n v="851.89999999999964"/>
  </r>
  <r>
    <d v="2022-08-16T00:00:00"/>
    <x v="0"/>
    <x v="0"/>
    <x v="0"/>
    <n v="488.72"/>
    <n v="383.17"/>
    <n v="7"/>
    <n v="3421.04"/>
    <n v="2682.19"/>
    <n v="738.84999999999991"/>
    <n v="0.21597233589785561"/>
    <x v="15"/>
    <n v="738.84999999999991"/>
  </r>
  <r>
    <d v="2024-09-22T00:00:00"/>
    <x v="6"/>
    <x v="3"/>
    <x v="3"/>
    <n v="1296.6500000000001"/>
    <n v="875.06"/>
    <n v="1"/>
    <n v="1296.6500000000001"/>
    <n v="875.06"/>
    <n v="421.59000000000015"/>
    <n v="0.32513785524235539"/>
    <x v="16"/>
    <n v="421.59000000000015"/>
  </r>
  <r>
    <d v="2023-01-11T00:00:00"/>
    <x v="8"/>
    <x v="1"/>
    <x v="0"/>
    <n v="1444.32"/>
    <n v="858.77"/>
    <n v="9"/>
    <n v="12998.88"/>
    <n v="7728.93"/>
    <n v="5269.9499999999989"/>
    <n v="0.40541569735238725"/>
    <x v="13"/>
    <n v="5269.9499999999989"/>
  </r>
  <r>
    <d v="2022-10-21T00:00:00"/>
    <x v="7"/>
    <x v="0"/>
    <x v="0"/>
    <n v="1169.72"/>
    <n v="745.92"/>
    <n v="3"/>
    <n v="3509.16"/>
    <n v="2237.7599999999998"/>
    <n v="1271.4000000000001"/>
    <n v="0.36230892863249331"/>
    <x v="25"/>
    <n v="1271.4000000000001"/>
  </r>
  <r>
    <d v="2024-07-22T00:00:00"/>
    <x v="7"/>
    <x v="0"/>
    <x v="2"/>
    <n v="270.57"/>
    <n v="220.12"/>
    <n v="7"/>
    <n v="1893.99"/>
    <n v="1540.8400000000001"/>
    <n v="353.14999999999986"/>
    <n v="0.18645821783641933"/>
    <x v="28"/>
    <n v="353.14999999999986"/>
  </r>
  <r>
    <d v="2022-12-21T00:00:00"/>
    <x v="9"/>
    <x v="3"/>
    <x v="0"/>
    <n v="478.59"/>
    <n v="352.02"/>
    <n v="4"/>
    <n v="1914.36"/>
    <n v="1408.08"/>
    <n v="506.28"/>
    <n v="0.26446436406945401"/>
    <x v="33"/>
    <n v="506.28"/>
  </r>
  <r>
    <d v="2023-10-21T00:00:00"/>
    <x v="3"/>
    <x v="2"/>
    <x v="3"/>
    <n v="213.32"/>
    <n v="131"/>
    <n v="1"/>
    <n v="213.32"/>
    <n v="131"/>
    <n v="82.32"/>
    <n v="0.38589911869491839"/>
    <x v="5"/>
    <n v="82.32"/>
  </r>
  <r>
    <d v="2024-06-08T00:00:00"/>
    <x v="8"/>
    <x v="1"/>
    <x v="0"/>
    <n v="900.7"/>
    <n v="766.79"/>
    <n v="10"/>
    <n v="9007"/>
    <n v="7667.9"/>
    <n v="1339.1000000000004"/>
    <n v="0.14867325413567228"/>
    <x v="4"/>
    <n v="1339.1000000000004"/>
  </r>
  <r>
    <d v="2024-01-28T00:00:00"/>
    <x v="10"/>
    <x v="2"/>
    <x v="2"/>
    <n v="1043.31"/>
    <n v="782.35"/>
    <n v="6"/>
    <n v="6259.86"/>
    <n v="4694.1000000000004"/>
    <n v="1565.7599999999993"/>
    <n v="0.25012699964535939"/>
    <x v="26"/>
    <n v="1565.7599999999993"/>
  </r>
  <r>
    <d v="2024-01-01T00:00:00"/>
    <x v="5"/>
    <x v="3"/>
    <x v="2"/>
    <n v="1202.71"/>
    <n v="963.89"/>
    <n v="8"/>
    <n v="9621.68"/>
    <n v="7711.12"/>
    <n v="1910.5600000000004"/>
    <n v="0.19856823340622431"/>
    <x v="26"/>
    <n v="1910.5600000000004"/>
  </r>
  <r>
    <d v="2024-12-07T00:00:00"/>
    <x v="8"/>
    <x v="1"/>
    <x v="0"/>
    <n v="1984.5"/>
    <n v="1502.91"/>
    <n v="10"/>
    <n v="19845"/>
    <n v="15029.1"/>
    <n v="4815.8999999999996"/>
    <n v="0.24267573696145123"/>
    <x v="23"/>
    <n v="4815.8999999999996"/>
  </r>
  <r>
    <d v="2024-04-08T00:00:00"/>
    <x v="2"/>
    <x v="0"/>
    <x v="0"/>
    <n v="338.37"/>
    <n v="256.51"/>
    <n v="9"/>
    <n v="3045.33"/>
    <n v="2308.59"/>
    <n v="736.73999999999978"/>
    <n v="0.24192452049531571"/>
    <x v="22"/>
    <n v="736.73999999999978"/>
  </r>
  <r>
    <d v="2023-03-20T00:00:00"/>
    <x v="6"/>
    <x v="3"/>
    <x v="2"/>
    <n v="816.6"/>
    <n v="655.71"/>
    <n v="2"/>
    <n v="1633.2"/>
    <n v="1311.42"/>
    <n v="321.77999999999997"/>
    <n v="0.19702424687729608"/>
    <x v="19"/>
    <n v="321.77999999999997"/>
  </r>
  <r>
    <d v="2023-04-10T00:00:00"/>
    <x v="4"/>
    <x v="2"/>
    <x v="2"/>
    <n v="518.04"/>
    <n v="295.93"/>
    <n v="7"/>
    <n v="3626.2799999999997"/>
    <n v="2071.5100000000002"/>
    <n v="1554.7699999999995"/>
    <n v="0.42875067562350389"/>
    <x v="6"/>
    <n v="1554.7699999999995"/>
  </r>
  <r>
    <d v="2022-11-16T00:00:00"/>
    <x v="2"/>
    <x v="0"/>
    <x v="0"/>
    <n v="669.66"/>
    <n v="372.09"/>
    <n v="1"/>
    <n v="669.66"/>
    <n v="372.09"/>
    <n v="297.57"/>
    <n v="0.44435982438849564"/>
    <x v="1"/>
    <n v="297.57"/>
  </r>
  <r>
    <d v="2023-04-28T00:00:00"/>
    <x v="4"/>
    <x v="2"/>
    <x v="2"/>
    <n v="438.29"/>
    <n v="267.8"/>
    <n v="7"/>
    <n v="3068.03"/>
    <n v="1874.6000000000001"/>
    <n v="1193.43"/>
    <n v="0.38898902553104109"/>
    <x v="6"/>
    <n v="1193.43"/>
  </r>
  <r>
    <d v="2023-05-15T00:00:00"/>
    <x v="1"/>
    <x v="1"/>
    <x v="3"/>
    <n v="1644.83"/>
    <n v="982.43"/>
    <n v="8"/>
    <n v="13158.64"/>
    <n v="7859.44"/>
    <n v="5299.2"/>
    <n v="0.40271639014366228"/>
    <x v="31"/>
    <n v="5299.2"/>
  </r>
  <r>
    <d v="2024-09-23T00:00:00"/>
    <x v="1"/>
    <x v="1"/>
    <x v="1"/>
    <n v="1178.71"/>
    <n v="913.41"/>
    <n v="9"/>
    <n v="10608.39"/>
    <n v="8220.69"/>
    <n v="2387.6999999999989"/>
    <n v="0.22507656675518142"/>
    <x v="16"/>
    <n v="2387.6999999999989"/>
  </r>
  <r>
    <d v="2023-06-01T00:00:00"/>
    <x v="9"/>
    <x v="3"/>
    <x v="0"/>
    <n v="26.14"/>
    <n v="17.63"/>
    <n v="9"/>
    <n v="235.26"/>
    <n v="158.66999999999999"/>
    <n v="76.59"/>
    <n v="0.32555470543228771"/>
    <x v="0"/>
    <n v="76.59"/>
  </r>
  <r>
    <d v="2023-10-21T00:00:00"/>
    <x v="3"/>
    <x v="2"/>
    <x v="1"/>
    <n v="207.2"/>
    <n v="162.25"/>
    <n v="2"/>
    <n v="414.4"/>
    <n v="324.5"/>
    <n v="89.899999999999977"/>
    <n v="0.21694015444015441"/>
    <x v="5"/>
    <n v="89.899999999999977"/>
  </r>
  <r>
    <d v="2022-02-03T00:00:00"/>
    <x v="1"/>
    <x v="1"/>
    <x v="2"/>
    <n v="553.69000000000005"/>
    <n v="291.12"/>
    <n v="6"/>
    <n v="3322.1400000000003"/>
    <n v="1746.72"/>
    <n v="1575.4200000000003"/>
    <n v="0.47421842547273751"/>
    <x v="20"/>
    <n v="1575.4200000000003"/>
  </r>
  <r>
    <d v="2022-06-03T00:00:00"/>
    <x v="3"/>
    <x v="2"/>
    <x v="3"/>
    <n v="101.62"/>
    <n v="80.680000000000007"/>
    <n v="10"/>
    <n v="1016.2"/>
    <n v="806.80000000000007"/>
    <n v="209.39999999999998"/>
    <n v="0.20606179885849238"/>
    <x v="18"/>
    <n v="209.39999999999998"/>
  </r>
  <r>
    <d v="2024-08-20T00:00:00"/>
    <x v="8"/>
    <x v="1"/>
    <x v="0"/>
    <n v="705.69"/>
    <n v="586.69000000000005"/>
    <n v="4"/>
    <n v="2822.76"/>
    <n v="2346.7600000000002"/>
    <n v="476"/>
    <n v="0.168629284813445"/>
    <x v="21"/>
    <n v="476"/>
  </r>
  <r>
    <d v="2022-04-20T00:00:00"/>
    <x v="1"/>
    <x v="1"/>
    <x v="2"/>
    <n v="295.49"/>
    <n v="157.51"/>
    <n v="2"/>
    <n v="590.98"/>
    <n v="315.02"/>
    <n v="275.96000000000004"/>
    <n v="0.46695319638566452"/>
    <x v="32"/>
    <n v="275.96000000000004"/>
  </r>
  <r>
    <d v="2023-02-08T00:00:00"/>
    <x v="0"/>
    <x v="0"/>
    <x v="2"/>
    <n v="1269.52"/>
    <n v="936.16"/>
    <n v="1"/>
    <n v="1269.52"/>
    <n v="936.16"/>
    <n v="333.36"/>
    <n v="0.26258743462095913"/>
    <x v="27"/>
    <n v="333.36"/>
  </r>
  <r>
    <d v="2022-06-13T00:00:00"/>
    <x v="5"/>
    <x v="3"/>
    <x v="1"/>
    <n v="375.07"/>
    <n v="191.48"/>
    <n v="2"/>
    <n v="750.14"/>
    <n v="382.96"/>
    <n v="367.18"/>
    <n v="0.48948196336683819"/>
    <x v="18"/>
    <n v="367.18"/>
  </r>
  <r>
    <d v="2024-08-28T00:00:00"/>
    <x v="4"/>
    <x v="2"/>
    <x v="3"/>
    <n v="546.9"/>
    <n v="468.55"/>
    <n v="5"/>
    <n v="2734.5"/>
    <n v="2342.75"/>
    <n v="391.75"/>
    <n v="0.14326202230755167"/>
    <x v="21"/>
    <n v="391.75"/>
  </r>
  <r>
    <d v="2022-05-03T00:00:00"/>
    <x v="9"/>
    <x v="3"/>
    <x v="0"/>
    <n v="606.52"/>
    <n v="516.75"/>
    <n v="10"/>
    <n v="6065.2"/>
    <n v="5167.5"/>
    <n v="897.69999999999982"/>
    <n v="0.14800830970124643"/>
    <x v="35"/>
    <n v="897.69999999999982"/>
  </r>
  <r>
    <d v="2023-12-25T00:00:00"/>
    <x v="9"/>
    <x v="3"/>
    <x v="1"/>
    <n v="466.48"/>
    <n v="304.44"/>
    <n v="5"/>
    <n v="2332.4"/>
    <n v="1522.2"/>
    <n v="810.2"/>
    <n v="0.34736751843594582"/>
    <x v="30"/>
    <n v="810.2"/>
  </r>
  <r>
    <d v="2024-06-10T00:00:00"/>
    <x v="0"/>
    <x v="0"/>
    <x v="0"/>
    <n v="969.55"/>
    <n v="701.33"/>
    <n v="9"/>
    <n v="8725.9499999999989"/>
    <n v="6311.97"/>
    <n v="2413.9799999999987"/>
    <n v="0.27664380382651732"/>
    <x v="4"/>
    <n v="2413.9799999999987"/>
  </r>
  <r>
    <d v="2022-06-06T00:00:00"/>
    <x v="0"/>
    <x v="0"/>
    <x v="2"/>
    <n v="698.11"/>
    <n v="440.57"/>
    <n v="8"/>
    <n v="5584.88"/>
    <n v="3524.56"/>
    <n v="2060.3200000000002"/>
    <n v="0.36891034364211944"/>
    <x v="18"/>
    <n v="2060.3200000000002"/>
  </r>
  <r>
    <d v="2023-05-22T00:00:00"/>
    <x v="8"/>
    <x v="1"/>
    <x v="2"/>
    <n v="930.51"/>
    <n v="645.79999999999995"/>
    <n v="1"/>
    <n v="930.51"/>
    <n v="645.79999999999995"/>
    <n v="284.71000000000004"/>
    <n v="0.30597199385283341"/>
    <x v="31"/>
    <n v="284.71000000000004"/>
  </r>
  <r>
    <d v="2022-01-23T00:00:00"/>
    <x v="0"/>
    <x v="0"/>
    <x v="2"/>
    <n v="483.41"/>
    <n v="422.1"/>
    <n v="8"/>
    <n v="3867.28"/>
    <n v="3376.8"/>
    <n v="490.48"/>
    <n v="0.12682815829213298"/>
    <x v="9"/>
    <n v="490.48"/>
  </r>
  <r>
    <d v="2023-04-06T00:00:00"/>
    <x v="5"/>
    <x v="3"/>
    <x v="0"/>
    <n v="536.24"/>
    <n v="398.75"/>
    <n v="2"/>
    <n v="1072.48"/>
    <n v="797.5"/>
    <n v="274.98"/>
    <n v="0.25639638967626438"/>
    <x v="6"/>
    <n v="274.98"/>
  </r>
  <r>
    <d v="2022-07-16T00:00:00"/>
    <x v="0"/>
    <x v="0"/>
    <x v="1"/>
    <n v="430.42"/>
    <n v="280.32"/>
    <n v="5"/>
    <n v="2152.1"/>
    <n v="1401.6"/>
    <n v="750.5"/>
    <n v="0.3487291482737791"/>
    <x v="8"/>
    <n v="750.5"/>
  </r>
  <r>
    <d v="2022-05-02T00:00:00"/>
    <x v="9"/>
    <x v="3"/>
    <x v="2"/>
    <n v="258.92"/>
    <n v="135.03"/>
    <n v="3"/>
    <n v="776.76"/>
    <n v="405.09000000000003"/>
    <n v="371.66999999999996"/>
    <n v="0.47848756372624746"/>
    <x v="35"/>
    <n v="371.66999999999996"/>
  </r>
  <r>
    <d v="2023-10-26T00:00:00"/>
    <x v="8"/>
    <x v="1"/>
    <x v="0"/>
    <n v="1807.92"/>
    <n v="1349.5"/>
    <n v="7"/>
    <n v="12655.44"/>
    <n v="9446.5"/>
    <n v="3208.9400000000005"/>
    <n v="0.25356210451789907"/>
    <x v="5"/>
    <n v="3208.9400000000005"/>
  </r>
  <r>
    <d v="2024-10-01T00:00:00"/>
    <x v="4"/>
    <x v="2"/>
    <x v="2"/>
    <n v="806.93"/>
    <n v="649.66999999999996"/>
    <n v="5"/>
    <n v="4034.6499999999996"/>
    <n v="3248.35"/>
    <n v="786.29999999999973"/>
    <n v="0.19488679315430082"/>
    <x v="17"/>
    <n v="786.29999999999973"/>
  </r>
  <r>
    <d v="2022-04-05T00:00:00"/>
    <x v="0"/>
    <x v="0"/>
    <x v="3"/>
    <n v="220.8"/>
    <n v="111.76"/>
    <n v="9"/>
    <n v="1987.2"/>
    <n v="1005.84"/>
    <n v="981.36"/>
    <n v="0.49384057971014494"/>
    <x v="32"/>
    <n v="981.36"/>
  </r>
  <r>
    <d v="2024-06-12T00:00:00"/>
    <x v="10"/>
    <x v="2"/>
    <x v="2"/>
    <n v="687.86"/>
    <n v="497.41"/>
    <n v="4"/>
    <n v="2751.44"/>
    <n v="1989.64"/>
    <n v="761.8"/>
    <n v="0.27687320094205214"/>
    <x v="4"/>
    <n v="761.8"/>
  </r>
  <r>
    <d v="2022-02-17T00:00:00"/>
    <x v="1"/>
    <x v="1"/>
    <x v="2"/>
    <n v="393.79"/>
    <n v="258.57"/>
    <n v="5"/>
    <n v="1968.95"/>
    <n v="1292.8499999999999"/>
    <n v="676.10000000000014"/>
    <n v="0.34338098986769605"/>
    <x v="20"/>
    <n v="676.10000000000014"/>
  </r>
  <r>
    <d v="2023-11-05T00:00:00"/>
    <x v="2"/>
    <x v="0"/>
    <x v="2"/>
    <n v="1584.13"/>
    <n v="1386.01"/>
    <n v="7"/>
    <n v="11088.91"/>
    <n v="9702.07"/>
    <n v="1386.8400000000001"/>
    <n v="0.1250654933622872"/>
    <x v="10"/>
    <n v="1386.8400000000001"/>
  </r>
  <r>
    <d v="2022-04-03T00:00:00"/>
    <x v="8"/>
    <x v="1"/>
    <x v="1"/>
    <n v="375.7"/>
    <n v="287.77"/>
    <n v="3"/>
    <n v="1127.0999999999999"/>
    <n v="863.31"/>
    <n v="263.78999999999996"/>
    <n v="0.23404311951024753"/>
    <x v="32"/>
    <n v="263.78999999999996"/>
  </r>
  <r>
    <d v="2022-08-22T00:00:00"/>
    <x v="10"/>
    <x v="2"/>
    <x v="3"/>
    <n v="340.24"/>
    <n v="209.44"/>
    <n v="3"/>
    <n v="1020.72"/>
    <n v="628.31999999999994"/>
    <n v="392.40000000000009"/>
    <n v="0.38443451681166241"/>
    <x v="15"/>
    <n v="392.40000000000009"/>
  </r>
  <r>
    <d v="2023-03-15T00:00:00"/>
    <x v="8"/>
    <x v="1"/>
    <x v="1"/>
    <n v="1780.59"/>
    <n v="936.63"/>
    <n v="1"/>
    <n v="1780.59"/>
    <n v="936.63"/>
    <n v="843.95999999999992"/>
    <n v="0.47397772648391823"/>
    <x v="19"/>
    <n v="843.95999999999992"/>
  </r>
  <r>
    <d v="2023-02-16T00:00:00"/>
    <x v="8"/>
    <x v="1"/>
    <x v="0"/>
    <n v="1206.44"/>
    <n v="849.26"/>
    <n v="1"/>
    <n v="1206.44"/>
    <n v="849.26"/>
    <n v="357.18000000000006"/>
    <n v="0.29606113855641397"/>
    <x v="27"/>
    <n v="357.18000000000006"/>
  </r>
  <r>
    <d v="2023-10-29T00:00:00"/>
    <x v="4"/>
    <x v="2"/>
    <x v="1"/>
    <n v="933.22"/>
    <n v="519.69000000000005"/>
    <n v="2"/>
    <n v="1866.44"/>
    <n v="1039.3800000000001"/>
    <n v="827.06"/>
    <n v="0.44312166477357962"/>
    <x v="5"/>
    <n v="827.06"/>
  </r>
  <r>
    <d v="2024-03-28T00:00:00"/>
    <x v="0"/>
    <x v="0"/>
    <x v="1"/>
    <n v="615.29999999999995"/>
    <n v="535.69000000000005"/>
    <n v="8"/>
    <n v="4922.3999999999996"/>
    <n v="4285.5200000000004"/>
    <n v="636.8799999999992"/>
    <n v="0.12938404030554185"/>
    <x v="29"/>
    <n v="636.8799999999992"/>
  </r>
  <r>
    <d v="2022-02-19T00:00:00"/>
    <x v="5"/>
    <x v="3"/>
    <x v="1"/>
    <n v="1068.22"/>
    <n v="596.02"/>
    <n v="9"/>
    <n v="9613.98"/>
    <n v="5364.18"/>
    <n v="4249.7999999999993"/>
    <n v="0.44204377375447002"/>
    <x v="20"/>
    <n v="4249.7999999999993"/>
  </r>
  <r>
    <d v="2022-02-05T00:00:00"/>
    <x v="1"/>
    <x v="1"/>
    <x v="0"/>
    <n v="1101.6099999999999"/>
    <n v="709.71"/>
    <n v="3"/>
    <n v="3304.83"/>
    <n v="2129.13"/>
    <n v="1175.6999999999998"/>
    <n v="0.35575203565690211"/>
    <x v="20"/>
    <n v="1175.6999999999998"/>
  </r>
  <r>
    <d v="2023-06-03T00:00:00"/>
    <x v="4"/>
    <x v="2"/>
    <x v="2"/>
    <n v="1996.5"/>
    <n v="1316.44"/>
    <n v="1"/>
    <n v="1996.5"/>
    <n v="1316.44"/>
    <n v="680.06"/>
    <n v="0.34062609566741797"/>
    <x v="0"/>
    <n v="680.06"/>
  </r>
  <r>
    <d v="2024-03-06T00:00:00"/>
    <x v="9"/>
    <x v="3"/>
    <x v="2"/>
    <n v="1036.9100000000001"/>
    <n v="833.58"/>
    <n v="9"/>
    <n v="9332.19"/>
    <n v="7502.22"/>
    <n v="1829.9700000000003"/>
    <n v="0.19609223558457342"/>
    <x v="29"/>
    <n v="1829.9700000000003"/>
  </r>
  <r>
    <d v="2022-09-30T00:00:00"/>
    <x v="3"/>
    <x v="2"/>
    <x v="3"/>
    <n v="174.32"/>
    <n v="129.71"/>
    <n v="1"/>
    <n v="174.32"/>
    <n v="129.71"/>
    <n v="44.609999999999985"/>
    <n v="0.25590867370353365"/>
    <x v="12"/>
    <n v="44.609999999999985"/>
  </r>
  <r>
    <d v="2023-01-14T00:00:00"/>
    <x v="5"/>
    <x v="3"/>
    <x v="0"/>
    <n v="392.82"/>
    <n v="315.66000000000003"/>
    <n v="2"/>
    <n v="785.64"/>
    <n v="631.32000000000005"/>
    <n v="154.31999999999994"/>
    <n v="0.19642584389796847"/>
    <x v="13"/>
    <n v="154.31999999999994"/>
  </r>
  <r>
    <d v="2023-10-05T00:00:00"/>
    <x v="6"/>
    <x v="3"/>
    <x v="2"/>
    <n v="37.32"/>
    <n v="18.93"/>
    <n v="6"/>
    <n v="223.92000000000002"/>
    <n v="113.58"/>
    <n v="110.34000000000002"/>
    <n v="0.49276527331189712"/>
    <x v="5"/>
    <n v="110.34000000000002"/>
  </r>
  <r>
    <d v="2024-03-18T00:00:00"/>
    <x v="0"/>
    <x v="0"/>
    <x v="0"/>
    <n v="1298.6199999999999"/>
    <n v="985.55"/>
    <n v="9"/>
    <n v="11687.579999999998"/>
    <n v="8869.9499999999989"/>
    <n v="2817.6299999999992"/>
    <n v="0.24107899154487067"/>
    <x v="29"/>
    <n v="2817.6299999999992"/>
  </r>
  <r>
    <d v="2023-02-04T00:00:00"/>
    <x v="1"/>
    <x v="1"/>
    <x v="2"/>
    <n v="1059.53"/>
    <n v="650.86"/>
    <n v="5"/>
    <n v="5297.65"/>
    <n v="3254.3"/>
    <n v="2043.3499999999995"/>
    <n v="0.38570875765669677"/>
    <x v="27"/>
    <n v="2043.3499999999995"/>
  </r>
  <r>
    <d v="2023-03-25T00:00:00"/>
    <x v="7"/>
    <x v="0"/>
    <x v="2"/>
    <n v="1231.0999999999999"/>
    <n v="1037.94"/>
    <n v="5"/>
    <n v="6155.5"/>
    <n v="5189.7000000000007"/>
    <n v="965.79999999999927"/>
    <n v="0.15690033303549658"/>
    <x v="19"/>
    <n v="965.79999999999927"/>
  </r>
  <r>
    <d v="2024-10-27T00:00:00"/>
    <x v="4"/>
    <x v="2"/>
    <x v="0"/>
    <n v="1223.23"/>
    <n v="775.71"/>
    <n v="7"/>
    <n v="8562.61"/>
    <n v="5429.97"/>
    <n v="3132.6400000000003"/>
    <n v="0.36585106643885451"/>
    <x v="17"/>
    <n v="3132.6400000000003"/>
  </r>
  <r>
    <d v="2023-12-30T00:00:00"/>
    <x v="1"/>
    <x v="1"/>
    <x v="3"/>
    <n v="1353.25"/>
    <n v="734.68"/>
    <n v="10"/>
    <n v="13532.5"/>
    <n v="7346.7999999999993"/>
    <n v="6185.7000000000007"/>
    <n v="0.45709957509698879"/>
    <x v="30"/>
    <n v="6185.7000000000007"/>
  </r>
  <r>
    <d v="2024-01-25T00:00:00"/>
    <x v="0"/>
    <x v="0"/>
    <x v="0"/>
    <n v="513.22"/>
    <n v="407.52"/>
    <n v="1"/>
    <n v="513.22"/>
    <n v="407.52"/>
    <n v="105.70000000000005"/>
    <n v="0.20595456139667206"/>
    <x v="26"/>
    <n v="105.70000000000005"/>
  </r>
  <r>
    <d v="2023-07-24T00:00:00"/>
    <x v="5"/>
    <x v="3"/>
    <x v="3"/>
    <n v="613.99"/>
    <n v="391.21"/>
    <n v="2"/>
    <n v="1227.98"/>
    <n v="782.42"/>
    <n v="445.56000000000006"/>
    <n v="0.36283978566426167"/>
    <x v="11"/>
    <n v="445.56000000000006"/>
  </r>
  <r>
    <d v="2024-08-05T00:00:00"/>
    <x v="4"/>
    <x v="2"/>
    <x v="1"/>
    <n v="1519.58"/>
    <n v="1324.12"/>
    <n v="1"/>
    <n v="1519.58"/>
    <n v="1324.12"/>
    <n v="195.46000000000004"/>
    <n v="0.12862764711301811"/>
    <x v="21"/>
    <n v="195.46000000000004"/>
  </r>
  <r>
    <d v="2022-12-29T00:00:00"/>
    <x v="3"/>
    <x v="2"/>
    <x v="1"/>
    <n v="773.53"/>
    <n v="664.12"/>
    <n v="7"/>
    <n v="5414.71"/>
    <n v="4648.84"/>
    <n v="765.86999999999989"/>
    <n v="0.14144247799051102"/>
    <x v="33"/>
    <n v="765.86999999999989"/>
  </r>
  <r>
    <d v="2022-08-21T00:00:00"/>
    <x v="4"/>
    <x v="2"/>
    <x v="0"/>
    <n v="674.43"/>
    <n v="587.04999999999995"/>
    <n v="8"/>
    <n v="5395.44"/>
    <n v="4696.3999999999996"/>
    <n v="699.04"/>
    <n v="0.12956125913734562"/>
    <x v="15"/>
    <n v="699.04"/>
  </r>
  <r>
    <d v="2022-10-08T00:00:00"/>
    <x v="9"/>
    <x v="3"/>
    <x v="3"/>
    <n v="505.99"/>
    <n v="443.67"/>
    <n v="9"/>
    <n v="4553.91"/>
    <n v="3993.03"/>
    <n v="560.87999999999965"/>
    <n v="0.12316448941678682"/>
    <x v="25"/>
    <n v="560.87999999999965"/>
  </r>
  <r>
    <d v="2024-12-10T00:00:00"/>
    <x v="1"/>
    <x v="1"/>
    <x v="3"/>
    <n v="1217.94"/>
    <n v="1003.58"/>
    <n v="3"/>
    <n v="3653.82"/>
    <n v="3010.7400000000002"/>
    <n v="643.07999999999993"/>
    <n v="0.17600210190978208"/>
    <x v="23"/>
    <n v="643.07999999999993"/>
  </r>
  <r>
    <d v="2023-06-25T00:00:00"/>
    <x v="10"/>
    <x v="2"/>
    <x v="3"/>
    <n v="1537.39"/>
    <n v="985.22"/>
    <n v="10"/>
    <n v="15373.900000000001"/>
    <n v="9852.2000000000007"/>
    <n v="5521.7000000000007"/>
    <n v="0.35916065539648367"/>
    <x v="0"/>
    <n v="5521.7000000000007"/>
  </r>
  <r>
    <d v="2024-03-31T00:00:00"/>
    <x v="2"/>
    <x v="0"/>
    <x v="2"/>
    <n v="687.08"/>
    <n v="581.41999999999996"/>
    <n v="7"/>
    <n v="4809.5600000000004"/>
    <n v="4069.9399999999996"/>
    <n v="739.6200000000008"/>
    <n v="0.15378121907201506"/>
    <x v="29"/>
    <n v="739.6200000000008"/>
  </r>
  <r>
    <d v="2023-09-15T00:00:00"/>
    <x v="8"/>
    <x v="1"/>
    <x v="0"/>
    <n v="454.09"/>
    <n v="245.2"/>
    <n v="3"/>
    <n v="1362.27"/>
    <n v="735.59999999999991"/>
    <n v="626.67000000000007"/>
    <n v="0.46001893897685486"/>
    <x v="24"/>
    <n v="626.67000000000007"/>
  </r>
  <r>
    <d v="2022-07-30T00:00:00"/>
    <x v="4"/>
    <x v="2"/>
    <x v="1"/>
    <n v="1753.52"/>
    <n v="904.66"/>
    <n v="2"/>
    <n v="3507.04"/>
    <n v="1809.32"/>
    <n v="1697.72"/>
    <n v="0.48408914640266437"/>
    <x v="8"/>
    <n v="1697.72"/>
  </r>
  <r>
    <d v="2024-05-20T00:00:00"/>
    <x v="8"/>
    <x v="1"/>
    <x v="0"/>
    <n v="1775.96"/>
    <n v="1410.66"/>
    <n v="2"/>
    <n v="3551.92"/>
    <n v="2821.32"/>
    <n v="730.59999999999991"/>
    <n v="0.20569156962994659"/>
    <x v="3"/>
    <n v="730.59999999999991"/>
  </r>
  <r>
    <d v="2023-06-13T00:00:00"/>
    <x v="9"/>
    <x v="3"/>
    <x v="1"/>
    <n v="316.76"/>
    <n v="244.22"/>
    <n v="10"/>
    <n v="3167.6"/>
    <n v="2442.1999999999998"/>
    <n v="725.40000000000009"/>
    <n v="0.22900618764995584"/>
    <x v="0"/>
    <n v="725.40000000000009"/>
  </r>
  <r>
    <d v="2024-06-13T00:00:00"/>
    <x v="10"/>
    <x v="2"/>
    <x v="1"/>
    <n v="1251.4100000000001"/>
    <n v="979.32"/>
    <n v="6"/>
    <n v="7508.4600000000009"/>
    <n v="5875.92"/>
    <n v="1632.5400000000009"/>
    <n v="0.21742674263430858"/>
    <x v="4"/>
    <n v="1632.5400000000009"/>
  </r>
  <r>
    <d v="2023-05-04T00:00:00"/>
    <x v="6"/>
    <x v="3"/>
    <x v="1"/>
    <n v="1127.17"/>
    <n v="709.73"/>
    <n v="1"/>
    <n v="1127.17"/>
    <n v="709.73"/>
    <n v="417.44000000000005"/>
    <n v="0.37034342645741108"/>
    <x v="31"/>
    <n v="417.44000000000005"/>
  </r>
  <r>
    <d v="2024-10-05T00:00:00"/>
    <x v="8"/>
    <x v="1"/>
    <x v="3"/>
    <n v="1479.83"/>
    <n v="1164.98"/>
    <n v="3"/>
    <n v="4439.49"/>
    <n v="3494.94"/>
    <n v="944.54999999999973"/>
    <n v="0.21276092524141282"/>
    <x v="17"/>
    <n v="944.54999999999973"/>
  </r>
  <r>
    <d v="2023-07-13T00:00:00"/>
    <x v="7"/>
    <x v="0"/>
    <x v="2"/>
    <n v="1510.45"/>
    <n v="979.05"/>
    <n v="4"/>
    <n v="6041.8"/>
    <n v="3916.2"/>
    <n v="2125.6000000000004"/>
    <n v="0.351815684067662"/>
    <x v="11"/>
    <n v="2125.6000000000004"/>
  </r>
  <r>
    <d v="2023-02-27T00:00:00"/>
    <x v="5"/>
    <x v="3"/>
    <x v="2"/>
    <n v="1668.47"/>
    <n v="1248.26"/>
    <n v="2"/>
    <n v="3336.94"/>
    <n v="2496.52"/>
    <n v="840.42000000000007"/>
    <n v="0.25185349451893052"/>
    <x v="27"/>
    <n v="840.42000000000007"/>
  </r>
  <r>
    <d v="2023-03-18T00:00:00"/>
    <x v="9"/>
    <x v="3"/>
    <x v="1"/>
    <n v="917.07"/>
    <n v="749.73"/>
    <n v="9"/>
    <n v="8253.630000000001"/>
    <n v="6747.57"/>
    <n v="1506.0600000000013"/>
    <n v="0.18247243939939167"/>
    <x v="19"/>
    <n v="1506.0600000000013"/>
  </r>
  <r>
    <d v="2023-01-03T00:00:00"/>
    <x v="6"/>
    <x v="3"/>
    <x v="2"/>
    <n v="122.47"/>
    <n v="110.03"/>
    <n v="5"/>
    <n v="612.35"/>
    <n v="550.15"/>
    <n v="62.200000000000045"/>
    <n v="0.10157589613782975"/>
    <x v="13"/>
    <n v="62.200000000000045"/>
  </r>
  <r>
    <d v="2024-06-12T00:00:00"/>
    <x v="2"/>
    <x v="0"/>
    <x v="1"/>
    <n v="1563.81"/>
    <n v="1136.6199999999999"/>
    <n v="4"/>
    <n v="6255.24"/>
    <n v="4546.4799999999996"/>
    <n v="1708.7600000000002"/>
    <n v="0.27317257211553836"/>
    <x v="4"/>
    <n v="1708.7600000000002"/>
  </r>
  <r>
    <d v="2024-07-28T00:00:00"/>
    <x v="6"/>
    <x v="3"/>
    <x v="3"/>
    <n v="291.2"/>
    <n v="232.39"/>
    <n v="2"/>
    <n v="582.4"/>
    <n v="464.78"/>
    <n v="117.62"/>
    <n v="0.20195741758241759"/>
    <x v="28"/>
    <n v="117.62"/>
  </r>
  <r>
    <d v="2024-04-11T00:00:00"/>
    <x v="4"/>
    <x v="2"/>
    <x v="2"/>
    <n v="861.26"/>
    <n v="602.86"/>
    <n v="4"/>
    <n v="3445.04"/>
    <n v="2411.44"/>
    <n v="1033.5999999999999"/>
    <n v="0.30002554397046188"/>
    <x v="22"/>
    <n v="1033.5999999999999"/>
  </r>
  <r>
    <d v="2022-03-16T00:00:00"/>
    <x v="0"/>
    <x v="0"/>
    <x v="1"/>
    <n v="642.29"/>
    <n v="329.56"/>
    <n v="5"/>
    <n v="3211.45"/>
    <n v="1647.8"/>
    <n v="1563.6499999999999"/>
    <n v="0.48689844151395784"/>
    <x v="7"/>
    <n v="1563.6499999999999"/>
  </r>
  <r>
    <d v="2024-12-08T00:00:00"/>
    <x v="7"/>
    <x v="0"/>
    <x v="2"/>
    <n v="839.19"/>
    <n v="548.07000000000005"/>
    <n v="1"/>
    <n v="839.19"/>
    <n v="548.07000000000005"/>
    <n v="291.12"/>
    <n v="0.3469059450184106"/>
    <x v="23"/>
    <n v="291.12"/>
  </r>
  <r>
    <d v="2024-03-05T00:00:00"/>
    <x v="7"/>
    <x v="0"/>
    <x v="0"/>
    <n v="1536.57"/>
    <n v="1286.1199999999999"/>
    <n v="2"/>
    <n v="3073.14"/>
    <n v="2572.2399999999998"/>
    <n v="500.90000000000009"/>
    <n v="0.16299289977026757"/>
    <x v="29"/>
    <n v="500.90000000000009"/>
  </r>
  <r>
    <d v="2023-12-17T00:00:00"/>
    <x v="10"/>
    <x v="2"/>
    <x v="1"/>
    <n v="203.61"/>
    <n v="153.1"/>
    <n v="7"/>
    <n v="1425.27"/>
    <n v="1071.7"/>
    <n v="353.56999999999994"/>
    <n v="0.24807229507391579"/>
    <x v="30"/>
    <n v="353.56999999999994"/>
  </r>
  <r>
    <d v="2024-08-28T00:00:00"/>
    <x v="3"/>
    <x v="2"/>
    <x v="0"/>
    <n v="1036.1099999999999"/>
    <n v="880.1"/>
    <n v="7"/>
    <n v="7252.7699999999995"/>
    <n v="6160.7"/>
    <n v="1092.0699999999997"/>
    <n v="0.15057281562768429"/>
    <x v="21"/>
    <n v="1092.0699999999997"/>
  </r>
  <r>
    <d v="2023-04-17T00:00:00"/>
    <x v="7"/>
    <x v="0"/>
    <x v="1"/>
    <n v="1087.93"/>
    <n v="681.79"/>
    <n v="4"/>
    <n v="4351.72"/>
    <n v="2727.16"/>
    <n v="1624.5600000000004"/>
    <n v="0.37331445957000919"/>
    <x v="6"/>
    <n v="1624.5600000000004"/>
  </r>
  <r>
    <d v="2023-03-11T00:00:00"/>
    <x v="9"/>
    <x v="3"/>
    <x v="2"/>
    <n v="1021.92"/>
    <n v="851.05"/>
    <n v="4"/>
    <n v="4087.68"/>
    <n v="3404.2"/>
    <n v="683.48"/>
    <n v="0.16720486926569594"/>
    <x v="19"/>
    <n v="683.48"/>
  </r>
  <r>
    <d v="2024-03-08T00:00:00"/>
    <x v="2"/>
    <x v="0"/>
    <x v="3"/>
    <n v="452.35"/>
    <n v="283.48"/>
    <n v="7"/>
    <n v="3166.4500000000003"/>
    <n v="1984.3600000000001"/>
    <n v="1182.0900000000001"/>
    <n v="0.3733171216978004"/>
    <x v="29"/>
    <n v="1182.0900000000001"/>
  </r>
  <r>
    <d v="2023-01-09T00:00:00"/>
    <x v="0"/>
    <x v="0"/>
    <x v="0"/>
    <n v="930.13"/>
    <n v="578.79999999999995"/>
    <n v="3"/>
    <n v="2790.39"/>
    <n v="1736.3999999999999"/>
    <n v="1053.99"/>
    <n v="0.37772139378366465"/>
    <x v="13"/>
    <n v="1053.99"/>
  </r>
  <r>
    <d v="2024-09-08T00:00:00"/>
    <x v="4"/>
    <x v="2"/>
    <x v="0"/>
    <n v="1037.3599999999999"/>
    <n v="782.92"/>
    <n v="1"/>
    <n v="1037.3599999999999"/>
    <n v="782.92"/>
    <n v="254.43999999999994"/>
    <n v="0.2452764710418755"/>
    <x v="16"/>
    <n v="254.43999999999994"/>
  </r>
  <r>
    <d v="2022-06-14T00:00:00"/>
    <x v="1"/>
    <x v="1"/>
    <x v="2"/>
    <n v="1004.02"/>
    <n v="562.16999999999996"/>
    <n v="10"/>
    <n v="10040.200000000001"/>
    <n v="5621.7"/>
    <n v="4418.5000000000009"/>
    <n v="0.44008087488297054"/>
    <x v="18"/>
    <n v="4418.5000000000009"/>
  </r>
  <r>
    <d v="2022-04-10T00:00:00"/>
    <x v="2"/>
    <x v="0"/>
    <x v="0"/>
    <n v="850.12"/>
    <n v="430.11"/>
    <n v="6"/>
    <n v="5100.72"/>
    <n v="2580.66"/>
    <n v="2520.0600000000004"/>
    <n v="0.49405966216534142"/>
    <x v="32"/>
    <n v="2520.0600000000004"/>
  </r>
  <r>
    <d v="2022-07-05T00:00:00"/>
    <x v="2"/>
    <x v="0"/>
    <x v="0"/>
    <n v="941.83"/>
    <n v="788.77"/>
    <n v="10"/>
    <n v="9418.3000000000011"/>
    <n v="7887.7"/>
    <n v="1530.6000000000013"/>
    <n v="0.16251340475457365"/>
    <x v="8"/>
    <n v="1530.6000000000013"/>
  </r>
  <r>
    <d v="2024-07-28T00:00:00"/>
    <x v="7"/>
    <x v="0"/>
    <x v="2"/>
    <n v="579.30999999999995"/>
    <n v="425.66"/>
    <n v="2"/>
    <n v="1158.6199999999999"/>
    <n v="851.32"/>
    <n v="307.29999999999984"/>
    <n v="0.26522932454126452"/>
    <x v="28"/>
    <n v="307.29999999999984"/>
  </r>
  <r>
    <d v="2023-12-24T00:00:00"/>
    <x v="4"/>
    <x v="2"/>
    <x v="0"/>
    <n v="748.18"/>
    <n v="503.44"/>
    <n v="7"/>
    <n v="5237.2599999999993"/>
    <n v="3524.08"/>
    <n v="1713.1799999999994"/>
    <n v="0.32711379614531255"/>
    <x v="30"/>
    <n v="1713.1799999999994"/>
  </r>
  <r>
    <d v="2022-11-30T00:00:00"/>
    <x v="7"/>
    <x v="0"/>
    <x v="2"/>
    <n v="1231.9000000000001"/>
    <n v="848.89"/>
    <n v="6"/>
    <n v="7391.4000000000005"/>
    <n v="5093.34"/>
    <n v="2298.0600000000004"/>
    <n v="0.31090997645912821"/>
    <x v="1"/>
    <n v="2298.0600000000004"/>
  </r>
  <r>
    <d v="2022-01-29T00:00:00"/>
    <x v="9"/>
    <x v="3"/>
    <x v="0"/>
    <n v="220.72"/>
    <n v="183.12"/>
    <n v="8"/>
    <n v="1765.76"/>
    <n v="1464.96"/>
    <n v="300.79999999999995"/>
    <n v="0.17035157665820946"/>
    <x v="9"/>
    <n v="300.79999999999995"/>
  </r>
  <r>
    <d v="2023-11-15T00:00:00"/>
    <x v="7"/>
    <x v="0"/>
    <x v="3"/>
    <n v="1980.28"/>
    <n v="1116.54"/>
    <n v="1"/>
    <n v="1980.28"/>
    <n v="1116.54"/>
    <n v="863.74"/>
    <n v="0.43617064253539906"/>
    <x v="10"/>
    <n v="863.74"/>
  </r>
  <r>
    <d v="2023-10-11T00:00:00"/>
    <x v="7"/>
    <x v="0"/>
    <x v="1"/>
    <n v="301.11"/>
    <n v="195.36"/>
    <n v="3"/>
    <n v="903.33"/>
    <n v="586.08000000000004"/>
    <n v="317.25"/>
    <n v="0.35120055793563815"/>
    <x v="5"/>
    <n v="317.25"/>
  </r>
  <r>
    <d v="2024-03-11T00:00:00"/>
    <x v="7"/>
    <x v="0"/>
    <x v="2"/>
    <n v="961.03"/>
    <n v="737.61"/>
    <n v="4"/>
    <n v="3844.12"/>
    <n v="2950.44"/>
    <n v="893.67999999999984"/>
    <n v="0.23247973528401816"/>
    <x v="29"/>
    <n v="893.67999999999984"/>
  </r>
  <r>
    <d v="2022-08-14T00:00:00"/>
    <x v="10"/>
    <x v="2"/>
    <x v="2"/>
    <n v="974.61"/>
    <n v="729.76"/>
    <n v="7"/>
    <n v="6822.27"/>
    <n v="5108.32"/>
    <n v="1713.9500000000007"/>
    <n v="0.25122869660684793"/>
    <x v="15"/>
    <n v="1713.9500000000007"/>
  </r>
  <r>
    <d v="2024-10-26T00:00:00"/>
    <x v="8"/>
    <x v="1"/>
    <x v="0"/>
    <n v="1576.88"/>
    <n v="921.51"/>
    <n v="5"/>
    <n v="7884.4000000000005"/>
    <n v="4607.55"/>
    <n v="3276.8500000000004"/>
    <n v="0.41561184110395211"/>
    <x v="17"/>
    <n v="3276.8500000000004"/>
  </r>
  <r>
    <d v="2023-03-14T00:00:00"/>
    <x v="5"/>
    <x v="3"/>
    <x v="2"/>
    <n v="1765.81"/>
    <n v="1399.9"/>
    <n v="5"/>
    <n v="8829.0499999999993"/>
    <n v="6999.5"/>
    <n v="1829.5499999999993"/>
    <n v="0.20721934976016665"/>
    <x v="19"/>
    <n v="1829.5499999999993"/>
  </r>
  <r>
    <d v="2022-09-22T00:00:00"/>
    <x v="4"/>
    <x v="2"/>
    <x v="2"/>
    <n v="832.64"/>
    <n v="694.02"/>
    <n v="1"/>
    <n v="832.64"/>
    <n v="694.02"/>
    <n v="138.62"/>
    <n v="0.16648251345119139"/>
    <x v="12"/>
    <n v="138.62"/>
  </r>
  <r>
    <d v="2023-10-20T00:00:00"/>
    <x v="6"/>
    <x v="3"/>
    <x v="1"/>
    <n v="602.16"/>
    <n v="331.55"/>
    <n v="9"/>
    <n v="5419.44"/>
    <n v="2983.9500000000003"/>
    <n v="2435.4899999999993"/>
    <n v="0.44939883087551474"/>
    <x v="5"/>
    <n v="2435.4899999999993"/>
  </r>
  <r>
    <d v="2024-07-25T00:00:00"/>
    <x v="9"/>
    <x v="3"/>
    <x v="2"/>
    <n v="220.81"/>
    <n v="161.33000000000001"/>
    <n v="7"/>
    <n v="1545.67"/>
    <n v="1129.3100000000002"/>
    <n v="416.3599999999999"/>
    <n v="0.26937185815859782"/>
    <x v="28"/>
    <n v="416.3599999999999"/>
  </r>
  <r>
    <d v="2022-10-09T00:00:00"/>
    <x v="8"/>
    <x v="1"/>
    <x v="2"/>
    <n v="148.4"/>
    <n v="113.29"/>
    <n v="6"/>
    <n v="890.40000000000009"/>
    <n v="679.74"/>
    <n v="210.66000000000008"/>
    <n v="0.23659029649595695"/>
    <x v="25"/>
    <n v="210.66000000000008"/>
  </r>
  <r>
    <d v="2023-07-13T00:00:00"/>
    <x v="4"/>
    <x v="2"/>
    <x v="1"/>
    <n v="1512.31"/>
    <n v="1112.19"/>
    <n v="8"/>
    <n v="12098.48"/>
    <n v="8897.52"/>
    <n v="3200.9599999999991"/>
    <n v="0.26457538467642211"/>
    <x v="11"/>
    <n v="3200.9599999999991"/>
  </r>
  <r>
    <d v="2024-07-16T00:00:00"/>
    <x v="0"/>
    <x v="0"/>
    <x v="2"/>
    <n v="803.03"/>
    <n v="488.87"/>
    <n v="10"/>
    <n v="8030.2999999999993"/>
    <n v="4888.7"/>
    <n v="3141.5999999999995"/>
    <n v="0.3912182608370795"/>
    <x v="28"/>
    <n v="3141.5999999999995"/>
  </r>
  <r>
    <d v="2023-05-17T00:00:00"/>
    <x v="5"/>
    <x v="3"/>
    <x v="3"/>
    <n v="1951.27"/>
    <n v="1024.83"/>
    <n v="1"/>
    <n v="1951.27"/>
    <n v="1024.83"/>
    <n v="926.44"/>
    <n v="0.47478821485494066"/>
    <x v="31"/>
    <n v="926.44"/>
  </r>
  <r>
    <d v="2023-08-13T00:00:00"/>
    <x v="10"/>
    <x v="2"/>
    <x v="1"/>
    <n v="787.99"/>
    <n v="593.78"/>
    <n v="7"/>
    <n v="5515.93"/>
    <n v="4156.46"/>
    <n v="1359.4700000000003"/>
    <n v="0.24646251855988024"/>
    <x v="14"/>
    <n v="1359.4700000000003"/>
  </r>
  <r>
    <d v="2024-08-13T00:00:00"/>
    <x v="0"/>
    <x v="0"/>
    <x v="3"/>
    <n v="116.04"/>
    <n v="80.569999999999993"/>
    <n v="9"/>
    <n v="1044.3600000000001"/>
    <n v="725.12999999999988"/>
    <n v="319.23000000000025"/>
    <n v="0.30567045846259933"/>
    <x v="21"/>
    <n v="319.23000000000025"/>
  </r>
  <r>
    <d v="2022-02-06T00:00:00"/>
    <x v="7"/>
    <x v="0"/>
    <x v="3"/>
    <n v="921.58"/>
    <n v="794.11"/>
    <n v="7"/>
    <n v="6451.06"/>
    <n v="5558.77"/>
    <n v="892.29"/>
    <n v="0.13831680375008137"/>
    <x v="20"/>
    <n v="892.29"/>
  </r>
  <r>
    <d v="2023-08-23T00:00:00"/>
    <x v="2"/>
    <x v="0"/>
    <x v="1"/>
    <n v="1731.17"/>
    <n v="1147.5999999999999"/>
    <n v="6"/>
    <n v="10387.02"/>
    <n v="6885.5999999999995"/>
    <n v="3501.420000000001"/>
    <n v="0.33709572139073585"/>
    <x v="14"/>
    <n v="3501.420000000001"/>
  </r>
  <r>
    <d v="2023-04-23T00:00:00"/>
    <x v="6"/>
    <x v="3"/>
    <x v="0"/>
    <n v="1113.75"/>
    <n v="886.62"/>
    <n v="6"/>
    <n v="6682.5"/>
    <n v="5319.72"/>
    <n v="1362.7799999999997"/>
    <n v="0.20393265993265988"/>
    <x v="6"/>
    <n v="1362.7799999999997"/>
  </r>
  <r>
    <d v="2024-11-06T00:00:00"/>
    <x v="5"/>
    <x v="3"/>
    <x v="3"/>
    <n v="1794.02"/>
    <n v="964.09"/>
    <n v="7"/>
    <n v="12558.14"/>
    <n v="6748.63"/>
    <n v="5809.5099999999993"/>
    <n v="0.46260911249595876"/>
    <x v="2"/>
    <n v="5809.5099999999993"/>
  </r>
  <r>
    <d v="2023-02-27T00:00:00"/>
    <x v="7"/>
    <x v="0"/>
    <x v="2"/>
    <n v="160.74"/>
    <n v="121.62"/>
    <n v="6"/>
    <n v="964.44"/>
    <n v="729.72"/>
    <n v="234.72000000000003"/>
    <n v="0.24337439343038447"/>
    <x v="27"/>
    <n v="234.72000000000003"/>
  </r>
  <r>
    <d v="2023-02-26T00:00:00"/>
    <x v="2"/>
    <x v="0"/>
    <x v="2"/>
    <n v="1824.17"/>
    <n v="1217.3499999999999"/>
    <n v="9"/>
    <n v="16417.53"/>
    <n v="10956.15"/>
    <n v="5461.3799999999992"/>
    <n v="0.33265539944193795"/>
    <x v="27"/>
    <n v="5461.3799999999992"/>
  </r>
  <r>
    <d v="2023-01-06T00:00:00"/>
    <x v="9"/>
    <x v="3"/>
    <x v="3"/>
    <n v="528.59"/>
    <n v="316.19"/>
    <n v="10"/>
    <n v="5285.9000000000005"/>
    <n v="3161.9"/>
    <n v="2124.0000000000005"/>
    <n v="0.40182371970714548"/>
    <x v="13"/>
    <n v="2124.0000000000005"/>
  </r>
  <r>
    <d v="2023-12-07T00:00:00"/>
    <x v="5"/>
    <x v="3"/>
    <x v="1"/>
    <n v="1724.41"/>
    <n v="1551.03"/>
    <n v="5"/>
    <n v="8622.0500000000011"/>
    <n v="7755.15"/>
    <n v="866.90000000000146"/>
    <n v="0.10054453407252351"/>
    <x v="30"/>
    <n v="866.90000000000146"/>
  </r>
  <r>
    <d v="2022-12-02T00:00:00"/>
    <x v="0"/>
    <x v="0"/>
    <x v="1"/>
    <n v="823.94"/>
    <n v="511.47"/>
    <n v="9"/>
    <n v="7415.4600000000009"/>
    <n v="4603.2300000000005"/>
    <n v="2812.2300000000005"/>
    <n v="0.37923877952278079"/>
    <x v="33"/>
    <n v="2812.2300000000005"/>
  </r>
  <r>
    <d v="2023-06-30T00:00:00"/>
    <x v="9"/>
    <x v="3"/>
    <x v="1"/>
    <n v="902.77"/>
    <n v="577.32000000000005"/>
    <n v="7"/>
    <n v="6319.3899999999994"/>
    <n v="4041.2400000000002"/>
    <n v="2278.1499999999992"/>
    <n v="0.360501567398119"/>
    <x v="0"/>
    <n v="2278.1499999999992"/>
  </r>
  <r>
    <d v="2022-09-17T00:00:00"/>
    <x v="7"/>
    <x v="0"/>
    <x v="0"/>
    <n v="1239.19"/>
    <n v="797.42"/>
    <n v="8"/>
    <n v="9913.52"/>
    <n v="6379.36"/>
    <n v="3534.1600000000008"/>
    <n v="0.35649900338124102"/>
    <x v="12"/>
    <n v="3534.1600000000008"/>
  </r>
  <r>
    <d v="2023-09-02T00:00:00"/>
    <x v="5"/>
    <x v="3"/>
    <x v="1"/>
    <n v="28.96"/>
    <n v="20.96"/>
    <n v="3"/>
    <n v="86.88"/>
    <n v="62.88"/>
    <n v="23.999999999999993"/>
    <n v="0.27624309392265184"/>
    <x v="24"/>
    <n v="23.999999999999993"/>
  </r>
  <r>
    <d v="2023-10-16T00:00:00"/>
    <x v="4"/>
    <x v="2"/>
    <x v="2"/>
    <n v="1008.76"/>
    <n v="865.92"/>
    <n v="4"/>
    <n v="4035.04"/>
    <n v="3463.68"/>
    <n v="571.36000000000013"/>
    <n v="0.1415995876125144"/>
    <x v="5"/>
    <n v="571.36000000000013"/>
  </r>
  <r>
    <d v="2024-10-27T00:00:00"/>
    <x v="2"/>
    <x v="0"/>
    <x v="3"/>
    <n v="1672.96"/>
    <n v="1075.42"/>
    <n v="2"/>
    <n v="3345.92"/>
    <n v="2150.84"/>
    <n v="1195.08"/>
    <n v="0.35717530604437642"/>
    <x v="17"/>
    <n v="1195.08"/>
  </r>
  <r>
    <d v="2024-02-03T00:00:00"/>
    <x v="3"/>
    <x v="2"/>
    <x v="2"/>
    <n v="1260.56"/>
    <n v="972.61"/>
    <n v="3"/>
    <n v="3781.68"/>
    <n v="2917.83"/>
    <n v="863.84999999999991"/>
    <n v="0.22843022148886208"/>
    <x v="34"/>
    <n v="863.84999999999991"/>
  </r>
  <r>
    <d v="2023-10-10T00:00:00"/>
    <x v="3"/>
    <x v="2"/>
    <x v="2"/>
    <n v="1402.09"/>
    <n v="1156.76"/>
    <n v="9"/>
    <n v="12618.81"/>
    <n v="10410.84"/>
    <n v="2207.9699999999993"/>
    <n v="0.17497450235006307"/>
    <x v="5"/>
    <n v="2207.9699999999993"/>
  </r>
  <r>
    <d v="2022-07-20T00:00:00"/>
    <x v="4"/>
    <x v="2"/>
    <x v="0"/>
    <n v="756.94"/>
    <n v="565.34"/>
    <n v="9"/>
    <n v="6812.4600000000009"/>
    <n v="5088.0600000000004"/>
    <n v="1724.4000000000005"/>
    <n v="0.253124422014955"/>
    <x v="8"/>
    <n v="1724.4000000000005"/>
  </r>
  <r>
    <d v="2022-05-20T00:00:00"/>
    <x v="0"/>
    <x v="0"/>
    <x v="3"/>
    <n v="1012.33"/>
    <n v="693.41"/>
    <n v="9"/>
    <n v="9110.9700000000012"/>
    <n v="6240.69"/>
    <n v="2870.2800000000016"/>
    <n v="0.31503561091738874"/>
    <x v="35"/>
    <n v="2870.2800000000016"/>
  </r>
  <r>
    <d v="2024-12-04T00:00:00"/>
    <x v="8"/>
    <x v="1"/>
    <x v="0"/>
    <n v="446.84"/>
    <n v="254.39"/>
    <n v="3"/>
    <n v="1340.52"/>
    <n v="763.17"/>
    <n v="577.35"/>
    <n v="0.43069107510518306"/>
    <x v="23"/>
    <n v="577.35"/>
  </r>
  <r>
    <d v="2023-04-02T00:00:00"/>
    <x v="7"/>
    <x v="0"/>
    <x v="0"/>
    <n v="714.14"/>
    <n v="625.16999999999996"/>
    <n v="6"/>
    <n v="4284.84"/>
    <n v="3751.0199999999995"/>
    <n v="533.82000000000062"/>
    <n v="0.12458341501666353"/>
    <x v="6"/>
    <n v="533.82000000000062"/>
  </r>
  <r>
    <d v="2023-09-25T00:00:00"/>
    <x v="8"/>
    <x v="1"/>
    <x v="1"/>
    <n v="1958.75"/>
    <n v="1742.95"/>
    <n v="5"/>
    <n v="9793.75"/>
    <n v="8714.75"/>
    <n v="1079"/>
    <n v="0.11017230376515635"/>
    <x v="24"/>
    <n v="1079"/>
  </r>
  <r>
    <d v="2022-06-16T00:00:00"/>
    <x v="3"/>
    <x v="2"/>
    <x v="3"/>
    <n v="1835.65"/>
    <n v="1260.28"/>
    <n v="2"/>
    <n v="3671.3"/>
    <n v="2520.56"/>
    <n v="1150.7400000000002"/>
    <n v="0.31344210497643893"/>
    <x v="18"/>
    <n v="1150.7400000000002"/>
  </r>
  <r>
    <d v="2024-07-04T00:00:00"/>
    <x v="8"/>
    <x v="1"/>
    <x v="3"/>
    <n v="599.64"/>
    <n v="319.38"/>
    <n v="8"/>
    <n v="4797.12"/>
    <n v="2555.04"/>
    <n v="2242.08"/>
    <n v="0.46738042825695419"/>
    <x v="28"/>
    <n v="2242.08"/>
  </r>
  <r>
    <d v="2024-02-22T00:00:00"/>
    <x v="9"/>
    <x v="3"/>
    <x v="0"/>
    <n v="1878.8"/>
    <n v="1178.42"/>
    <n v="5"/>
    <n v="9394"/>
    <n v="5892.1"/>
    <n v="3501.8999999999996"/>
    <n v="0.37278049819033421"/>
    <x v="34"/>
    <n v="3501.8999999999996"/>
  </r>
  <r>
    <d v="2024-07-19T00:00:00"/>
    <x v="10"/>
    <x v="2"/>
    <x v="3"/>
    <n v="369.54"/>
    <n v="281.5"/>
    <n v="3"/>
    <n v="1108.6200000000001"/>
    <n v="844.5"/>
    <n v="264.12000000000012"/>
    <n v="0.23824213887535864"/>
    <x v="28"/>
    <n v="264.12000000000012"/>
  </r>
  <r>
    <d v="2022-11-27T00:00:00"/>
    <x v="0"/>
    <x v="0"/>
    <x v="0"/>
    <n v="1048.04"/>
    <n v="850.96"/>
    <n v="9"/>
    <n v="9432.36"/>
    <n v="7658.64"/>
    <n v="1773.7200000000003"/>
    <n v="0.18804625777642076"/>
    <x v="1"/>
    <n v="1773.7200000000003"/>
  </r>
  <r>
    <d v="2023-11-22T00:00:00"/>
    <x v="6"/>
    <x v="3"/>
    <x v="3"/>
    <n v="133.16"/>
    <n v="100.77"/>
    <n v="6"/>
    <n v="798.96"/>
    <n v="604.62"/>
    <n v="194.34000000000003"/>
    <n v="0.24324121357765097"/>
    <x v="10"/>
    <n v="194.34000000000003"/>
  </r>
  <r>
    <d v="2024-09-01T00:00:00"/>
    <x v="3"/>
    <x v="2"/>
    <x v="2"/>
    <n v="1400.6"/>
    <n v="1194.53"/>
    <n v="9"/>
    <n v="12605.4"/>
    <n v="10750.77"/>
    <n v="1854.6299999999992"/>
    <n v="0.14712980151363694"/>
    <x v="16"/>
    <n v="1854.6299999999992"/>
  </r>
  <r>
    <d v="2022-08-02T00:00:00"/>
    <x v="7"/>
    <x v="0"/>
    <x v="0"/>
    <n v="61.75"/>
    <n v="38.22"/>
    <n v="8"/>
    <n v="494"/>
    <n v="305.76"/>
    <n v="188.24"/>
    <n v="0.38105263157894737"/>
    <x v="15"/>
    <n v="188.24"/>
  </r>
  <r>
    <d v="2024-07-17T00:00:00"/>
    <x v="10"/>
    <x v="2"/>
    <x v="3"/>
    <n v="97.26"/>
    <n v="75.47"/>
    <n v="3"/>
    <n v="291.78000000000003"/>
    <n v="226.41"/>
    <n v="65.370000000000033"/>
    <n v="0.22403865926382902"/>
    <x v="28"/>
    <n v="65.370000000000033"/>
  </r>
  <r>
    <d v="2023-10-15T00:00:00"/>
    <x v="2"/>
    <x v="0"/>
    <x v="1"/>
    <n v="828.97"/>
    <n v="469.45"/>
    <n v="7"/>
    <n v="5802.79"/>
    <n v="3286.15"/>
    <n v="2516.64"/>
    <n v="0.43369482610950938"/>
    <x v="5"/>
    <n v="2516.64"/>
  </r>
  <r>
    <d v="2023-06-23T00:00:00"/>
    <x v="9"/>
    <x v="3"/>
    <x v="2"/>
    <n v="1068.6600000000001"/>
    <n v="667.65"/>
    <n v="9"/>
    <n v="9617.94"/>
    <n v="6008.8499999999995"/>
    <n v="3609.0900000000011"/>
    <n v="0.37524563472011685"/>
    <x v="0"/>
    <n v="3609.0900000000011"/>
  </r>
  <r>
    <d v="2022-04-14T00:00:00"/>
    <x v="10"/>
    <x v="2"/>
    <x v="0"/>
    <n v="108.86"/>
    <n v="69.489999999999995"/>
    <n v="3"/>
    <n v="326.58"/>
    <n v="208.46999999999997"/>
    <n v="118.11000000000001"/>
    <n v="0.36165717435237926"/>
    <x v="32"/>
    <n v="118.11000000000001"/>
  </r>
  <r>
    <d v="2023-08-16T00:00:00"/>
    <x v="6"/>
    <x v="3"/>
    <x v="1"/>
    <n v="1419.65"/>
    <n v="738.61"/>
    <n v="1"/>
    <n v="1419.65"/>
    <n v="738.61"/>
    <n v="681.04000000000008"/>
    <n v="0.47972387560314167"/>
    <x v="14"/>
    <n v="681.04000000000008"/>
  </r>
  <r>
    <d v="2022-02-12T00:00:00"/>
    <x v="10"/>
    <x v="2"/>
    <x v="3"/>
    <n v="997.72"/>
    <n v="554.47"/>
    <n v="6"/>
    <n v="5986.32"/>
    <n v="3326.82"/>
    <n v="2659.4999999999995"/>
    <n v="0.44426291945636043"/>
    <x v="20"/>
    <n v="2659.4999999999995"/>
  </r>
  <r>
    <d v="2024-01-27T00:00:00"/>
    <x v="7"/>
    <x v="0"/>
    <x v="1"/>
    <n v="896.43"/>
    <n v="611.15"/>
    <n v="3"/>
    <n v="2689.29"/>
    <n v="1833.4499999999998"/>
    <n v="855.84000000000015"/>
    <n v="0.31824013029461312"/>
    <x v="26"/>
    <n v="855.84000000000015"/>
  </r>
  <r>
    <d v="2022-10-10T00:00:00"/>
    <x v="5"/>
    <x v="3"/>
    <x v="3"/>
    <n v="1605.67"/>
    <n v="1335.82"/>
    <n v="1"/>
    <n v="1605.67"/>
    <n v="1335.82"/>
    <n v="269.85000000000014"/>
    <n v="0.16806068494771662"/>
    <x v="25"/>
    <n v="269.85000000000014"/>
  </r>
  <r>
    <d v="2022-09-05T00:00:00"/>
    <x v="4"/>
    <x v="2"/>
    <x v="1"/>
    <n v="1668.74"/>
    <n v="1187.27"/>
    <n v="2"/>
    <n v="3337.48"/>
    <n v="2374.54"/>
    <n v="962.94"/>
    <n v="0.28852307729184895"/>
    <x v="12"/>
    <n v="962.94"/>
  </r>
  <r>
    <d v="2023-09-15T00:00:00"/>
    <x v="7"/>
    <x v="0"/>
    <x v="3"/>
    <n v="450.32"/>
    <n v="283.13"/>
    <n v="5"/>
    <n v="2251.6"/>
    <n v="1415.65"/>
    <n v="835.94999999999982"/>
    <n v="0.37126931959495463"/>
    <x v="24"/>
    <n v="835.94999999999982"/>
  </r>
  <r>
    <d v="2023-05-06T00:00:00"/>
    <x v="6"/>
    <x v="3"/>
    <x v="1"/>
    <n v="638.05999999999995"/>
    <n v="463.86"/>
    <n v="3"/>
    <n v="1914.1799999999998"/>
    <n v="1391.58"/>
    <n v="522.59999999999991"/>
    <n v="0.27301507695201077"/>
    <x v="31"/>
    <n v="522.59999999999991"/>
  </r>
  <r>
    <d v="2022-03-13T00:00:00"/>
    <x v="3"/>
    <x v="2"/>
    <x v="2"/>
    <n v="1300.27"/>
    <n v="777.68"/>
    <n v="9"/>
    <n v="11702.43"/>
    <n v="6999.12"/>
    <n v="4703.3100000000004"/>
    <n v="0.40190883431902608"/>
    <x v="7"/>
    <n v="4703.3100000000004"/>
  </r>
  <r>
    <d v="2024-06-24T00:00:00"/>
    <x v="0"/>
    <x v="0"/>
    <x v="1"/>
    <n v="1584.64"/>
    <n v="832.01"/>
    <n v="4"/>
    <n v="6338.56"/>
    <n v="3328.04"/>
    <n v="3010.5200000000004"/>
    <n v="0.47495330169628436"/>
    <x v="4"/>
    <n v="3010.5200000000004"/>
  </r>
  <r>
    <d v="2022-07-03T00:00:00"/>
    <x v="9"/>
    <x v="3"/>
    <x v="3"/>
    <n v="365.76"/>
    <n v="233.78"/>
    <n v="2"/>
    <n v="731.52"/>
    <n v="467.56"/>
    <n v="263.95999999999998"/>
    <n v="0.36083770778652668"/>
    <x v="8"/>
    <n v="263.95999999999998"/>
  </r>
  <r>
    <d v="2024-09-08T00:00:00"/>
    <x v="9"/>
    <x v="3"/>
    <x v="0"/>
    <n v="1480.55"/>
    <n v="1007.63"/>
    <n v="5"/>
    <n v="7402.75"/>
    <n v="5038.1499999999996"/>
    <n v="2364.6000000000004"/>
    <n v="0.31942183647968664"/>
    <x v="16"/>
    <n v="2364.6000000000004"/>
  </r>
  <r>
    <d v="2022-03-05T00:00:00"/>
    <x v="5"/>
    <x v="3"/>
    <x v="1"/>
    <n v="697.69"/>
    <n v="592.64"/>
    <n v="4"/>
    <n v="2790.76"/>
    <n v="2370.56"/>
    <n v="420.20000000000027"/>
    <n v="0.15056830397454465"/>
    <x v="7"/>
    <n v="420.20000000000027"/>
  </r>
  <r>
    <d v="2023-04-08T00:00:00"/>
    <x v="5"/>
    <x v="3"/>
    <x v="3"/>
    <n v="31.26"/>
    <n v="24.53"/>
    <n v="3"/>
    <n v="93.78"/>
    <n v="73.59"/>
    <n v="20.189999999999998"/>
    <n v="0.21529110684580932"/>
    <x v="6"/>
    <n v="20.189999999999998"/>
  </r>
  <r>
    <d v="2023-09-19T00:00:00"/>
    <x v="6"/>
    <x v="3"/>
    <x v="2"/>
    <n v="265.57"/>
    <n v="214.51"/>
    <n v="1"/>
    <n v="265.57"/>
    <n v="214.51"/>
    <n v="51.06"/>
    <n v="0.19226569266106866"/>
    <x v="24"/>
    <n v="51.06"/>
  </r>
  <r>
    <d v="2023-08-30T00:00:00"/>
    <x v="5"/>
    <x v="3"/>
    <x v="1"/>
    <n v="710.93"/>
    <n v="426.63"/>
    <n v="5"/>
    <n v="3554.6499999999996"/>
    <n v="2133.15"/>
    <n v="1421.4999999999995"/>
    <n v="0.39989872420632122"/>
    <x v="14"/>
    <n v="1421.4999999999995"/>
  </r>
  <r>
    <d v="2024-07-12T00:00:00"/>
    <x v="5"/>
    <x v="3"/>
    <x v="2"/>
    <n v="908.26"/>
    <n v="732.92"/>
    <n v="8"/>
    <n v="7266.08"/>
    <n v="5863.36"/>
    <n v="1402.7200000000003"/>
    <n v="0.1930504481095722"/>
    <x v="28"/>
    <n v="1402.7200000000003"/>
  </r>
  <r>
    <d v="2024-07-16T00:00:00"/>
    <x v="5"/>
    <x v="3"/>
    <x v="0"/>
    <n v="1422.49"/>
    <n v="1173.3800000000001"/>
    <n v="2"/>
    <n v="2844.98"/>
    <n v="2346.7600000000002"/>
    <n v="498.2199999999998"/>
    <n v="0.17512249646746192"/>
    <x v="28"/>
    <n v="498.2199999999998"/>
  </r>
  <r>
    <d v="2022-01-27T00:00:00"/>
    <x v="4"/>
    <x v="2"/>
    <x v="0"/>
    <n v="1273.74"/>
    <n v="858.13"/>
    <n v="3"/>
    <n v="3821.2200000000003"/>
    <n v="2574.39"/>
    <n v="1246.8300000000004"/>
    <n v="0.32629107981220667"/>
    <x v="9"/>
    <n v="1246.8300000000004"/>
  </r>
  <r>
    <d v="2024-02-23T00:00:00"/>
    <x v="9"/>
    <x v="3"/>
    <x v="2"/>
    <n v="1864.24"/>
    <n v="1067.79"/>
    <n v="1"/>
    <n v="1864.24"/>
    <n v="1067.79"/>
    <n v="796.45"/>
    <n v="0.42722503540316698"/>
    <x v="34"/>
    <n v="796.45"/>
  </r>
  <r>
    <d v="2022-05-21T00:00:00"/>
    <x v="5"/>
    <x v="3"/>
    <x v="2"/>
    <n v="1122.98"/>
    <n v="666.94"/>
    <n v="7"/>
    <n v="7860.8600000000006"/>
    <n v="4668.58"/>
    <n v="3192.2800000000007"/>
    <n v="0.4060980605175516"/>
    <x v="35"/>
    <n v="3192.2800000000007"/>
  </r>
  <r>
    <d v="2022-12-11T00:00:00"/>
    <x v="3"/>
    <x v="2"/>
    <x v="1"/>
    <n v="964"/>
    <n v="836.52"/>
    <n v="2"/>
    <n v="1928"/>
    <n v="1673.04"/>
    <n v="254.96000000000004"/>
    <n v="0.13224066390041495"/>
    <x v="33"/>
    <n v="254.96000000000004"/>
  </r>
  <r>
    <d v="2023-07-08T00:00:00"/>
    <x v="2"/>
    <x v="0"/>
    <x v="1"/>
    <n v="1735.48"/>
    <n v="1506.49"/>
    <n v="2"/>
    <n v="3470.96"/>
    <n v="3012.98"/>
    <n v="457.98"/>
    <n v="0.1319462050844723"/>
    <x v="11"/>
    <n v="457.98"/>
  </r>
  <r>
    <d v="2022-12-29T00:00:00"/>
    <x v="9"/>
    <x v="3"/>
    <x v="0"/>
    <n v="1544.62"/>
    <n v="1348.22"/>
    <n v="3"/>
    <n v="4633.8599999999997"/>
    <n v="4044.66"/>
    <n v="589.19999999999982"/>
    <n v="0.12715101448900051"/>
    <x v="33"/>
    <n v="589.19999999999982"/>
  </r>
  <r>
    <d v="2024-09-04T00:00:00"/>
    <x v="10"/>
    <x v="2"/>
    <x v="2"/>
    <n v="691.6"/>
    <n v="490.42"/>
    <n v="4"/>
    <n v="2766.4"/>
    <n v="1961.68"/>
    <n v="804.72"/>
    <n v="0.2908906882591093"/>
    <x v="16"/>
    <n v="804.72"/>
  </r>
  <r>
    <d v="2022-05-17T00:00:00"/>
    <x v="4"/>
    <x v="2"/>
    <x v="3"/>
    <n v="236.93"/>
    <n v="171.63"/>
    <n v="8"/>
    <n v="1895.44"/>
    <n v="1373.04"/>
    <n v="522.40000000000009"/>
    <n v="0.27560882961212174"/>
    <x v="35"/>
    <n v="522.40000000000009"/>
  </r>
  <r>
    <d v="2024-02-03T00:00:00"/>
    <x v="2"/>
    <x v="0"/>
    <x v="3"/>
    <n v="1357.88"/>
    <n v="717.48"/>
    <n v="4"/>
    <n v="5431.52"/>
    <n v="2869.92"/>
    <n v="2561.6000000000004"/>
    <n v="0.47161752143046515"/>
    <x v="34"/>
    <n v="2561.6000000000004"/>
  </r>
  <r>
    <d v="2022-11-01T00:00:00"/>
    <x v="10"/>
    <x v="2"/>
    <x v="0"/>
    <n v="1505.17"/>
    <n v="1063.19"/>
    <n v="5"/>
    <n v="7525.85"/>
    <n v="5315.9500000000007"/>
    <n v="2209.8999999999996"/>
    <n v="0.29364124982560103"/>
    <x v="1"/>
    <n v="2209.8999999999996"/>
  </r>
  <r>
    <d v="2023-10-09T00:00:00"/>
    <x v="6"/>
    <x v="3"/>
    <x v="3"/>
    <n v="674.39"/>
    <n v="540.54"/>
    <n v="8"/>
    <n v="5395.12"/>
    <n v="4324.32"/>
    <n v="1070.8000000000002"/>
    <n v="0.19847565948486784"/>
    <x v="5"/>
    <n v="1070.8000000000002"/>
  </r>
  <r>
    <d v="2022-08-27T00:00:00"/>
    <x v="9"/>
    <x v="3"/>
    <x v="3"/>
    <n v="762.49"/>
    <n v="383.63"/>
    <n v="10"/>
    <n v="7624.9"/>
    <n v="3836.3"/>
    <n v="3788.5999999999995"/>
    <n v="0.4968720901257721"/>
    <x v="15"/>
    <n v="3788.5999999999995"/>
  </r>
  <r>
    <d v="2024-11-08T00:00:00"/>
    <x v="7"/>
    <x v="0"/>
    <x v="1"/>
    <n v="1443.7"/>
    <n v="846.25"/>
    <n v="1"/>
    <n v="1443.7"/>
    <n v="846.25"/>
    <n v="597.45000000000005"/>
    <n v="0.41383251368012747"/>
    <x v="2"/>
    <n v="597.45000000000005"/>
  </r>
  <r>
    <d v="2024-05-02T00:00:00"/>
    <x v="0"/>
    <x v="0"/>
    <x v="3"/>
    <n v="1145.47"/>
    <n v="688.97"/>
    <n v="1"/>
    <n v="1145.47"/>
    <n v="688.97"/>
    <n v="456.5"/>
    <n v="0.39852636908867101"/>
    <x v="3"/>
    <n v="456.5"/>
  </r>
  <r>
    <d v="2023-07-21T00:00:00"/>
    <x v="6"/>
    <x v="3"/>
    <x v="2"/>
    <n v="1314.99"/>
    <n v="936.27"/>
    <n v="4"/>
    <n v="5259.96"/>
    <n v="3745.08"/>
    <n v="1514.88"/>
    <n v="0.28800219013072342"/>
    <x v="11"/>
    <n v="1514.88"/>
  </r>
  <r>
    <d v="2024-10-28T00:00:00"/>
    <x v="2"/>
    <x v="0"/>
    <x v="0"/>
    <n v="1287.26"/>
    <n v="663.12"/>
    <n v="10"/>
    <n v="12872.6"/>
    <n v="6631.2"/>
    <n v="6241.4000000000005"/>
    <n v="0.48485931358078405"/>
    <x v="17"/>
    <n v="6241.4000000000005"/>
  </r>
  <r>
    <d v="2024-01-14T00:00:00"/>
    <x v="3"/>
    <x v="2"/>
    <x v="3"/>
    <n v="1179.43"/>
    <n v="1058.27"/>
    <n v="7"/>
    <n v="8256.01"/>
    <n v="7407.8899999999994"/>
    <n v="848.1200000000008"/>
    <n v="0.10272758875049821"/>
    <x v="26"/>
    <n v="848.1200000000008"/>
  </r>
  <r>
    <d v="2024-05-28T00:00:00"/>
    <x v="2"/>
    <x v="0"/>
    <x v="1"/>
    <n v="199.98"/>
    <n v="133.99"/>
    <n v="3"/>
    <n v="599.93999999999994"/>
    <n v="401.97"/>
    <n v="197.96999999999991"/>
    <n v="0.32998299829982985"/>
    <x v="3"/>
    <n v="197.96999999999991"/>
  </r>
  <r>
    <d v="2022-05-29T00:00:00"/>
    <x v="5"/>
    <x v="3"/>
    <x v="1"/>
    <n v="1430.67"/>
    <n v="831.69"/>
    <n v="8"/>
    <n v="11445.36"/>
    <n v="6653.52"/>
    <n v="4791.84"/>
    <n v="0.41867097234163014"/>
    <x v="35"/>
    <n v="4791.84"/>
  </r>
  <r>
    <d v="2023-07-24T00:00:00"/>
    <x v="2"/>
    <x v="0"/>
    <x v="3"/>
    <n v="1902.03"/>
    <n v="1642.41"/>
    <n v="5"/>
    <n v="9510.15"/>
    <n v="8212.0500000000011"/>
    <n v="1298.0999999999985"/>
    <n v="0.13649626977492454"/>
    <x v="11"/>
    <n v="1298.0999999999985"/>
  </r>
  <r>
    <d v="2024-04-21T00:00:00"/>
    <x v="8"/>
    <x v="1"/>
    <x v="0"/>
    <n v="1969.39"/>
    <n v="1236.3399999999999"/>
    <n v="3"/>
    <n v="5908.17"/>
    <n v="3709.0199999999995"/>
    <n v="2199.1500000000005"/>
    <n v="0.37222185549840314"/>
    <x v="22"/>
    <n v="2199.1500000000005"/>
  </r>
  <r>
    <d v="2024-01-15T00:00:00"/>
    <x v="0"/>
    <x v="0"/>
    <x v="0"/>
    <n v="710.87"/>
    <n v="585.19000000000005"/>
    <n v="8"/>
    <n v="5686.96"/>
    <n v="4681.5200000000004"/>
    <n v="1005.4399999999996"/>
    <n v="0.17679744538382539"/>
    <x v="26"/>
    <n v="1005.4399999999996"/>
  </r>
  <r>
    <d v="2024-08-23T00:00:00"/>
    <x v="2"/>
    <x v="0"/>
    <x v="2"/>
    <n v="891.5"/>
    <n v="520.69000000000005"/>
    <n v="3"/>
    <n v="2674.5"/>
    <n v="1562.0700000000002"/>
    <n v="1112.4299999999998"/>
    <n v="0.41593942793045424"/>
    <x v="21"/>
    <n v="1112.4299999999998"/>
  </r>
  <r>
    <d v="2024-01-02T00:00:00"/>
    <x v="0"/>
    <x v="0"/>
    <x v="1"/>
    <n v="709.66"/>
    <n v="570.46"/>
    <n v="7"/>
    <n v="4967.62"/>
    <n v="3993.2200000000003"/>
    <n v="974.39999999999964"/>
    <n v="0.19615026914296979"/>
    <x v="26"/>
    <n v="974.39999999999964"/>
  </r>
  <r>
    <d v="2022-08-26T00:00:00"/>
    <x v="5"/>
    <x v="3"/>
    <x v="1"/>
    <n v="1859.01"/>
    <n v="1604.25"/>
    <n v="7"/>
    <n v="13013.07"/>
    <n v="11229.75"/>
    <n v="1783.3199999999997"/>
    <n v="0.13704068294414767"/>
    <x v="15"/>
    <n v="1783.3199999999997"/>
  </r>
  <r>
    <d v="2022-12-10T00:00:00"/>
    <x v="1"/>
    <x v="1"/>
    <x v="3"/>
    <n v="1976.34"/>
    <n v="1628.16"/>
    <n v="6"/>
    <n v="11858.039999999999"/>
    <n v="9768.9600000000009"/>
    <n v="2089.0799999999981"/>
    <n v="0.1761741400771121"/>
    <x v="33"/>
    <n v="2089.0799999999981"/>
  </r>
  <r>
    <d v="2022-04-29T00:00:00"/>
    <x v="1"/>
    <x v="1"/>
    <x v="0"/>
    <n v="963.96"/>
    <n v="671.12"/>
    <n v="10"/>
    <n v="9639.6"/>
    <n v="6711.2"/>
    <n v="2928.4000000000005"/>
    <n v="0.3037885389435247"/>
    <x v="32"/>
    <n v="2928.4000000000005"/>
  </r>
  <r>
    <d v="2024-04-20T00:00:00"/>
    <x v="0"/>
    <x v="0"/>
    <x v="2"/>
    <n v="1873.31"/>
    <n v="1580.69"/>
    <n v="9"/>
    <n v="16859.79"/>
    <n v="14226.210000000001"/>
    <n v="2633.58"/>
    <n v="0.15620479258638451"/>
    <x v="22"/>
    <n v="2633.58"/>
  </r>
  <r>
    <d v="2022-09-28T00:00:00"/>
    <x v="8"/>
    <x v="1"/>
    <x v="0"/>
    <n v="773.59"/>
    <n v="387.85"/>
    <n v="1"/>
    <n v="773.59"/>
    <n v="387.85"/>
    <n v="385.74"/>
    <n v="0.49863622849312944"/>
    <x v="12"/>
    <n v="385.74"/>
  </r>
  <r>
    <d v="2023-03-07T00:00:00"/>
    <x v="4"/>
    <x v="2"/>
    <x v="1"/>
    <n v="406.02"/>
    <n v="204.01"/>
    <n v="8"/>
    <n v="3248.16"/>
    <n v="1632.08"/>
    <n v="1616.08"/>
    <n v="0.49753706713954976"/>
    <x v="19"/>
    <n v="1616.08"/>
  </r>
  <r>
    <d v="2024-04-23T00:00:00"/>
    <x v="3"/>
    <x v="2"/>
    <x v="1"/>
    <n v="186.33"/>
    <n v="148.28"/>
    <n v="1"/>
    <n v="186.33"/>
    <n v="148.28"/>
    <n v="38.050000000000011"/>
    <n v="0.20420758868673863"/>
    <x v="22"/>
    <n v="38.050000000000011"/>
  </r>
  <r>
    <d v="2024-09-14T00:00:00"/>
    <x v="3"/>
    <x v="2"/>
    <x v="3"/>
    <n v="921.79"/>
    <n v="502.33"/>
    <n v="8"/>
    <n v="7374.32"/>
    <n v="4018.64"/>
    <n v="3355.68"/>
    <n v="0.45504941472569671"/>
    <x v="16"/>
    <n v="3355.68"/>
  </r>
  <r>
    <d v="2024-03-15T00:00:00"/>
    <x v="10"/>
    <x v="2"/>
    <x v="2"/>
    <n v="1436.64"/>
    <n v="1103.58"/>
    <n v="2"/>
    <n v="2873.28"/>
    <n v="2207.16"/>
    <n v="666.12000000000035"/>
    <n v="0.23183260942198475"/>
    <x v="29"/>
    <n v="666.12000000000035"/>
  </r>
  <r>
    <d v="2024-04-23T00:00:00"/>
    <x v="7"/>
    <x v="0"/>
    <x v="0"/>
    <n v="1969.36"/>
    <n v="1446.48"/>
    <n v="4"/>
    <n v="7877.44"/>
    <n v="5785.92"/>
    <n v="2091.5199999999995"/>
    <n v="0.26550757606532066"/>
    <x v="22"/>
    <n v="2091.5199999999995"/>
  </r>
  <r>
    <d v="2023-09-13T00:00:00"/>
    <x v="10"/>
    <x v="2"/>
    <x v="2"/>
    <n v="1317.48"/>
    <n v="742.15"/>
    <n v="2"/>
    <n v="2634.96"/>
    <n v="1484.3"/>
    <n v="1150.6600000000001"/>
    <n v="0.4366897410207366"/>
    <x v="24"/>
    <n v="1150.6600000000001"/>
  </r>
  <r>
    <d v="2022-07-07T00:00:00"/>
    <x v="2"/>
    <x v="0"/>
    <x v="1"/>
    <n v="1768.69"/>
    <n v="1477.41"/>
    <n v="9"/>
    <n v="15918.210000000001"/>
    <n v="13296.69"/>
    <n v="2621.5200000000004"/>
    <n v="0.16468685863548729"/>
    <x v="8"/>
    <n v="2621.5200000000004"/>
  </r>
  <r>
    <d v="2024-07-03T00:00:00"/>
    <x v="0"/>
    <x v="0"/>
    <x v="2"/>
    <n v="522.26"/>
    <n v="453.56"/>
    <n v="5"/>
    <n v="2611.3000000000002"/>
    <n v="2267.8000000000002"/>
    <n v="343.5"/>
    <n v="0.13154367556389537"/>
    <x v="28"/>
    <n v="343.5"/>
  </r>
  <r>
    <d v="2023-02-21T00:00:00"/>
    <x v="3"/>
    <x v="2"/>
    <x v="0"/>
    <n v="1354.22"/>
    <n v="1041.21"/>
    <n v="3"/>
    <n v="4062.66"/>
    <n v="3123.63"/>
    <n v="939.02999999999975"/>
    <n v="0.23113674292212485"/>
    <x v="27"/>
    <n v="939.02999999999975"/>
  </r>
  <r>
    <d v="2023-02-08T00:00:00"/>
    <x v="2"/>
    <x v="0"/>
    <x v="2"/>
    <n v="1279.81"/>
    <n v="1044.4000000000001"/>
    <n v="2"/>
    <n v="2559.62"/>
    <n v="2088.8000000000002"/>
    <n v="470.81999999999971"/>
    <n v="0.18394136629655955"/>
    <x v="27"/>
    <n v="470.81999999999971"/>
  </r>
  <r>
    <d v="2024-02-23T00:00:00"/>
    <x v="3"/>
    <x v="2"/>
    <x v="1"/>
    <n v="824.43"/>
    <n v="438.6"/>
    <n v="7"/>
    <n v="5771.0099999999993"/>
    <n v="3070.2000000000003"/>
    <n v="2700.809999999999"/>
    <n v="0.46799607001200816"/>
    <x v="34"/>
    <n v="2700.809999999999"/>
  </r>
  <r>
    <d v="2022-08-09T00:00:00"/>
    <x v="8"/>
    <x v="1"/>
    <x v="2"/>
    <n v="753.56"/>
    <n v="430.93"/>
    <n v="2"/>
    <n v="1507.12"/>
    <n v="861.86"/>
    <n v="645.25999999999988"/>
    <n v="0.42814109029141667"/>
    <x v="15"/>
    <n v="645.25999999999988"/>
  </r>
  <r>
    <d v="2024-02-22T00:00:00"/>
    <x v="10"/>
    <x v="2"/>
    <x v="2"/>
    <n v="506.35"/>
    <n v="441.11"/>
    <n v="7"/>
    <n v="3544.4500000000003"/>
    <n v="3087.77"/>
    <n v="456.68000000000029"/>
    <n v="0.12884368519798567"/>
    <x v="34"/>
    <n v="456.68000000000029"/>
  </r>
  <r>
    <d v="2023-01-18T00:00:00"/>
    <x v="8"/>
    <x v="1"/>
    <x v="0"/>
    <n v="883.54"/>
    <n v="631.42999999999995"/>
    <n v="7"/>
    <n v="6184.78"/>
    <n v="4420.0099999999993"/>
    <n v="1764.7700000000004"/>
    <n v="0.28534078819295117"/>
    <x v="13"/>
    <n v="1764.7700000000004"/>
  </r>
  <r>
    <d v="2024-02-25T00:00:00"/>
    <x v="10"/>
    <x v="2"/>
    <x v="0"/>
    <n v="1239.67"/>
    <n v="1016.66"/>
    <n v="6"/>
    <n v="7438.02"/>
    <n v="6099.96"/>
    <n v="1338.0600000000004"/>
    <n v="0.179894649382497"/>
    <x v="34"/>
    <n v="1338.0600000000004"/>
  </r>
  <r>
    <d v="2024-03-07T00:00:00"/>
    <x v="7"/>
    <x v="0"/>
    <x v="1"/>
    <n v="158.91"/>
    <n v="79.819999999999993"/>
    <n v="7"/>
    <n v="1112.3699999999999"/>
    <n v="558.74"/>
    <n v="553.62999999999988"/>
    <n v="0.49770310238499776"/>
    <x v="29"/>
    <n v="553.62999999999988"/>
  </r>
  <r>
    <d v="2023-10-18T00:00:00"/>
    <x v="0"/>
    <x v="0"/>
    <x v="2"/>
    <n v="556.21"/>
    <n v="461.91"/>
    <n v="7"/>
    <n v="3893.4700000000003"/>
    <n v="3233.3700000000003"/>
    <n v="660.09999999999991"/>
    <n v="0.16954028154833603"/>
    <x v="5"/>
    <n v="660.09999999999991"/>
  </r>
  <r>
    <d v="2023-04-26T00:00:00"/>
    <x v="7"/>
    <x v="0"/>
    <x v="0"/>
    <n v="1672.11"/>
    <n v="1091.25"/>
    <n v="7"/>
    <n v="11704.769999999999"/>
    <n v="7638.75"/>
    <n v="4066.0199999999986"/>
    <n v="0.34738145217718924"/>
    <x v="6"/>
    <n v="4066.0199999999986"/>
  </r>
  <r>
    <d v="2022-10-24T00:00:00"/>
    <x v="0"/>
    <x v="0"/>
    <x v="0"/>
    <n v="1011.74"/>
    <n v="865.65"/>
    <n v="7"/>
    <n v="7082.18"/>
    <n v="6059.55"/>
    <n v="1022.6300000000001"/>
    <n v="0.14439480498942417"/>
    <x v="25"/>
    <n v="1022.6300000000001"/>
  </r>
  <r>
    <d v="2022-05-18T00:00:00"/>
    <x v="5"/>
    <x v="3"/>
    <x v="2"/>
    <n v="176.46"/>
    <n v="99.16"/>
    <n v="7"/>
    <n v="1235.22"/>
    <n v="694.12"/>
    <n v="541.1"/>
    <n v="0.43805961691034795"/>
    <x v="35"/>
    <n v="541.1"/>
  </r>
  <r>
    <d v="2022-10-18T00:00:00"/>
    <x v="8"/>
    <x v="1"/>
    <x v="3"/>
    <n v="1972.44"/>
    <n v="1172.54"/>
    <n v="9"/>
    <n v="17751.96"/>
    <n v="10552.86"/>
    <n v="7199.0999999999985"/>
    <n v="0.40553831802234791"/>
    <x v="25"/>
    <n v="7199.0999999999985"/>
  </r>
  <r>
    <d v="2024-04-30T00:00:00"/>
    <x v="9"/>
    <x v="3"/>
    <x v="3"/>
    <n v="1158.68"/>
    <n v="583.12"/>
    <n v="4"/>
    <n v="4634.72"/>
    <n v="2332.48"/>
    <n v="2302.2400000000002"/>
    <n v="0.49673766700037975"/>
    <x v="22"/>
    <n v="2302.2400000000002"/>
  </r>
  <r>
    <d v="2023-07-17T00:00:00"/>
    <x v="9"/>
    <x v="3"/>
    <x v="3"/>
    <n v="1238.71"/>
    <n v="929.22"/>
    <n v="1"/>
    <n v="1238.71"/>
    <n v="929.22"/>
    <n v="309.49"/>
    <n v="0.24984863285191852"/>
    <x v="11"/>
    <n v="309.49"/>
  </r>
  <r>
    <d v="2022-03-21T00:00:00"/>
    <x v="3"/>
    <x v="2"/>
    <x v="1"/>
    <n v="936.09"/>
    <n v="535.34"/>
    <n v="6"/>
    <n v="5616.54"/>
    <n v="3212.04"/>
    <n v="2404.5"/>
    <n v="0.42811054492623574"/>
    <x v="7"/>
    <n v="2404.5"/>
  </r>
  <r>
    <d v="2022-02-20T00:00:00"/>
    <x v="4"/>
    <x v="2"/>
    <x v="0"/>
    <n v="1245.3499999999999"/>
    <n v="971.55"/>
    <n v="2"/>
    <n v="2490.6999999999998"/>
    <n v="1943.1"/>
    <n v="547.59999999999991"/>
    <n v="0.21985787128116591"/>
    <x v="20"/>
    <n v="547.59999999999991"/>
  </r>
  <r>
    <d v="2023-05-15T00:00:00"/>
    <x v="9"/>
    <x v="3"/>
    <x v="2"/>
    <n v="1692.58"/>
    <n v="1381.5"/>
    <n v="6"/>
    <n v="10155.48"/>
    <n v="8289"/>
    <n v="1866.4799999999996"/>
    <n v="0.18379042644956217"/>
    <x v="31"/>
    <n v="1866.4799999999996"/>
  </r>
  <r>
    <d v="2023-11-17T00:00:00"/>
    <x v="10"/>
    <x v="2"/>
    <x v="3"/>
    <n v="589.27"/>
    <n v="529.13"/>
    <n v="8"/>
    <n v="4714.16"/>
    <n v="4233.04"/>
    <n v="481.11999999999989"/>
    <n v="0.10205847913520116"/>
    <x v="10"/>
    <n v="481.11999999999989"/>
  </r>
  <r>
    <d v="2023-04-17T00:00:00"/>
    <x v="8"/>
    <x v="1"/>
    <x v="2"/>
    <n v="257.89"/>
    <n v="220.44"/>
    <n v="7"/>
    <n v="1805.23"/>
    <n v="1543.08"/>
    <n v="262.15000000000009"/>
    <n v="0.14521695296444226"/>
    <x v="6"/>
    <n v="262.15000000000009"/>
  </r>
  <r>
    <d v="2023-11-05T00:00:00"/>
    <x v="1"/>
    <x v="1"/>
    <x v="0"/>
    <n v="1684.66"/>
    <n v="1141.25"/>
    <n v="1"/>
    <n v="1684.66"/>
    <n v="1141.25"/>
    <n v="543.41000000000008"/>
    <n v="0.3225636033383591"/>
    <x v="10"/>
    <n v="543.41000000000008"/>
  </r>
  <r>
    <d v="2022-07-08T00:00:00"/>
    <x v="1"/>
    <x v="1"/>
    <x v="0"/>
    <n v="553.9"/>
    <n v="307.39"/>
    <n v="1"/>
    <n v="553.9"/>
    <n v="307.39"/>
    <n v="246.51"/>
    <n v="0.44504423181079616"/>
    <x v="8"/>
    <n v="246.51"/>
  </r>
  <r>
    <d v="2023-01-12T00:00:00"/>
    <x v="2"/>
    <x v="0"/>
    <x v="0"/>
    <n v="347.47"/>
    <n v="215.76"/>
    <n v="9"/>
    <n v="3127.2300000000005"/>
    <n v="1941.84"/>
    <n v="1185.3900000000006"/>
    <n v="0.37905430684663438"/>
    <x v="13"/>
    <n v="1185.3900000000006"/>
  </r>
  <r>
    <d v="2022-12-26T00:00:00"/>
    <x v="4"/>
    <x v="2"/>
    <x v="1"/>
    <n v="233.58"/>
    <n v="121.98"/>
    <n v="5"/>
    <n v="1167.9000000000001"/>
    <n v="609.9"/>
    <n v="558.00000000000011"/>
    <n v="0.47778063190341646"/>
    <x v="33"/>
    <n v="558.00000000000011"/>
  </r>
  <r>
    <d v="2022-08-24T00:00:00"/>
    <x v="10"/>
    <x v="2"/>
    <x v="2"/>
    <n v="1022.57"/>
    <n v="735.93"/>
    <n v="5"/>
    <n v="5112.8500000000004"/>
    <n v="3679.6499999999996"/>
    <n v="1433.2000000000007"/>
    <n v="0.28031332818291183"/>
    <x v="15"/>
    <n v="1433.2000000000007"/>
  </r>
  <r>
    <d v="2022-08-15T00:00:00"/>
    <x v="8"/>
    <x v="1"/>
    <x v="0"/>
    <n v="231.85"/>
    <n v="180.72"/>
    <n v="3"/>
    <n v="695.55"/>
    <n v="542.16"/>
    <n v="153.38999999999999"/>
    <n v="0.22053051541945223"/>
    <x v="15"/>
    <n v="153.38999999999999"/>
  </r>
  <r>
    <d v="2022-09-04T00:00:00"/>
    <x v="8"/>
    <x v="1"/>
    <x v="1"/>
    <n v="1475.99"/>
    <n v="785.02"/>
    <n v="2"/>
    <n v="2951.98"/>
    <n v="1570.04"/>
    <n v="1381.94"/>
    <n v="0.46814002804897054"/>
    <x v="12"/>
    <n v="1381.94"/>
  </r>
  <r>
    <d v="2024-08-02T00:00:00"/>
    <x v="9"/>
    <x v="3"/>
    <x v="3"/>
    <n v="136.99"/>
    <n v="72.75"/>
    <n v="4"/>
    <n v="547.96"/>
    <n v="291"/>
    <n v="256.96000000000004"/>
    <n v="0.46893933863785681"/>
    <x v="21"/>
    <n v="256.96000000000004"/>
  </r>
  <r>
    <d v="2024-02-07T00:00:00"/>
    <x v="3"/>
    <x v="2"/>
    <x v="0"/>
    <n v="1847.84"/>
    <n v="1595.93"/>
    <n v="8"/>
    <n v="14782.72"/>
    <n v="12767.44"/>
    <n v="2015.2799999999988"/>
    <n v="0.13632673824573549"/>
    <x v="34"/>
    <n v="2015.2799999999988"/>
  </r>
  <r>
    <d v="2024-03-31T00:00:00"/>
    <x v="1"/>
    <x v="1"/>
    <x v="1"/>
    <n v="967.36"/>
    <n v="711.81"/>
    <n v="7"/>
    <n v="6771.52"/>
    <n v="4982.67"/>
    <n v="1788.8500000000004"/>
    <n v="0.26417259345021504"/>
    <x v="29"/>
    <n v="1788.8500000000004"/>
  </r>
  <r>
    <d v="2023-05-23T00:00:00"/>
    <x v="6"/>
    <x v="3"/>
    <x v="2"/>
    <n v="957.29"/>
    <n v="504.44"/>
    <n v="4"/>
    <n v="3829.16"/>
    <n v="2017.76"/>
    <n v="1811.3999999999999"/>
    <n v="0.47305414242288124"/>
    <x v="31"/>
    <n v="1811.3999999999999"/>
  </r>
  <r>
    <d v="2023-03-13T00:00:00"/>
    <x v="8"/>
    <x v="1"/>
    <x v="2"/>
    <n v="637.13"/>
    <n v="568.19000000000005"/>
    <n v="5"/>
    <n v="3185.65"/>
    <n v="2840.9500000000003"/>
    <n v="344.69999999999982"/>
    <n v="0.10820397721030239"/>
    <x v="19"/>
    <n v="344.69999999999982"/>
  </r>
  <r>
    <d v="2023-04-14T00:00:00"/>
    <x v="2"/>
    <x v="0"/>
    <x v="3"/>
    <n v="49.21"/>
    <n v="35.729999999999997"/>
    <n v="5"/>
    <n v="246.05"/>
    <n v="178.64999999999998"/>
    <n v="67.400000000000034"/>
    <n v="0.27392806340174775"/>
    <x v="6"/>
    <n v="67.400000000000034"/>
  </r>
  <r>
    <d v="2024-07-05T00:00:00"/>
    <x v="5"/>
    <x v="3"/>
    <x v="3"/>
    <n v="641.91"/>
    <n v="443.61"/>
    <n v="10"/>
    <n v="6419.0999999999995"/>
    <n v="4436.1000000000004"/>
    <n v="1982.9999999999991"/>
    <n v="0.30892181146889741"/>
    <x v="28"/>
    <n v="1982.9999999999991"/>
  </r>
  <r>
    <d v="2023-09-07T00:00:00"/>
    <x v="5"/>
    <x v="3"/>
    <x v="3"/>
    <n v="1139.9100000000001"/>
    <n v="883.74"/>
    <n v="4"/>
    <n v="4559.6400000000003"/>
    <n v="3534.96"/>
    <n v="1024.6800000000003"/>
    <n v="0.22472826802115961"/>
    <x v="24"/>
    <n v="1024.6800000000003"/>
  </r>
  <r>
    <d v="2022-11-13T00:00:00"/>
    <x v="0"/>
    <x v="0"/>
    <x v="1"/>
    <n v="991.97"/>
    <n v="824.21"/>
    <n v="1"/>
    <n v="991.97"/>
    <n v="824.21"/>
    <n v="167.76"/>
    <n v="0.16911801768198634"/>
    <x v="1"/>
    <n v="167.76"/>
  </r>
  <r>
    <d v="2024-06-07T00:00:00"/>
    <x v="4"/>
    <x v="2"/>
    <x v="0"/>
    <n v="936.73"/>
    <n v="525.61"/>
    <n v="4"/>
    <n v="3746.92"/>
    <n v="2102.44"/>
    <n v="1644.48"/>
    <n v="0.43888847373309275"/>
    <x v="4"/>
    <n v="1644.48"/>
  </r>
  <r>
    <d v="2023-06-14T00:00:00"/>
    <x v="3"/>
    <x v="2"/>
    <x v="2"/>
    <n v="121.93"/>
    <n v="72.180000000000007"/>
    <n v="3"/>
    <n v="365.79"/>
    <n v="216.54000000000002"/>
    <n v="149.25"/>
    <n v="0.40802099565324362"/>
    <x v="0"/>
    <n v="149.25"/>
  </r>
  <r>
    <d v="2023-09-17T00:00:00"/>
    <x v="3"/>
    <x v="2"/>
    <x v="0"/>
    <n v="1434.71"/>
    <n v="899.72"/>
    <n v="6"/>
    <n v="8608.26"/>
    <n v="5398.32"/>
    <n v="3209.9400000000005"/>
    <n v="0.37289068871061054"/>
    <x v="24"/>
    <n v="3209.9400000000005"/>
  </r>
  <r>
    <d v="2023-11-12T00:00:00"/>
    <x v="0"/>
    <x v="0"/>
    <x v="2"/>
    <n v="1292.52"/>
    <n v="931.41"/>
    <n v="7"/>
    <n v="9047.64"/>
    <n v="6519.87"/>
    <n v="2527.7699999999995"/>
    <n v="0.2793844582675703"/>
    <x v="10"/>
    <n v="2527.7699999999995"/>
  </r>
  <r>
    <d v="2022-07-21T00:00:00"/>
    <x v="10"/>
    <x v="2"/>
    <x v="3"/>
    <n v="192.58"/>
    <n v="124.1"/>
    <n v="9"/>
    <n v="1733.22"/>
    <n v="1116.8999999999999"/>
    <n v="616.32000000000016"/>
    <n v="0.35559248104683777"/>
    <x v="8"/>
    <n v="616.32000000000016"/>
  </r>
  <r>
    <d v="2022-04-08T00:00:00"/>
    <x v="1"/>
    <x v="1"/>
    <x v="3"/>
    <n v="982.17"/>
    <n v="629.47"/>
    <n v="9"/>
    <n v="8839.5299999999988"/>
    <n v="5665.2300000000005"/>
    <n v="3174.2999999999984"/>
    <n v="0.35910280297708125"/>
    <x v="32"/>
    <n v="3174.2999999999984"/>
  </r>
  <r>
    <d v="2023-05-26T00:00:00"/>
    <x v="6"/>
    <x v="3"/>
    <x v="0"/>
    <n v="809.21"/>
    <n v="500.7"/>
    <n v="9"/>
    <n v="7282.89"/>
    <n v="4506.3"/>
    <n v="2776.59"/>
    <n v="0.38124837804772554"/>
    <x v="31"/>
    <n v="2776.59"/>
  </r>
  <r>
    <d v="2024-07-01T00:00:00"/>
    <x v="10"/>
    <x v="2"/>
    <x v="2"/>
    <n v="1884.05"/>
    <n v="1007.63"/>
    <n v="7"/>
    <n v="13188.35"/>
    <n v="7053.41"/>
    <n v="6134.9400000000005"/>
    <n v="0.46517873729465781"/>
    <x v="28"/>
    <n v="6134.9400000000005"/>
  </r>
  <r>
    <d v="2022-02-21T00:00:00"/>
    <x v="1"/>
    <x v="1"/>
    <x v="2"/>
    <n v="346.44"/>
    <n v="229.36"/>
    <n v="4"/>
    <n v="1385.76"/>
    <n v="917.44"/>
    <n v="468.31999999999994"/>
    <n v="0.33795173767463338"/>
    <x v="20"/>
    <n v="468.31999999999994"/>
  </r>
  <r>
    <d v="2024-08-01T00:00:00"/>
    <x v="8"/>
    <x v="1"/>
    <x v="1"/>
    <n v="507.47"/>
    <n v="316.76"/>
    <n v="1"/>
    <n v="507.47"/>
    <n v="316.76"/>
    <n v="190.71000000000004"/>
    <n v="0.37580546633298523"/>
    <x v="21"/>
    <n v="190.71000000000004"/>
  </r>
  <r>
    <d v="2023-01-28T00:00:00"/>
    <x v="3"/>
    <x v="2"/>
    <x v="3"/>
    <n v="1551.94"/>
    <n v="1185.8699999999999"/>
    <n v="2"/>
    <n v="3103.88"/>
    <n v="2371.7399999999998"/>
    <n v="732.14000000000033"/>
    <n v="0.23587896439295344"/>
    <x v="13"/>
    <n v="732.14000000000033"/>
  </r>
  <r>
    <d v="2022-12-10T00:00:00"/>
    <x v="5"/>
    <x v="3"/>
    <x v="2"/>
    <n v="1015.23"/>
    <n v="875.9"/>
    <n v="7"/>
    <n v="7106.6100000000006"/>
    <n v="6131.3"/>
    <n v="975.3100000000004"/>
    <n v="0.13723983727825226"/>
    <x v="33"/>
    <n v="975.3100000000004"/>
  </r>
  <r>
    <d v="2024-12-04T00:00:00"/>
    <x v="1"/>
    <x v="1"/>
    <x v="3"/>
    <n v="1360.66"/>
    <n v="849.79"/>
    <n v="7"/>
    <n v="9524.6200000000008"/>
    <n v="5948.53"/>
    <n v="3576.0900000000011"/>
    <n v="0.37545749856687205"/>
    <x v="23"/>
    <n v="3576.0900000000011"/>
  </r>
  <r>
    <d v="2024-03-03T00:00:00"/>
    <x v="5"/>
    <x v="3"/>
    <x v="3"/>
    <n v="1877.23"/>
    <n v="1397.37"/>
    <n v="5"/>
    <n v="9386.15"/>
    <n v="6986.8499999999995"/>
    <n v="2399.3000000000002"/>
    <n v="0.25562131438342667"/>
    <x v="29"/>
    <n v="2399.3000000000002"/>
  </r>
  <r>
    <d v="2023-05-17T00:00:00"/>
    <x v="5"/>
    <x v="3"/>
    <x v="2"/>
    <n v="279.58"/>
    <n v="215.84"/>
    <n v="3"/>
    <n v="838.74"/>
    <n v="647.52"/>
    <n v="191.22000000000003"/>
    <n v="0.22798483439444886"/>
    <x v="31"/>
    <n v="191.22000000000003"/>
  </r>
  <r>
    <d v="2023-04-22T00:00:00"/>
    <x v="0"/>
    <x v="0"/>
    <x v="3"/>
    <n v="738.59"/>
    <n v="644.29"/>
    <n v="3"/>
    <n v="2215.77"/>
    <n v="1932.87"/>
    <n v="282.90000000000009"/>
    <n v="0.12767570641357184"/>
    <x v="6"/>
    <n v="282.90000000000009"/>
  </r>
  <r>
    <d v="2022-10-20T00:00:00"/>
    <x v="8"/>
    <x v="1"/>
    <x v="3"/>
    <n v="695.88"/>
    <n v="386.95"/>
    <n v="9"/>
    <n v="6262.92"/>
    <n v="3482.5499999999997"/>
    <n v="2780.3700000000003"/>
    <n v="0.44394148416393636"/>
    <x v="25"/>
    <n v="2780.3700000000003"/>
  </r>
  <r>
    <d v="2022-05-06T00:00:00"/>
    <x v="8"/>
    <x v="1"/>
    <x v="3"/>
    <n v="1560.24"/>
    <n v="1028"/>
    <n v="6"/>
    <n v="9361.44"/>
    <n v="6168"/>
    <n v="3193.4400000000005"/>
    <n v="0.34112700610162544"/>
    <x v="35"/>
    <n v="3193.4400000000005"/>
  </r>
  <r>
    <d v="2024-01-29T00:00:00"/>
    <x v="6"/>
    <x v="3"/>
    <x v="0"/>
    <n v="1683.32"/>
    <n v="1418.35"/>
    <n v="7"/>
    <n v="11783.24"/>
    <n v="9928.4499999999989"/>
    <n v="1854.7900000000009"/>
    <n v="0.15740916759736717"/>
    <x v="26"/>
    <n v="1854.7900000000009"/>
  </r>
  <r>
    <d v="2024-03-14T00:00:00"/>
    <x v="2"/>
    <x v="0"/>
    <x v="1"/>
    <n v="914.46"/>
    <n v="620.4"/>
    <n v="6"/>
    <n v="5486.76"/>
    <n v="3722.3999999999996"/>
    <n v="1764.3600000000006"/>
    <n v="0.32156682632373212"/>
    <x v="29"/>
    <n v="1764.3600000000006"/>
  </r>
  <r>
    <d v="2024-11-15T00:00:00"/>
    <x v="5"/>
    <x v="3"/>
    <x v="3"/>
    <n v="1283.57"/>
    <n v="773.16"/>
    <n v="5"/>
    <n v="6417.8499999999995"/>
    <n v="3865.7999999999997"/>
    <n v="2552.0499999999997"/>
    <n v="0.39764874529632199"/>
    <x v="2"/>
    <n v="2552.0499999999997"/>
  </r>
  <r>
    <d v="2022-06-29T00:00:00"/>
    <x v="6"/>
    <x v="3"/>
    <x v="1"/>
    <n v="1135.74"/>
    <n v="655.6"/>
    <n v="1"/>
    <n v="1135.74"/>
    <n v="655.6"/>
    <n v="480.14"/>
    <n v="0.42275520805818234"/>
    <x v="18"/>
    <n v="480.14"/>
  </r>
  <r>
    <d v="2024-10-08T00:00:00"/>
    <x v="10"/>
    <x v="2"/>
    <x v="2"/>
    <n v="1762.26"/>
    <n v="1110.78"/>
    <n v="1"/>
    <n v="1762.26"/>
    <n v="1110.78"/>
    <n v="651.48"/>
    <n v="0.36968438255422015"/>
    <x v="17"/>
    <n v="651.48"/>
  </r>
  <r>
    <d v="2023-08-25T00:00:00"/>
    <x v="4"/>
    <x v="2"/>
    <x v="3"/>
    <n v="1354.18"/>
    <n v="1025.33"/>
    <n v="10"/>
    <n v="13541.800000000001"/>
    <n v="10253.299999999999"/>
    <n v="3288.5000000000018"/>
    <n v="0.24284068587632379"/>
    <x v="14"/>
    <n v="3288.5000000000018"/>
  </r>
  <r>
    <d v="2022-01-21T00:00:00"/>
    <x v="10"/>
    <x v="2"/>
    <x v="3"/>
    <n v="222.73"/>
    <n v="137.93"/>
    <n v="4"/>
    <n v="890.92"/>
    <n v="551.72"/>
    <n v="339.19999999999993"/>
    <n v="0.38073003187716065"/>
    <x v="9"/>
    <n v="339.19999999999993"/>
  </r>
  <r>
    <d v="2022-03-05T00:00:00"/>
    <x v="4"/>
    <x v="2"/>
    <x v="1"/>
    <n v="172"/>
    <n v="113.15"/>
    <n v="7"/>
    <n v="1204"/>
    <n v="792.05000000000007"/>
    <n v="411.94999999999993"/>
    <n v="0.34215116279069763"/>
    <x v="7"/>
    <n v="411.94999999999993"/>
  </r>
  <r>
    <d v="2022-04-18T00:00:00"/>
    <x v="2"/>
    <x v="0"/>
    <x v="3"/>
    <n v="1121.33"/>
    <n v="705.62"/>
    <n v="3"/>
    <n v="3363.99"/>
    <n v="2116.86"/>
    <n v="1247.1299999999997"/>
    <n v="0.3707294016926328"/>
    <x v="32"/>
    <n v="1247.1299999999997"/>
  </r>
  <r>
    <d v="2024-07-09T00:00:00"/>
    <x v="5"/>
    <x v="3"/>
    <x v="0"/>
    <n v="840.5"/>
    <n v="426.31"/>
    <n v="10"/>
    <n v="8405"/>
    <n v="4263.1000000000004"/>
    <n v="4141.8999999999996"/>
    <n v="0.49279000594883993"/>
    <x v="28"/>
    <n v="4141.8999999999996"/>
  </r>
  <r>
    <d v="2022-11-09T00:00:00"/>
    <x v="3"/>
    <x v="2"/>
    <x v="2"/>
    <n v="724.21"/>
    <n v="480.02"/>
    <n v="4"/>
    <n v="2896.84"/>
    <n v="1920.08"/>
    <n v="976.76000000000022"/>
    <n v="0.33718120434680554"/>
    <x v="1"/>
    <n v="976.76000000000022"/>
  </r>
  <r>
    <d v="2023-07-30T00:00:00"/>
    <x v="7"/>
    <x v="0"/>
    <x v="3"/>
    <n v="1025.2"/>
    <n v="525.84"/>
    <n v="2"/>
    <n v="2050.4"/>
    <n v="1051.68"/>
    <n v="998.72"/>
    <n v="0.48708544674209908"/>
    <x v="11"/>
    <n v="998.72"/>
  </r>
  <r>
    <d v="2022-05-07T00:00:00"/>
    <x v="1"/>
    <x v="1"/>
    <x v="1"/>
    <n v="1763.75"/>
    <n v="932.53"/>
    <n v="9"/>
    <n v="15873.75"/>
    <n v="8392.77"/>
    <n v="7480.98"/>
    <n v="0.47127994330262224"/>
    <x v="35"/>
    <n v="7480.98"/>
  </r>
  <r>
    <d v="2022-01-06T00:00:00"/>
    <x v="0"/>
    <x v="0"/>
    <x v="1"/>
    <n v="1462.46"/>
    <n v="985.89"/>
    <n v="7"/>
    <n v="10237.220000000001"/>
    <n v="6901.23"/>
    <n v="3335.9900000000016"/>
    <n v="0.32586874170917507"/>
    <x v="9"/>
    <n v="3335.9900000000016"/>
  </r>
  <r>
    <d v="2022-10-04T00:00:00"/>
    <x v="1"/>
    <x v="1"/>
    <x v="0"/>
    <n v="642.41999999999996"/>
    <n v="502.54"/>
    <n v="1"/>
    <n v="642.41999999999996"/>
    <n v="502.54"/>
    <n v="139.87999999999994"/>
    <n v="0.21773917374926052"/>
    <x v="25"/>
    <n v="139.87999999999994"/>
  </r>
  <r>
    <d v="2023-07-11T00:00:00"/>
    <x v="1"/>
    <x v="1"/>
    <x v="3"/>
    <n v="90.96"/>
    <n v="61.97"/>
    <n v="4"/>
    <n v="363.84"/>
    <n v="247.88"/>
    <n v="115.95999999999998"/>
    <n v="0.31871152154793314"/>
    <x v="11"/>
    <n v="115.95999999999998"/>
  </r>
  <r>
    <d v="2024-11-30T00:00:00"/>
    <x v="4"/>
    <x v="2"/>
    <x v="0"/>
    <n v="730.63"/>
    <n v="625.71"/>
    <n v="4"/>
    <n v="2922.52"/>
    <n v="2502.84"/>
    <n v="419.67999999999984"/>
    <n v="0.14360209682055208"/>
    <x v="2"/>
    <n v="419.67999999999984"/>
  </r>
  <r>
    <d v="2023-03-09T00:00:00"/>
    <x v="2"/>
    <x v="0"/>
    <x v="3"/>
    <n v="977.34"/>
    <n v="771.79"/>
    <n v="6"/>
    <n v="5864.04"/>
    <n v="4630.74"/>
    <n v="1233.3000000000002"/>
    <n v="0.21031575500849248"/>
    <x v="19"/>
    <n v="1233.3000000000002"/>
  </r>
  <r>
    <d v="2022-02-20T00:00:00"/>
    <x v="7"/>
    <x v="0"/>
    <x v="3"/>
    <n v="1583.41"/>
    <n v="1312.23"/>
    <n v="7"/>
    <n v="11083.87"/>
    <n v="9185.61"/>
    <n v="1898.2600000000002"/>
    <n v="0.17126328619877354"/>
    <x v="20"/>
    <n v="1898.2600000000002"/>
  </r>
  <r>
    <d v="2024-10-11T00:00:00"/>
    <x v="8"/>
    <x v="1"/>
    <x v="3"/>
    <n v="1930.67"/>
    <n v="1122.78"/>
    <n v="6"/>
    <n v="11584.02"/>
    <n v="6736.68"/>
    <n v="4847.34"/>
    <n v="0.41845058969166143"/>
    <x v="17"/>
    <n v="4847.34"/>
  </r>
  <r>
    <d v="2024-10-06T00:00:00"/>
    <x v="10"/>
    <x v="2"/>
    <x v="3"/>
    <n v="1612.61"/>
    <n v="902.47"/>
    <n v="9"/>
    <n v="14513.49"/>
    <n v="8122.2300000000005"/>
    <n v="6391.2599999999993"/>
    <n v="0.44036685869491071"/>
    <x v="17"/>
    <n v="6391.2599999999993"/>
  </r>
  <r>
    <d v="2023-02-14T00:00:00"/>
    <x v="2"/>
    <x v="0"/>
    <x v="1"/>
    <n v="1484.96"/>
    <n v="1282.79"/>
    <n v="1"/>
    <n v="1484.96"/>
    <n v="1282.79"/>
    <n v="202.17000000000007"/>
    <n v="0.13614508134899261"/>
    <x v="27"/>
    <n v="202.17000000000007"/>
  </r>
  <r>
    <d v="2024-10-04T00:00:00"/>
    <x v="8"/>
    <x v="1"/>
    <x v="2"/>
    <n v="665.93"/>
    <n v="510.11"/>
    <n v="6"/>
    <n v="3995.58"/>
    <n v="3060.66"/>
    <n v="934.92000000000007"/>
    <n v="0.23398855735587826"/>
    <x v="17"/>
    <n v="934.92000000000007"/>
  </r>
  <r>
    <d v="2024-12-27T00:00:00"/>
    <x v="4"/>
    <x v="2"/>
    <x v="2"/>
    <n v="480.28"/>
    <n v="326.95"/>
    <n v="5"/>
    <n v="2401.3999999999996"/>
    <n v="1634.75"/>
    <n v="766.64999999999964"/>
    <n v="0.31925127009244597"/>
    <x v="23"/>
    <n v="766.64999999999964"/>
  </r>
  <r>
    <d v="2022-06-25T00:00:00"/>
    <x v="1"/>
    <x v="1"/>
    <x v="2"/>
    <n v="1238.1099999999999"/>
    <n v="926.57"/>
    <n v="3"/>
    <n v="3714.33"/>
    <n v="2779.71"/>
    <n v="934.61999999999989"/>
    <n v="0.2516254613887296"/>
    <x v="18"/>
    <n v="934.61999999999989"/>
  </r>
  <r>
    <d v="2024-11-20T00:00:00"/>
    <x v="2"/>
    <x v="0"/>
    <x v="0"/>
    <n v="1203.98"/>
    <n v="1030.48"/>
    <n v="8"/>
    <n v="9631.84"/>
    <n v="8243.84"/>
    <n v="1388"/>
    <n v="0.14410538381036231"/>
    <x v="2"/>
    <n v="1388"/>
  </r>
  <r>
    <d v="2023-07-24T00:00:00"/>
    <x v="10"/>
    <x v="2"/>
    <x v="3"/>
    <n v="149.78"/>
    <n v="96.31"/>
    <n v="4"/>
    <n v="599.12"/>
    <n v="385.24"/>
    <n v="213.88"/>
    <n v="0.35699025237014287"/>
    <x v="11"/>
    <n v="213.88"/>
  </r>
  <r>
    <d v="2024-11-28T00:00:00"/>
    <x v="0"/>
    <x v="0"/>
    <x v="1"/>
    <n v="1474.01"/>
    <n v="923.69"/>
    <n v="4"/>
    <n v="5896.04"/>
    <n v="3694.76"/>
    <n v="2201.2799999999997"/>
    <n v="0.37334889179856307"/>
    <x v="2"/>
    <n v="2201.2799999999997"/>
  </r>
  <r>
    <d v="2023-06-15T00:00:00"/>
    <x v="10"/>
    <x v="2"/>
    <x v="2"/>
    <n v="937.36"/>
    <n v="843.46"/>
    <n v="6"/>
    <n v="5624.16"/>
    <n v="5060.76"/>
    <n v="563.39999999999964"/>
    <n v="0.10017495946061272"/>
    <x v="0"/>
    <n v="563.39999999999964"/>
  </r>
  <r>
    <d v="2022-06-14T00:00:00"/>
    <x v="8"/>
    <x v="1"/>
    <x v="0"/>
    <n v="1783.92"/>
    <n v="1221.57"/>
    <n v="2"/>
    <n v="3567.84"/>
    <n v="2443.14"/>
    <n v="1124.7000000000003"/>
    <n v="0.31523274586304323"/>
    <x v="18"/>
    <n v="1124.7000000000003"/>
  </r>
  <r>
    <d v="2024-02-21T00:00:00"/>
    <x v="7"/>
    <x v="0"/>
    <x v="1"/>
    <n v="1226.25"/>
    <n v="868.61"/>
    <n v="6"/>
    <n v="7357.5"/>
    <n v="5211.66"/>
    <n v="2145.84"/>
    <n v="0.29165341488277269"/>
    <x v="34"/>
    <n v="2145.84"/>
  </r>
  <r>
    <d v="2022-06-16T00:00:00"/>
    <x v="3"/>
    <x v="2"/>
    <x v="1"/>
    <n v="1719.3"/>
    <n v="1390.14"/>
    <n v="1"/>
    <n v="1719.3"/>
    <n v="1390.14"/>
    <n v="329.15999999999985"/>
    <n v="0.19145000872448081"/>
    <x v="18"/>
    <n v="329.15999999999985"/>
  </r>
  <r>
    <d v="2023-06-13T00:00:00"/>
    <x v="4"/>
    <x v="2"/>
    <x v="3"/>
    <n v="87.17"/>
    <n v="64.55"/>
    <n v="2"/>
    <n v="174.34"/>
    <n v="129.1"/>
    <n v="45.240000000000009"/>
    <n v="0.25949294482046581"/>
    <x v="0"/>
    <n v="45.240000000000009"/>
  </r>
  <r>
    <d v="2024-11-06T00:00:00"/>
    <x v="2"/>
    <x v="0"/>
    <x v="3"/>
    <n v="531.45000000000005"/>
    <n v="329.51"/>
    <n v="7"/>
    <n v="3720.1500000000005"/>
    <n v="2306.5699999999997"/>
    <n v="1413.5800000000008"/>
    <n v="0.37997930190986939"/>
    <x v="2"/>
    <n v="1413.5800000000008"/>
  </r>
  <r>
    <d v="2024-07-29T00:00:00"/>
    <x v="10"/>
    <x v="2"/>
    <x v="0"/>
    <n v="1143.06"/>
    <n v="666.84"/>
    <n v="10"/>
    <n v="11430.599999999999"/>
    <n v="6668.4000000000005"/>
    <n v="4762.199999999998"/>
    <n v="0.41661855020733807"/>
    <x v="28"/>
    <n v="4762.199999999998"/>
  </r>
  <r>
    <d v="2022-02-24T00:00:00"/>
    <x v="0"/>
    <x v="0"/>
    <x v="0"/>
    <n v="1167.71"/>
    <n v="771.78"/>
    <n v="7"/>
    <n v="8173.97"/>
    <n v="5402.46"/>
    <n v="2771.51"/>
    <n v="0.33906535012974115"/>
    <x v="20"/>
    <n v="2771.51"/>
  </r>
  <r>
    <d v="2022-03-11T00:00:00"/>
    <x v="5"/>
    <x v="3"/>
    <x v="2"/>
    <n v="201.37"/>
    <n v="112.12"/>
    <n v="10"/>
    <n v="2013.7"/>
    <n v="1121.2"/>
    <n v="892.5"/>
    <n v="0.44321398420817398"/>
    <x v="7"/>
    <n v="892.5"/>
  </r>
  <r>
    <d v="2023-03-03T00:00:00"/>
    <x v="8"/>
    <x v="1"/>
    <x v="2"/>
    <n v="903.73"/>
    <n v="581.13"/>
    <n v="9"/>
    <n v="8133.57"/>
    <n v="5230.17"/>
    <n v="2903.3999999999996"/>
    <n v="0.35696502273909242"/>
    <x v="19"/>
    <n v="2903.3999999999996"/>
  </r>
  <r>
    <d v="2023-01-10T00:00:00"/>
    <x v="7"/>
    <x v="0"/>
    <x v="3"/>
    <n v="292.63"/>
    <n v="155.69"/>
    <n v="9"/>
    <n v="2633.67"/>
    <n v="1401.21"/>
    <n v="1232.46"/>
    <n v="0.46796295663465809"/>
    <x v="13"/>
    <n v="1232.46"/>
  </r>
  <r>
    <d v="2023-03-05T00:00:00"/>
    <x v="1"/>
    <x v="1"/>
    <x v="1"/>
    <n v="39.04"/>
    <n v="28.13"/>
    <n v="2"/>
    <n v="78.08"/>
    <n v="56.26"/>
    <n v="21.82"/>
    <n v="0.27945696721311475"/>
    <x v="19"/>
    <n v="21.82"/>
  </r>
  <r>
    <d v="2023-03-16T00:00:00"/>
    <x v="0"/>
    <x v="0"/>
    <x v="0"/>
    <n v="1273.73"/>
    <n v="807.58"/>
    <n v="6"/>
    <n v="7642.38"/>
    <n v="4845.4800000000005"/>
    <n v="2796.8999999999996"/>
    <n v="0.36597238033178142"/>
    <x v="19"/>
    <n v="2796.8999999999996"/>
  </r>
  <r>
    <d v="2024-08-10T00:00:00"/>
    <x v="0"/>
    <x v="0"/>
    <x v="2"/>
    <n v="1697.1"/>
    <n v="1493.87"/>
    <n v="10"/>
    <n v="16971"/>
    <n v="14938.699999999999"/>
    <n v="2032.3000000000011"/>
    <n v="0.11975134052206712"/>
    <x v="21"/>
    <n v="2032.3000000000011"/>
  </r>
  <r>
    <d v="2024-02-12T00:00:00"/>
    <x v="8"/>
    <x v="1"/>
    <x v="3"/>
    <n v="148.9"/>
    <n v="89.24"/>
    <n v="2"/>
    <n v="297.8"/>
    <n v="178.48"/>
    <n v="119.32000000000002"/>
    <n v="0.40067159167226329"/>
    <x v="34"/>
    <n v="119.32000000000002"/>
  </r>
  <r>
    <d v="2024-12-30T00:00:00"/>
    <x v="9"/>
    <x v="3"/>
    <x v="2"/>
    <n v="1055.67"/>
    <n v="760.16"/>
    <n v="9"/>
    <n v="9501.0300000000007"/>
    <n v="6841.44"/>
    <n v="2659.5900000000011"/>
    <n v="0.27992649218032162"/>
    <x v="23"/>
    <n v="2659.5900000000011"/>
  </r>
  <r>
    <d v="2024-12-26T00:00:00"/>
    <x v="10"/>
    <x v="2"/>
    <x v="3"/>
    <n v="631.42999999999995"/>
    <n v="363.02"/>
    <n v="5"/>
    <n v="3157.1499999999996"/>
    <n v="1815.1"/>
    <n v="1342.0499999999997"/>
    <n v="0.42508274868156404"/>
    <x v="23"/>
    <n v="1342.0499999999997"/>
  </r>
  <r>
    <d v="2023-01-28T00:00:00"/>
    <x v="5"/>
    <x v="3"/>
    <x v="3"/>
    <n v="1419.18"/>
    <n v="971.89"/>
    <n v="3"/>
    <n v="4257.54"/>
    <n v="2915.67"/>
    <n v="1341.87"/>
    <n v="0.31517496018827773"/>
    <x v="13"/>
    <n v="1341.87"/>
  </r>
  <r>
    <d v="2022-09-20T00:00:00"/>
    <x v="1"/>
    <x v="1"/>
    <x v="2"/>
    <n v="1134.18"/>
    <n v="884.52"/>
    <n v="4"/>
    <n v="4536.72"/>
    <n v="3538.08"/>
    <n v="998.64000000000033"/>
    <n v="0.22012378987462314"/>
    <x v="12"/>
    <n v="998.64000000000033"/>
  </r>
  <r>
    <d v="2024-03-18T00:00:00"/>
    <x v="2"/>
    <x v="0"/>
    <x v="3"/>
    <n v="1763.97"/>
    <n v="1527.98"/>
    <n v="1"/>
    <n v="1763.97"/>
    <n v="1527.98"/>
    <n v="235.99"/>
    <n v="0.13378345436713776"/>
    <x v="29"/>
    <n v="235.99"/>
  </r>
  <r>
    <d v="2023-09-21T00:00:00"/>
    <x v="5"/>
    <x v="3"/>
    <x v="3"/>
    <n v="1728.89"/>
    <n v="1469.02"/>
    <n v="4"/>
    <n v="6915.56"/>
    <n v="5876.08"/>
    <n v="1039.4800000000005"/>
    <n v="0.15031031471059472"/>
    <x v="24"/>
    <n v="1039.4800000000005"/>
  </r>
  <r>
    <d v="2023-12-29T00:00:00"/>
    <x v="6"/>
    <x v="3"/>
    <x v="1"/>
    <n v="1373.72"/>
    <n v="796.33"/>
    <n v="9"/>
    <n v="12363.48"/>
    <n v="7166.97"/>
    <n v="5196.5099999999993"/>
    <n v="0.42031127158372883"/>
    <x v="30"/>
    <n v="5196.5099999999993"/>
  </r>
  <r>
    <d v="2024-08-31T00:00:00"/>
    <x v="7"/>
    <x v="0"/>
    <x v="0"/>
    <n v="1129.57"/>
    <n v="837.56"/>
    <n v="9"/>
    <n v="10166.129999999999"/>
    <n v="7538.0399999999991"/>
    <n v="2628.09"/>
    <n v="0.25851430190249391"/>
    <x v="21"/>
    <n v="2628.09"/>
  </r>
  <r>
    <d v="2022-07-28T00:00:00"/>
    <x v="7"/>
    <x v="0"/>
    <x v="0"/>
    <n v="1878.37"/>
    <n v="1203.67"/>
    <n v="4"/>
    <n v="7513.48"/>
    <n v="4814.68"/>
    <n v="2698.7999999999993"/>
    <n v="0.35919440791750284"/>
    <x v="8"/>
    <n v="2698.7999999999993"/>
  </r>
  <r>
    <d v="2022-04-07T00:00:00"/>
    <x v="4"/>
    <x v="2"/>
    <x v="2"/>
    <n v="1121.45"/>
    <n v="814.56"/>
    <n v="4"/>
    <n v="4485.8"/>
    <n v="3258.24"/>
    <n v="1227.5600000000004"/>
    <n v="0.27365464354184321"/>
    <x v="32"/>
    <n v="1227.5600000000004"/>
  </r>
  <r>
    <d v="2022-01-20T00:00:00"/>
    <x v="1"/>
    <x v="1"/>
    <x v="0"/>
    <n v="416.79"/>
    <n v="353.3"/>
    <n v="7"/>
    <n v="2917.53"/>
    <n v="2473.1"/>
    <n v="444.43000000000029"/>
    <n v="0.1523309100506251"/>
    <x v="9"/>
    <n v="444.43000000000029"/>
  </r>
  <r>
    <d v="2022-10-11T00:00:00"/>
    <x v="7"/>
    <x v="0"/>
    <x v="1"/>
    <n v="1156.6500000000001"/>
    <n v="884.65"/>
    <n v="5"/>
    <n v="5783.25"/>
    <n v="4423.25"/>
    <n v="1360"/>
    <n v="0.23516188994077725"/>
    <x v="25"/>
    <n v="1360"/>
  </r>
  <r>
    <d v="2022-10-13T00:00:00"/>
    <x v="2"/>
    <x v="0"/>
    <x v="2"/>
    <n v="1686.7"/>
    <n v="855.52"/>
    <n v="6"/>
    <n v="10120.200000000001"/>
    <n v="5133.12"/>
    <n v="4987.0800000000008"/>
    <n v="0.49278472757455388"/>
    <x v="25"/>
    <n v="4987.0800000000008"/>
  </r>
  <r>
    <d v="2022-05-13T00:00:00"/>
    <x v="9"/>
    <x v="3"/>
    <x v="3"/>
    <n v="586.66999999999996"/>
    <n v="331.62"/>
    <n v="5"/>
    <n v="2933.35"/>
    <n v="1658.1"/>
    <n v="1275.25"/>
    <n v="0.43474184805768151"/>
    <x v="35"/>
    <n v="1275.25"/>
  </r>
  <r>
    <d v="2024-10-21T00:00:00"/>
    <x v="0"/>
    <x v="0"/>
    <x v="3"/>
    <n v="1940.69"/>
    <n v="1408.57"/>
    <n v="2"/>
    <n v="3881.38"/>
    <n v="2817.14"/>
    <n v="1064.2400000000002"/>
    <n v="0.27419113820342256"/>
    <x v="17"/>
    <n v="1064.2400000000002"/>
  </r>
  <r>
    <d v="2024-12-13T00:00:00"/>
    <x v="6"/>
    <x v="3"/>
    <x v="0"/>
    <n v="242.18"/>
    <n v="193.76"/>
    <n v="5"/>
    <n v="1210.9000000000001"/>
    <n v="968.8"/>
    <n v="242.10000000000014"/>
    <n v="0.19993393343793883"/>
    <x v="23"/>
    <n v="242.10000000000014"/>
  </r>
  <r>
    <d v="2024-11-30T00:00:00"/>
    <x v="5"/>
    <x v="3"/>
    <x v="2"/>
    <n v="240.68"/>
    <n v="188.08"/>
    <n v="10"/>
    <n v="2406.8000000000002"/>
    <n v="1880.8000000000002"/>
    <n v="526"/>
    <n v="0.21854744889479805"/>
    <x v="2"/>
    <n v="526"/>
  </r>
  <r>
    <d v="2023-09-05T00:00:00"/>
    <x v="7"/>
    <x v="0"/>
    <x v="3"/>
    <n v="75.48"/>
    <n v="64.13"/>
    <n v="6"/>
    <n v="452.88"/>
    <n v="384.78"/>
    <n v="68.100000000000023"/>
    <n v="0.15037095919448865"/>
    <x v="24"/>
    <n v="68.100000000000023"/>
  </r>
  <r>
    <d v="2024-08-13T00:00:00"/>
    <x v="4"/>
    <x v="2"/>
    <x v="0"/>
    <n v="497"/>
    <n v="273.5"/>
    <n v="2"/>
    <n v="994"/>
    <n v="547"/>
    <n v="447"/>
    <n v="0.44969818913480886"/>
    <x v="21"/>
    <n v="447"/>
  </r>
  <r>
    <d v="2023-11-17T00:00:00"/>
    <x v="0"/>
    <x v="0"/>
    <x v="3"/>
    <n v="309.58999999999997"/>
    <n v="246.12"/>
    <n v="7"/>
    <n v="2167.1299999999997"/>
    <n v="1722.8400000000001"/>
    <n v="444.28999999999951"/>
    <n v="0.20501308181788799"/>
    <x v="10"/>
    <n v="444.28999999999951"/>
  </r>
  <r>
    <d v="2023-02-08T00:00:00"/>
    <x v="5"/>
    <x v="3"/>
    <x v="0"/>
    <n v="1304.93"/>
    <n v="680.78"/>
    <n v="7"/>
    <n v="9134.51"/>
    <n v="4765.46"/>
    <n v="4369.05"/>
    <n v="0.47830151808909294"/>
    <x v="27"/>
    <n v="4369.05"/>
  </r>
  <r>
    <d v="2024-05-21T00:00:00"/>
    <x v="5"/>
    <x v="3"/>
    <x v="1"/>
    <n v="365.63"/>
    <n v="320.54000000000002"/>
    <n v="2"/>
    <n v="731.26"/>
    <n v="641.08000000000004"/>
    <n v="90.17999999999995"/>
    <n v="0.12332139047671137"/>
    <x v="3"/>
    <n v="90.17999999999995"/>
  </r>
  <r>
    <d v="2023-03-19T00:00:00"/>
    <x v="4"/>
    <x v="2"/>
    <x v="3"/>
    <n v="1995.81"/>
    <n v="1247.55"/>
    <n v="9"/>
    <n v="17962.29"/>
    <n v="11227.949999999999"/>
    <n v="6734.340000000002"/>
    <n v="0.37491544786327363"/>
    <x v="19"/>
    <n v="6734.340000000002"/>
  </r>
  <r>
    <d v="2023-08-15T00:00:00"/>
    <x v="0"/>
    <x v="0"/>
    <x v="2"/>
    <n v="1166.99"/>
    <n v="964.42"/>
    <n v="10"/>
    <n v="11669.9"/>
    <n v="9644.1999999999989"/>
    <n v="2025.7000000000007"/>
    <n v="0.17358332119384062"/>
    <x v="14"/>
    <n v="2025.7000000000007"/>
  </r>
  <r>
    <d v="2022-04-09T00:00:00"/>
    <x v="0"/>
    <x v="0"/>
    <x v="3"/>
    <n v="1876.39"/>
    <n v="1379.46"/>
    <n v="1"/>
    <n v="1876.39"/>
    <n v="1379.46"/>
    <n v="496.93000000000006"/>
    <n v="0.26483300379984975"/>
    <x v="32"/>
    <n v="496.93000000000006"/>
  </r>
  <r>
    <d v="2023-08-03T00:00:00"/>
    <x v="7"/>
    <x v="0"/>
    <x v="0"/>
    <n v="378.2"/>
    <n v="307.07"/>
    <n v="9"/>
    <n v="3403.7999999999997"/>
    <n v="2763.63"/>
    <n v="640.16999999999962"/>
    <n v="0.18807509254362761"/>
    <x v="14"/>
    <n v="640.16999999999962"/>
  </r>
  <r>
    <d v="2024-10-07T00:00:00"/>
    <x v="10"/>
    <x v="2"/>
    <x v="1"/>
    <n v="1142.4100000000001"/>
    <n v="726.29"/>
    <n v="4"/>
    <n v="4569.6400000000003"/>
    <n v="2905.16"/>
    <n v="1664.4800000000005"/>
    <n v="0.36424751183900711"/>
    <x v="17"/>
    <n v="1664.4800000000005"/>
  </r>
  <r>
    <d v="2024-06-15T00:00:00"/>
    <x v="1"/>
    <x v="1"/>
    <x v="2"/>
    <n v="1508.68"/>
    <n v="1012.92"/>
    <n v="2"/>
    <n v="3017.36"/>
    <n v="2025.84"/>
    <n v="991.52000000000021"/>
    <n v="0.32860513826656418"/>
    <x v="4"/>
    <n v="991.52000000000021"/>
  </r>
  <r>
    <d v="2024-04-15T00:00:00"/>
    <x v="8"/>
    <x v="1"/>
    <x v="3"/>
    <n v="1444.8"/>
    <n v="1237.43"/>
    <n v="2"/>
    <n v="2889.6"/>
    <n v="2474.86"/>
    <n v="414.73999999999978"/>
    <n v="0.14352851605758576"/>
    <x v="22"/>
    <n v="414.73999999999978"/>
  </r>
  <r>
    <d v="2024-01-30T00:00:00"/>
    <x v="1"/>
    <x v="1"/>
    <x v="0"/>
    <n v="1882.04"/>
    <n v="1519.12"/>
    <n v="7"/>
    <n v="13174.279999999999"/>
    <n v="10633.84"/>
    <n v="2540.4399999999987"/>
    <n v="0.1928333085375443"/>
    <x v="26"/>
    <n v="2540.4399999999987"/>
  </r>
  <r>
    <d v="2024-06-24T00:00:00"/>
    <x v="3"/>
    <x v="2"/>
    <x v="3"/>
    <n v="1790.29"/>
    <n v="1208.04"/>
    <n v="2"/>
    <n v="3580.58"/>
    <n v="2416.08"/>
    <n v="1164.5"/>
    <n v="0.3252266392595613"/>
    <x v="4"/>
    <n v="1164.5"/>
  </r>
  <r>
    <d v="2022-05-25T00:00:00"/>
    <x v="0"/>
    <x v="0"/>
    <x v="1"/>
    <n v="613.42999999999995"/>
    <n v="350.58"/>
    <n v="6"/>
    <n v="3680.58"/>
    <n v="2103.48"/>
    <n v="1577.1"/>
    <n v="0.42849224850431178"/>
    <x v="35"/>
    <n v="1577.1"/>
  </r>
  <r>
    <d v="2022-08-01T00:00:00"/>
    <x v="5"/>
    <x v="3"/>
    <x v="1"/>
    <n v="589.66999999999996"/>
    <n v="514.03"/>
    <n v="4"/>
    <n v="2358.6799999999998"/>
    <n v="2056.12"/>
    <n v="302.55999999999995"/>
    <n v="0.12827513694100087"/>
    <x v="15"/>
    <n v="302.55999999999995"/>
  </r>
  <r>
    <d v="2024-04-05T00:00:00"/>
    <x v="7"/>
    <x v="0"/>
    <x v="3"/>
    <n v="1002.73"/>
    <n v="894.05"/>
    <n v="9"/>
    <n v="9024.57"/>
    <n v="8046.45"/>
    <n v="978.11999999999989"/>
    <n v="0.10838411137594367"/>
    <x v="22"/>
    <n v="978.11999999999989"/>
  </r>
  <r>
    <d v="2024-12-04T00:00:00"/>
    <x v="8"/>
    <x v="1"/>
    <x v="0"/>
    <n v="1931.71"/>
    <n v="1305.8499999999999"/>
    <n v="6"/>
    <n v="11590.26"/>
    <n v="7835.0999999999995"/>
    <n v="3755.1600000000008"/>
    <n v="0.32399273182827654"/>
    <x v="23"/>
    <n v="3755.1600000000008"/>
  </r>
  <r>
    <d v="2022-02-22T00:00:00"/>
    <x v="10"/>
    <x v="2"/>
    <x v="0"/>
    <n v="1945.11"/>
    <n v="1441.78"/>
    <n v="4"/>
    <n v="7780.44"/>
    <n v="5767.12"/>
    <n v="2013.3199999999997"/>
    <n v="0.25876685637316138"/>
    <x v="20"/>
    <n v="2013.3199999999997"/>
  </r>
  <r>
    <d v="2022-07-22T00:00:00"/>
    <x v="5"/>
    <x v="3"/>
    <x v="0"/>
    <n v="1458.87"/>
    <n v="971.72"/>
    <n v="9"/>
    <n v="13129.829999999998"/>
    <n v="8745.48"/>
    <n v="4384.3499999999985"/>
    <n v="0.33392283068402251"/>
    <x v="8"/>
    <n v="4384.3499999999985"/>
  </r>
  <r>
    <d v="2024-10-29T00:00:00"/>
    <x v="7"/>
    <x v="0"/>
    <x v="0"/>
    <n v="94.3"/>
    <n v="73.53"/>
    <n v="7"/>
    <n v="660.1"/>
    <n v="514.71"/>
    <n v="145.38999999999999"/>
    <n v="0.220254506892895"/>
    <x v="17"/>
    <n v="145.38999999999999"/>
  </r>
  <r>
    <d v="2022-04-19T00:00:00"/>
    <x v="0"/>
    <x v="0"/>
    <x v="0"/>
    <n v="1617.92"/>
    <n v="1323.37"/>
    <n v="7"/>
    <n v="11325.44"/>
    <n v="9263.59"/>
    <n v="2061.8500000000004"/>
    <n v="0.18205473694620256"/>
    <x v="32"/>
    <n v="2061.8500000000004"/>
  </r>
  <r>
    <d v="2023-12-30T00:00:00"/>
    <x v="2"/>
    <x v="0"/>
    <x v="1"/>
    <n v="1809.93"/>
    <n v="1463.6"/>
    <n v="1"/>
    <n v="1809.93"/>
    <n v="1463.6"/>
    <n v="346.33000000000015"/>
    <n v="0.19134994171045297"/>
    <x v="30"/>
    <n v="346.33000000000015"/>
  </r>
  <r>
    <d v="2023-10-10T00:00:00"/>
    <x v="7"/>
    <x v="0"/>
    <x v="1"/>
    <n v="96.89"/>
    <n v="52.63"/>
    <n v="2"/>
    <n v="193.78"/>
    <n v="105.26"/>
    <n v="88.52"/>
    <n v="0.45680668799669727"/>
    <x v="5"/>
    <n v="88.52"/>
  </r>
  <r>
    <d v="2024-11-10T00:00:00"/>
    <x v="7"/>
    <x v="0"/>
    <x v="2"/>
    <n v="203.19"/>
    <n v="151.13"/>
    <n v="2"/>
    <n v="406.38"/>
    <n v="302.26"/>
    <n v="104.12"/>
    <n v="0.2562133963285595"/>
    <x v="2"/>
    <n v="104.12"/>
  </r>
  <r>
    <d v="2024-08-23T00:00:00"/>
    <x v="2"/>
    <x v="0"/>
    <x v="1"/>
    <n v="1181.06"/>
    <n v="931.47"/>
    <n v="10"/>
    <n v="11810.599999999999"/>
    <n v="9314.7000000000007"/>
    <n v="2495.8999999999978"/>
    <n v="0.21132711293245035"/>
    <x v="21"/>
    <n v="2495.8999999999978"/>
  </r>
  <r>
    <d v="2024-03-26T00:00:00"/>
    <x v="7"/>
    <x v="0"/>
    <x v="1"/>
    <n v="374.85"/>
    <n v="316.67"/>
    <n v="8"/>
    <n v="2998.8"/>
    <n v="2533.36"/>
    <n v="465.44000000000005"/>
    <n v="0.15520875016673336"/>
    <x v="29"/>
    <n v="465.44000000000005"/>
  </r>
  <r>
    <d v="2023-07-16T00:00:00"/>
    <x v="7"/>
    <x v="0"/>
    <x v="0"/>
    <n v="841.75"/>
    <n v="683.89"/>
    <n v="6"/>
    <n v="5050.5"/>
    <n v="4103.34"/>
    <n v="947.15999999999985"/>
    <n v="0.1875378675378675"/>
    <x v="11"/>
    <n v="947.15999999999985"/>
  </r>
  <r>
    <d v="2022-01-15T00:00:00"/>
    <x v="5"/>
    <x v="3"/>
    <x v="0"/>
    <n v="1360.15"/>
    <n v="879.58"/>
    <n v="8"/>
    <n v="10881.2"/>
    <n v="7036.64"/>
    <n v="3844.5600000000004"/>
    <n v="0.35332132485387641"/>
    <x v="9"/>
    <n v="3844.5600000000004"/>
  </r>
  <r>
    <d v="2023-07-06T00:00:00"/>
    <x v="5"/>
    <x v="3"/>
    <x v="3"/>
    <n v="1071.72"/>
    <n v="652.42999999999995"/>
    <n v="4"/>
    <n v="4286.88"/>
    <n v="2609.7199999999998"/>
    <n v="1677.1600000000003"/>
    <n v="0.39123091852349501"/>
    <x v="11"/>
    <n v="1677.1600000000003"/>
  </r>
  <r>
    <d v="2022-08-28T00:00:00"/>
    <x v="6"/>
    <x v="3"/>
    <x v="1"/>
    <n v="1659.47"/>
    <n v="1441.43"/>
    <n v="5"/>
    <n v="8297.35"/>
    <n v="7207.1500000000005"/>
    <n v="1090.1999999999998"/>
    <n v="0.13139134783997297"/>
    <x v="15"/>
    <n v="1090.1999999999998"/>
  </r>
  <r>
    <d v="2024-07-02T00:00:00"/>
    <x v="1"/>
    <x v="1"/>
    <x v="2"/>
    <n v="1619.02"/>
    <n v="1442.73"/>
    <n v="5"/>
    <n v="8095.1"/>
    <n v="7213.65"/>
    <n v="881.45000000000073"/>
    <n v="0.10888685748168654"/>
    <x v="28"/>
    <n v="881.45000000000073"/>
  </r>
  <r>
    <d v="2022-01-11T00:00:00"/>
    <x v="1"/>
    <x v="1"/>
    <x v="0"/>
    <n v="561.6"/>
    <n v="424.2"/>
    <n v="6"/>
    <n v="3369.6000000000004"/>
    <n v="2545.1999999999998"/>
    <n v="824.40000000000055"/>
    <n v="0.24465811965811979"/>
    <x v="9"/>
    <n v="824.40000000000055"/>
  </r>
  <r>
    <d v="2022-10-30T00:00:00"/>
    <x v="4"/>
    <x v="2"/>
    <x v="3"/>
    <n v="857.89"/>
    <n v="557.32000000000005"/>
    <n v="6"/>
    <n v="5147.34"/>
    <n v="3343.92"/>
    <n v="1803.42"/>
    <n v="0.35035960321253307"/>
    <x v="25"/>
    <n v="1803.42"/>
  </r>
  <r>
    <d v="2024-07-02T00:00:00"/>
    <x v="0"/>
    <x v="0"/>
    <x v="0"/>
    <n v="1424.8"/>
    <n v="1230.42"/>
    <n v="1"/>
    <n v="1424.8"/>
    <n v="1230.42"/>
    <n v="194.37999999999988"/>
    <n v="0.13642616507580002"/>
    <x v="28"/>
    <n v="194.37999999999988"/>
  </r>
  <r>
    <d v="2024-08-05T00:00:00"/>
    <x v="8"/>
    <x v="1"/>
    <x v="0"/>
    <n v="922.78"/>
    <n v="791.62"/>
    <n v="2"/>
    <n v="1845.56"/>
    <n v="1583.24"/>
    <n v="262.31999999999994"/>
    <n v="0.14213572032337066"/>
    <x v="21"/>
    <n v="262.31999999999994"/>
  </r>
  <r>
    <d v="2023-09-05T00:00:00"/>
    <x v="4"/>
    <x v="2"/>
    <x v="1"/>
    <n v="567.42999999999995"/>
    <n v="480.37"/>
    <n v="5"/>
    <n v="2837.1499999999996"/>
    <n v="2401.85"/>
    <n v="435.29999999999973"/>
    <n v="0.15342861674567781"/>
    <x v="24"/>
    <n v="435.29999999999973"/>
  </r>
  <r>
    <d v="2023-01-04T00:00:00"/>
    <x v="5"/>
    <x v="3"/>
    <x v="3"/>
    <n v="1233.98"/>
    <n v="1040.94"/>
    <n v="9"/>
    <n v="11105.82"/>
    <n v="9368.4600000000009"/>
    <n v="1737.3599999999988"/>
    <n v="0.1564368952495177"/>
    <x v="13"/>
    <n v="1737.3599999999988"/>
  </r>
  <r>
    <d v="2022-02-21T00:00:00"/>
    <x v="8"/>
    <x v="1"/>
    <x v="2"/>
    <n v="1123.28"/>
    <n v="659.38"/>
    <n v="10"/>
    <n v="11232.8"/>
    <n v="6593.8"/>
    <n v="4638.9999999999991"/>
    <n v="0.41298696674026059"/>
    <x v="20"/>
    <n v="4638.9999999999991"/>
  </r>
  <r>
    <d v="2024-10-14T00:00:00"/>
    <x v="0"/>
    <x v="0"/>
    <x v="3"/>
    <n v="883.04"/>
    <n v="447.73"/>
    <n v="9"/>
    <n v="7947.36"/>
    <n v="4029.57"/>
    <n v="3917.7899999999995"/>
    <n v="0.4929674759920275"/>
    <x v="17"/>
    <n v="3917.7899999999995"/>
  </r>
  <r>
    <d v="2022-08-24T00:00:00"/>
    <x v="1"/>
    <x v="1"/>
    <x v="2"/>
    <n v="370.48"/>
    <n v="248.81"/>
    <n v="10"/>
    <n v="3704.8"/>
    <n v="2488.1"/>
    <n v="1216.7000000000003"/>
    <n v="0.32841179011012744"/>
    <x v="15"/>
    <n v="1216.7000000000003"/>
  </r>
  <r>
    <d v="2022-10-01T00:00:00"/>
    <x v="9"/>
    <x v="3"/>
    <x v="0"/>
    <n v="792.35"/>
    <n v="440.26"/>
    <n v="5"/>
    <n v="3961.75"/>
    <n v="2201.3000000000002"/>
    <n v="1760.4499999999998"/>
    <n v="0.44436170884079002"/>
    <x v="25"/>
    <n v="1760.4499999999998"/>
  </r>
  <r>
    <d v="2023-05-12T00:00:00"/>
    <x v="2"/>
    <x v="0"/>
    <x v="1"/>
    <n v="1801.97"/>
    <n v="1197.23"/>
    <n v="10"/>
    <n v="18019.7"/>
    <n v="11972.3"/>
    <n v="6047.4000000000015"/>
    <n v="0.33559937179864269"/>
    <x v="31"/>
    <n v="6047.4000000000015"/>
  </r>
  <r>
    <d v="2022-12-30T00:00:00"/>
    <x v="10"/>
    <x v="2"/>
    <x v="2"/>
    <n v="1594.16"/>
    <n v="1134.1099999999999"/>
    <n v="3"/>
    <n v="4782.4800000000005"/>
    <n v="3402.33"/>
    <n v="1380.1500000000005"/>
    <n v="0.28858458373061685"/>
    <x v="33"/>
    <n v="1380.1500000000005"/>
  </r>
  <r>
    <d v="2024-01-05T00:00:00"/>
    <x v="7"/>
    <x v="0"/>
    <x v="0"/>
    <n v="1487.62"/>
    <n v="1160.6400000000001"/>
    <n v="10"/>
    <n v="14876.199999999999"/>
    <n v="11606.400000000001"/>
    <n v="3269.7999999999975"/>
    <n v="0.21980075556929846"/>
    <x v="26"/>
    <n v="3269.7999999999975"/>
  </r>
  <r>
    <d v="2023-11-26T00:00:00"/>
    <x v="8"/>
    <x v="1"/>
    <x v="2"/>
    <n v="1522.68"/>
    <n v="1136.25"/>
    <n v="9"/>
    <n v="13704.12"/>
    <n v="10226.25"/>
    <n v="3477.8700000000008"/>
    <n v="0.25378280400346759"/>
    <x v="10"/>
    <n v="3477.8700000000008"/>
  </r>
  <r>
    <d v="2023-03-03T00:00:00"/>
    <x v="3"/>
    <x v="2"/>
    <x v="0"/>
    <n v="563.84"/>
    <n v="308.77"/>
    <n v="3"/>
    <n v="1691.52"/>
    <n v="926.31"/>
    <n v="765.21"/>
    <n v="0.4523801078320091"/>
    <x v="19"/>
    <n v="765.21"/>
  </r>
  <r>
    <d v="2023-08-24T00:00:00"/>
    <x v="10"/>
    <x v="2"/>
    <x v="2"/>
    <n v="836.79"/>
    <n v="490.42"/>
    <n v="8"/>
    <n v="6694.32"/>
    <n v="3923.36"/>
    <n v="2770.9599999999996"/>
    <n v="0.41392703067675279"/>
    <x v="14"/>
    <n v="2770.9599999999996"/>
  </r>
  <r>
    <d v="2023-08-20T00:00:00"/>
    <x v="0"/>
    <x v="0"/>
    <x v="0"/>
    <n v="1404.36"/>
    <n v="1213.74"/>
    <n v="9"/>
    <n v="12639.24"/>
    <n v="10923.66"/>
    <n v="1715.58"/>
    <n v="0.13573442706998204"/>
    <x v="14"/>
    <n v="1715.58"/>
  </r>
  <r>
    <d v="2024-10-12T00:00:00"/>
    <x v="3"/>
    <x v="2"/>
    <x v="3"/>
    <n v="574.45000000000005"/>
    <n v="444.03"/>
    <n v="2"/>
    <n v="1148.9000000000001"/>
    <n v="888.06"/>
    <n v="260.84000000000015"/>
    <n v="0.22703455479153983"/>
    <x v="17"/>
    <n v="260.84000000000015"/>
  </r>
  <r>
    <d v="2024-10-12T00:00:00"/>
    <x v="10"/>
    <x v="2"/>
    <x v="3"/>
    <n v="276.99"/>
    <n v="218.6"/>
    <n v="1"/>
    <n v="276.99"/>
    <n v="218.6"/>
    <n v="58.390000000000015"/>
    <n v="0.21080183400122754"/>
    <x v="17"/>
    <n v="58.390000000000015"/>
  </r>
  <r>
    <d v="2022-10-12T00:00:00"/>
    <x v="9"/>
    <x v="3"/>
    <x v="0"/>
    <n v="1246.05"/>
    <n v="741.81"/>
    <n v="9"/>
    <n v="11214.449999999999"/>
    <n v="6676.2899999999991"/>
    <n v="4538.16"/>
    <n v="0.4046707596003371"/>
    <x v="25"/>
    <n v="4538.16"/>
  </r>
  <r>
    <d v="2022-08-20T00:00:00"/>
    <x v="2"/>
    <x v="0"/>
    <x v="3"/>
    <n v="1520.7"/>
    <n v="1122.54"/>
    <n v="5"/>
    <n v="7603.5"/>
    <n v="5612.7"/>
    <n v="1990.8000000000002"/>
    <n v="0.26182679029394362"/>
    <x v="15"/>
    <n v="1990.8000000000002"/>
  </r>
  <r>
    <d v="2023-01-10T00:00:00"/>
    <x v="2"/>
    <x v="0"/>
    <x v="0"/>
    <n v="990.86"/>
    <n v="794.68"/>
    <n v="9"/>
    <n v="8917.74"/>
    <n v="7152.12"/>
    <n v="1765.62"/>
    <n v="0.19798962517409119"/>
    <x v="13"/>
    <n v="1765.62"/>
  </r>
  <r>
    <d v="2024-09-19T00:00:00"/>
    <x v="3"/>
    <x v="2"/>
    <x v="0"/>
    <n v="470.45"/>
    <n v="356.86"/>
    <n v="4"/>
    <n v="1881.8"/>
    <n v="1427.44"/>
    <n v="454.3599999999999"/>
    <n v="0.24144967584227861"/>
    <x v="16"/>
    <n v="454.3599999999999"/>
  </r>
  <r>
    <d v="2024-08-22T00:00:00"/>
    <x v="1"/>
    <x v="1"/>
    <x v="0"/>
    <n v="128.65"/>
    <n v="86.86"/>
    <n v="7"/>
    <n v="900.55000000000007"/>
    <n v="608.02"/>
    <n v="292.53000000000009"/>
    <n v="0.32483482316362228"/>
    <x v="21"/>
    <n v="292.53000000000009"/>
  </r>
  <r>
    <d v="2022-11-21T00:00:00"/>
    <x v="8"/>
    <x v="1"/>
    <x v="0"/>
    <n v="367.42"/>
    <n v="329.71"/>
    <n v="1"/>
    <n v="367.42"/>
    <n v="329.71"/>
    <n v="37.710000000000036"/>
    <n v="0.10263458712100602"/>
    <x v="1"/>
    <n v="37.710000000000036"/>
  </r>
  <r>
    <d v="2023-10-26T00:00:00"/>
    <x v="4"/>
    <x v="2"/>
    <x v="2"/>
    <n v="1701.01"/>
    <n v="858.05"/>
    <n v="9"/>
    <n v="15309.09"/>
    <n v="7722.45"/>
    <n v="7586.64"/>
    <n v="0.49556439997413304"/>
    <x v="5"/>
    <n v="7586.64"/>
  </r>
  <r>
    <d v="2022-11-04T00:00:00"/>
    <x v="9"/>
    <x v="3"/>
    <x v="0"/>
    <n v="1430.27"/>
    <n v="816.76"/>
    <n v="8"/>
    <n v="11442.16"/>
    <n v="6534.08"/>
    <n v="4908.08"/>
    <n v="0.42894698203835641"/>
    <x v="1"/>
    <n v="4908.08"/>
  </r>
  <r>
    <d v="2022-10-15T00:00:00"/>
    <x v="9"/>
    <x v="3"/>
    <x v="2"/>
    <n v="1615.46"/>
    <n v="1160.24"/>
    <n v="3"/>
    <n v="4846.38"/>
    <n v="3480.7200000000003"/>
    <n v="1365.6599999999999"/>
    <n v="0.28178970695653249"/>
    <x v="25"/>
    <n v="1365.6599999999999"/>
  </r>
  <r>
    <d v="2022-08-19T00:00:00"/>
    <x v="6"/>
    <x v="3"/>
    <x v="0"/>
    <n v="571.6"/>
    <n v="446.88"/>
    <n v="8"/>
    <n v="4572.8"/>
    <n v="3575.04"/>
    <n v="997.76000000000022"/>
    <n v="0.21819454163750879"/>
    <x v="15"/>
    <n v="997.76000000000022"/>
  </r>
  <r>
    <d v="2023-03-03T00:00:00"/>
    <x v="6"/>
    <x v="3"/>
    <x v="0"/>
    <n v="1895.92"/>
    <n v="1210.23"/>
    <n v="4"/>
    <n v="7583.68"/>
    <n v="4840.92"/>
    <n v="2742.76"/>
    <n v="0.36166610405502342"/>
    <x v="19"/>
    <n v="2742.76"/>
  </r>
  <r>
    <d v="2022-03-25T00:00:00"/>
    <x v="1"/>
    <x v="1"/>
    <x v="1"/>
    <n v="58.33"/>
    <n v="37.619999999999997"/>
    <n v="4"/>
    <n v="233.32"/>
    <n v="150.47999999999999"/>
    <n v="82.84"/>
    <n v="0.35504885993485347"/>
    <x v="7"/>
    <n v="82.84"/>
  </r>
  <r>
    <d v="2023-11-18T00:00:00"/>
    <x v="1"/>
    <x v="1"/>
    <x v="2"/>
    <n v="338.27"/>
    <n v="176.49"/>
    <n v="1"/>
    <n v="338.27"/>
    <n v="176.49"/>
    <n v="161.77999999999997"/>
    <n v="0.4782570136281668"/>
    <x v="10"/>
    <n v="161.77999999999997"/>
  </r>
  <r>
    <d v="2023-09-19T00:00:00"/>
    <x v="2"/>
    <x v="0"/>
    <x v="2"/>
    <n v="1818.65"/>
    <n v="1592.69"/>
    <n v="6"/>
    <n v="10911.900000000001"/>
    <n v="9556.14"/>
    <n v="1355.760000000002"/>
    <n v="0.12424600665328694"/>
    <x v="24"/>
    <n v="1355.760000000002"/>
  </r>
  <r>
    <d v="2024-11-10T00:00:00"/>
    <x v="8"/>
    <x v="1"/>
    <x v="1"/>
    <n v="925.07"/>
    <n v="744.24"/>
    <n v="5"/>
    <n v="4625.3500000000004"/>
    <n v="3721.2"/>
    <n v="904.15000000000055"/>
    <n v="0.19547709903034374"/>
    <x v="2"/>
    <n v="904.15000000000055"/>
  </r>
  <r>
    <d v="2022-04-13T00:00:00"/>
    <x v="3"/>
    <x v="2"/>
    <x v="3"/>
    <n v="944.32"/>
    <n v="498.78"/>
    <n v="10"/>
    <n v="9443.2000000000007"/>
    <n v="4987.7999999999993"/>
    <n v="4455.4000000000015"/>
    <n v="0.47181040325313467"/>
    <x v="32"/>
    <n v="4455.4000000000015"/>
  </r>
  <r>
    <d v="2022-07-22T00:00:00"/>
    <x v="8"/>
    <x v="1"/>
    <x v="3"/>
    <n v="1651.26"/>
    <n v="1208.26"/>
    <n v="2"/>
    <n v="3302.52"/>
    <n v="2416.52"/>
    <n v="886"/>
    <n v="0.26827998013638071"/>
    <x v="8"/>
    <n v="886"/>
  </r>
  <r>
    <d v="2022-05-26T00:00:00"/>
    <x v="6"/>
    <x v="3"/>
    <x v="2"/>
    <n v="1138.47"/>
    <n v="1007.19"/>
    <n v="5"/>
    <n v="5692.35"/>
    <n v="5035.9500000000007"/>
    <n v="656.39999999999964"/>
    <n v="0.1153126564599857"/>
    <x v="35"/>
    <n v="656.39999999999964"/>
  </r>
  <r>
    <d v="2022-04-07T00:00:00"/>
    <x v="6"/>
    <x v="3"/>
    <x v="2"/>
    <n v="1273.1199999999999"/>
    <n v="788.83"/>
    <n v="4"/>
    <n v="5092.4799999999996"/>
    <n v="3155.32"/>
    <n v="1937.1599999999994"/>
    <n v="0.38039619203217284"/>
    <x v="32"/>
    <n v="1937.1599999999994"/>
  </r>
  <r>
    <d v="2022-11-05T00:00:00"/>
    <x v="10"/>
    <x v="2"/>
    <x v="1"/>
    <n v="308.89999999999998"/>
    <n v="192.7"/>
    <n v="3"/>
    <n v="926.69999999999993"/>
    <n v="578.09999999999991"/>
    <n v="348.6"/>
    <n v="0.37617351893816775"/>
    <x v="1"/>
    <n v="348.6"/>
  </r>
  <r>
    <d v="2023-12-08T00:00:00"/>
    <x v="0"/>
    <x v="0"/>
    <x v="1"/>
    <n v="691.9"/>
    <n v="562.13"/>
    <n v="4"/>
    <n v="2767.6"/>
    <n v="2248.52"/>
    <n v="519.07999999999993"/>
    <n v="0.18755600520306401"/>
    <x v="30"/>
    <n v="519.07999999999993"/>
  </r>
  <r>
    <d v="2022-07-15T00:00:00"/>
    <x v="4"/>
    <x v="2"/>
    <x v="3"/>
    <n v="1398.66"/>
    <n v="1125.47"/>
    <n v="2"/>
    <n v="2797.32"/>
    <n v="2250.94"/>
    <n v="546.38000000000011"/>
    <n v="0.19532266598029546"/>
    <x v="8"/>
    <n v="546.38000000000011"/>
  </r>
  <r>
    <d v="2023-10-17T00:00:00"/>
    <x v="3"/>
    <x v="2"/>
    <x v="0"/>
    <n v="1604.01"/>
    <n v="1351.05"/>
    <n v="9"/>
    <n v="14436.09"/>
    <n v="12159.449999999999"/>
    <n v="2276.6400000000012"/>
    <n v="0.15770475246413684"/>
    <x v="5"/>
    <n v="2276.6400000000012"/>
  </r>
  <r>
    <d v="2023-12-18T00:00:00"/>
    <x v="5"/>
    <x v="3"/>
    <x v="2"/>
    <n v="459.55"/>
    <n v="354.87"/>
    <n v="1"/>
    <n v="459.55"/>
    <n v="354.87"/>
    <n v="104.68"/>
    <n v="0.22778805353062781"/>
    <x v="30"/>
    <n v="104.68"/>
  </r>
  <r>
    <d v="2023-04-24T00:00:00"/>
    <x v="6"/>
    <x v="3"/>
    <x v="2"/>
    <n v="86.49"/>
    <n v="59.88"/>
    <n v="5"/>
    <n v="432.45"/>
    <n v="299.40000000000003"/>
    <n v="133.04999999999995"/>
    <n v="0.30766562608394027"/>
    <x v="6"/>
    <n v="133.04999999999995"/>
  </r>
  <r>
    <d v="2023-12-11T00:00:00"/>
    <x v="7"/>
    <x v="0"/>
    <x v="3"/>
    <n v="1353.46"/>
    <n v="697.19"/>
    <n v="1"/>
    <n v="1353.46"/>
    <n v="697.19"/>
    <n v="656.27"/>
    <n v="0.48488318827301874"/>
    <x v="30"/>
    <n v="656.27"/>
  </r>
  <r>
    <d v="2024-07-19T00:00:00"/>
    <x v="1"/>
    <x v="1"/>
    <x v="2"/>
    <n v="77.73"/>
    <n v="44.78"/>
    <n v="8"/>
    <n v="621.84"/>
    <n v="358.24"/>
    <n v="263.60000000000002"/>
    <n v="0.42390325485655478"/>
    <x v="28"/>
    <n v="263.60000000000002"/>
  </r>
  <r>
    <d v="2023-08-09T00:00:00"/>
    <x v="7"/>
    <x v="0"/>
    <x v="1"/>
    <n v="1020.59"/>
    <n v="599.63"/>
    <n v="5"/>
    <n v="5102.95"/>
    <n v="2998.15"/>
    <n v="2104.7999999999997"/>
    <n v="0.412467298327438"/>
    <x v="14"/>
    <n v="2104.7999999999997"/>
  </r>
  <r>
    <d v="2022-05-31T00:00:00"/>
    <x v="7"/>
    <x v="0"/>
    <x v="1"/>
    <n v="1505.02"/>
    <n v="1161.73"/>
    <n v="10"/>
    <n v="15050.2"/>
    <n v="11617.3"/>
    <n v="3432.9000000000015"/>
    <n v="0.22809663658954707"/>
    <x v="35"/>
    <n v="3432.9000000000015"/>
  </r>
  <r>
    <d v="2024-01-22T00:00:00"/>
    <x v="0"/>
    <x v="0"/>
    <x v="1"/>
    <n v="504.36"/>
    <n v="261.61"/>
    <n v="3"/>
    <n v="1513.08"/>
    <n v="784.83"/>
    <n v="728.24999999999989"/>
    <n v="0.48130303751288755"/>
    <x v="26"/>
    <n v="728.24999999999989"/>
  </r>
  <r>
    <d v="2024-08-16T00:00:00"/>
    <x v="1"/>
    <x v="1"/>
    <x v="3"/>
    <n v="1117.81"/>
    <n v="928.4"/>
    <n v="10"/>
    <n v="11178.099999999999"/>
    <n v="9284"/>
    <n v="1894.0999999999985"/>
    <n v="0.16944740161565908"/>
    <x v="21"/>
    <n v="1894.0999999999985"/>
  </r>
  <r>
    <d v="2022-04-18T00:00:00"/>
    <x v="9"/>
    <x v="3"/>
    <x v="0"/>
    <n v="1767.69"/>
    <n v="1225.19"/>
    <n v="5"/>
    <n v="8838.4500000000007"/>
    <n v="6125.9500000000007"/>
    <n v="2712.5"/>
    <n v="0.30689770265148297"/>
    <x v="32"/>
    <n v="2712.5"/>
  </r>
  <r>
    <d v="2024-03-23T00:00:00"/>
    <x v="1"/>
    <x v="1"/>
    <x v="1"/>
    <n v="610.20000000000005"/>
    <n v="334.07"/>
    <n v="5"/>
    <n v="3051"/>
    <n v="1670.35"/>
    <n v="1380.65"/>
    <n v="0.4525237627007539"/>
    <x v="29"/>
    <n v="1380.65"/>
  </r>
  <r>
    <d v="2022-11-03T00:00:00"/>
    <x v="2"/>
    <x v="0"/>
    <x v="1"/>
    <n v="426.61"/>
    <n v="360.61"/>
    <n v="3"/>
    <n v="1279.83"/>
    <n v="1081.83"/>
    <n v="198"/>
    <n v="0.15470804716251377"/>
    <x v="1"/>
    <n v="198"/>
  </r>
  <r>
    <d v="2022-07-15T00:00:00"/>
    <x v="0"/>
    <x v="0"/>
    <x v="3"/>
    <n v="946.32"/>
    <n v="721.91"/>
    <n v="7"/>
    <n v="6624.2400000000007"/>
    <n v="5053.37"/>
    <n v="1570.8700000000008"/>
    <n v="0.23713965677572077"/>
    <x v="8"/>
    <n v="1570.8700000000008"/>
  </r>
  <r>
    <d v="2024-01-06T00:00:00"/>
    <x v="6"/>
    <x v="3"/>
    <x v="1"/>
    <n v="1683.11"/>
    <n v="1367.21"/>
    <n v="2"/>
    <n v="3366.22"/>
    <n v="2734.42"/>
    <n v="631.79999999999973"/>
    <n v="0.18768826755232865"/>
    <x v="26"/>
    <n v="631.79999999999973"/>
  </r>
  <r>
    <d v="2023-06-30T00:00:00"/>
    <x v="10"/>
    <x v="2"/>
    <x v="3"/>
    <n v="1923.53"/>
    <n v="1462.39"/>
    <n v="1"/>
    <n v="1923.53"/>
    <n v="1462.39"/>
    <n v="461.13999999999987"/>
    <n v="0.23973631812345006"/>
    <x v="0"/>
    <n v="461.13999999999987"/>
  </r>
  <r>
    <d v="2024-11-11T00:00:00"/>
    <x v="0"/>
    <x v="0"/>
    <x v="3"/>
    <n v="143.65"/>
    <n v="75.81"/>
    <n v="1"/>
    <n v="143.65"/>
    <n v="75.81"/>
    <n v="67.84"/>
    <n v="0.47225896275670032"/>
    <x v="2"/>
    <n v="67.84"/>
  </r>
  <r>
    <d v="2022-10-02T00:00:00"/>
    <x v="2"/>
    <x v="0"/>
    <x v="0"/>
    <n v="212.36"/>
    <n v="165.46"/>
    <n v="5"/>
    <n v="1061.8000000000002"/>
    <n v="827.30000000000007"/>
    <n v="234.50000000000011"/>
    <n v="0.22085138444151448"/>
    <x v="25"/>
    <n v="234.50000000000011"/>
  </r>
  <r>
    <d v="2022-10-12T00:00:00"/>
    <x v="3"/>
    <x v="2"/>
    <x v="3"/>
    <n v="294.33"/>
    <n v="241.04"/>
    <n v="9"/>
    <n v="2648.97"/>
    <n v="2169.36"/>
    <n v="479.60999999999967"/>
    <n v="0.18105527808921948"/>
    <x v="25"/>
    <n v="479.60999999999967"/>
  </r>
  <r>
    <d v="2022-02-13T00:00:00"/>
    <x v="4"/>
    <x v="2"/>
    <x v="0"/>
    <n v="623.16999999999996"/>
    <n v="377.94"/>
    <n v="3"/>
    <n v="1869.5099999999998"/>
    <n v="1133.82"/>
    <n v="735.68999999999983"/>
    <n v="0.39352022722531566"/>
    <x v="20"/>
    <n v="735.68999999999983"/>
  </r>
  <r>
    <d v="2022-02-05T00:00:00"/>
    <x v="3"/>
    <x v="2"/>
    <x v="2"/>
    <n v="515.04"/>
    <n v="296.51"/>
    <n v="5"/>
    <n v="2575.1999999999998"/>
    <n v="1482.55"/>
    <n v="1092.6499999999999"/>
    <n v="0.42429714196955576"/>
    <x v="20"/>
    <n v="1092.6499999999999"/>
  </r>
  <r>
    <d v="2022-04-29T00:00:00"/>
    <x v="6"/>
    <x v="3"/>
    <x v="2"/>
    <n v="858.14"/>
    <n v="692.4"/>
    <n v="9"/>
    <n v="7723.26"/>
    <n v="6231.5999999999995"/>
    <n v="1491.6600000000008"/>
    <n v="0.19313864870533956"/>
    <x v="32"/>
    <n v="1491.6600000000008"/>
  </r>
  <r>
    <d v="2024-11-05T00:00:00"/>
    <x v="3"/>
    <x v="2"/>
    <x v="2"/>
    <n v="966.16"/>
    <n v="579.70000000000005"/>
    <n v="9"/>
    <n v="8695.44"/>
    <n v="5217.3"/>
    <n v="3478.1400000000003"/>
    <n v="0.39999585989898157"/>
    <x v="2"/>
    <n v="3478.1400000000003"/>
  </r>
  <r>
    <d v="2024-06-17T00:00:00"/>
    <x v="4"/>
    <x v="2"/>
    <x v="2"/>
    <n v="381.39"/>
    <n v="225.63"/>
    <n v="7"/>
    <n v="2669.73"/>
    <n v="1579.4099999999999"/>
    <n v="1090.3200000000002"/>
    <n v="0.40840084952410921"/>
    <x v="4"/>
    <n v="1090.3200000000002"/>
  </r>
  <r>
    <d v="2024-07-08T00:00:00"/>
    <x v="0"/>
    <x v="0"/>
    <x v="0"/>
    <n v="1887.95"/>
    <n v="1404.43"/>
    <n v="2"/>
    <n v="3775.9"/>
    <n v="2808.86"/>
    <n v="967.04"/>
    <n v="0.25610847744908499"/>
    <x v="28"/>
    <n v="967.04"/>
  </r>
  <r>
    <d v="2023-11-23T00:00:00"/>
    <x v="7"/>
    <x v="0"/>
    <x v="1"/>
    <n v="1700.51"/>
    <n v="1044.67"/>
    <n v="3"/>
    <n v="5101.53"/>
    <n v="3134.01"/>
    <n v="1967.5199999999995"/>
    <n v="0.38567253353405734"/>
    <x v="10"/>
    <n v="1967.5199999999995"/>
  </r>
  <r>
    <d v="2023-09-28T00:00:00"/>
    <x v="5"/>
    <x v="3"/>
    <x v="3"/>
    <n v="1317.49"/>
    <n v="741.46"/>
    <n v="5"/>
    <n v="6587.45"/>
    <n v="3707.3"/>
    <n v="2880.1499999999996"/>
    <n v="0.43721773979309136"/>
    <x v="24"/>
    <n v="2880.1499999999996"/>
  </r>
  <r>
    <d v="2024-08-12T00:00:00"/>
    <x v="2"/>
    <x v="0"/>
    <x v="1"/>
    <n v="974.09"/>
    <n v="497.91"/>
    <n v="7"/>
    <n v="6818.63"/>
    <n v="3485.3700000000003"/>
    <n v="3333.2599999999998"/>
    <n v="0.48884599985627608"/>
    <x v="21"/>
    <n v="3333.2599999999998"/>
  </r>
  <r>
    <d v="2023-05-06T00:00:00"/>
    <x v="10"/>
    <x v="2"/>
    <x v="0"/>
    <n v="62.73"/>
    <n v="41.08"/>
    <n v="7"/>
    <n v="439.10999999999996"/>
    <n v="287.56"/>
    <n v="151.54999999999995"/>
    <n v="0.34512992188745412"/>
    <x v="31"/>
    <n v="151.54999999999995"/>
  </r>
  <r>
    <d v="2023-04-10T00:00:00"/>
    <x v="7"/>
    <x v="0"/>
    <x v="1"/>
    <n v="93.61"/>
    <n v="47.22"/>
    <n v="2"/>
    <n v="187.22"/>
    <n v="94.44"/>
    <n v="92.78"/>
    <n v="0.4955667129580173"/>
    <x v="6"/>
    <n v="92.78"/>
  </r>
  <r>
    <d v="2022-09-15T00:00:00"/>
    <x v="2"/>
    <x v="0"/>
    <x v="0"/>
    <n v="590.17999999999995"/>
    <n v="476.7"/>
    <n v="8"/>
    <n v="4721.4399999999996"/>
    <n v="3813.6"/>
    <n v="907.83999999999969"/>
    <n v="0.19228032125792127"/>
    <x v="12"/>
    <n v="907.83999999999969"/>
  </r>
  <r>
    <d v="2022-01-30T00:00:00"/>
    <x v="5"/>
    <x v="3"/>
    <x v="0"/>
    <n v="1388.24"/>
    <n v="1232.99"/>
    <n v="1"/>
    <n v="1388.24"/>
    <n v="1232.99"/>
    <n v="155.25"/>
    <n v="0.11183224802627788"/>
    <x v="9"/>
    <n v="155.25"/>
  </r>
  <r>
    <d v="2024-07-30T00:00:00"/>
    <x v="7"/>
    <x v="0"/>
    <x v="1"/>
    <n v="1296.4100000000001"/>
    <n v="888"/>
    <n v="3"/>
    <n v="3889.2300000000005"/>
    <n v="2664"/>
    <n v="1225.2300000000005"/>
    <n v="0.31503151009325764"/>
    <x v="28"/>
    <n v="1225.2300000000005"/>
  </r>
  <r>
    <d v="2022-12-11T00:00:00"/>
    <x v="7"/>
    <x v="0"/>
    <x v="3"/>
    <n v="130.82"/>
    <n v="69.41"/>
    <n v="1"/>
    <n v="130.82"/>
    <n v="69.41"/>
    <n v="61.41"/>
    <n v="0.46942363552973554"/>
    <x v="33"/>
    <n v="61.41"/>
  </r>
  <r>
    <d v="2024-05-31T00:00:00"/>
    <x v="6"/>
    <x v="3"/>
    <x v="3"/>
    <n v="903.54"/>
    <n v="672.72"/>
    <n v="4"/>
    <n v="3614.16"/>
    <n v="2690.88"/>
    <n v="923.27999999999975"/>
    <n v="0.25546185005644462"/>
    <x v="3"/>
    <n v="923.27999999999975"/>
  </r>
  <r>
    <d v="2022-06-21T00:00:00"/>
    <x v="4"/>
    <x v="2"/>
    <x v="1"/>
    <n v="1052.3900000000001"/>
    <n v="703.17"/>
    <n v="3"/>
    <n v="3157.17"/>
    <n v="2109.5099999999998"/>
    <n v="1047.6600000000003"/>
    <n v="0.33183515616834075"/>
    <x v="18"/>
    <n v="1047.6600000000003"/>
  </r>
  <r>
    <d v="2023-08-28T00:00:00"/>
    <x v="9"/>
    <x v="3"/>
    <x v="2"/>
    <n v="1341.21"/>
    <n v="940.32"/>
    <n v="9"/>
    <n v="12070.89"/>
    <n v="8462.880000000001"/>
    <n v="3608.0099999999984"/>
    <n v="0.29890173798286612"/>
    <x v="14"/>
    <n v="3608.0099999999984"/>
  </r>
  <r>
    <d v="2022-05-01T00:00:00"/>
    <x v="5"/>
    <x v="3"/>
    <x v="3"/>
    <n v="1741.67"/>
    <n v="1529.56"/>
    <n v="7"/>
    <n v="12191.69"/>
    <n v="10706.92"/>
    <n v="1484.7700000000004"/>
    <n v="0.12178541285088453"/>
    <x v="35"/>
    <n v="1484.7700000000004"/>
  </r>
  <r>
    <d v="2023-04-12T00:00:00"/>
    <x v="0"/>
    <x v="0"/>
    <x v="3"/>
    <n v="852.32"/>
    <n v="644.75"/>
    <n v="4"/>
    <n v="3409.28"/>
    <n v="2579"/>
    <n v="830.2800000000002"/>
    <n v="0.24353529190914214"/>
    <x v="6"/>
    <n v="830.2800000000002"/>
  </r>
  <r>
    <d v="2023-06-12T00:00:00"/>
    <x v="5"/>
    <x v="3"/>
    <x v="2"/>
    <n v="1702.18"/>
    <n v="1134.43"/>
    <n v="9"/>
    <n v="15319.62"/>
    <n v="10209.870000000001"/>
    <n v="5109.75"/>
    <n v="0.33354286855679188"/>
    <x v="0"/>
    <n v="5109.75"/>
  </r>
  <r>
    <d v="2024-12-25T00:00:00"/>
    <x v="3"/>
    <x v="2"/>
    <x v="3"/>
    <n v="225.82"/>
    <n v="144.15"/>
    <n v="1"/>
    <n v="225.82"/>
    <n v="144.15"/>
    <n v="81.669999999999987"/>
    <n v="0.36165972898768928"/>
    <x v="23"/>
    <n v="81.669999999999987"/>
  </r>
  <r>
    <d v="2022-12-25T00:00:00"/>
    <x v="8"/>
    <x v="1"/>
    <x v="1"/>
    <n v="1137.1300000000001"/>
    <n v="840.9"/>
    <n v="3"/>
    <n v="3411.3900000000003"/>
    <n v="2522.6999999999998"/>
    <n v="888.69000000000051"/>
    <n v="0.26050671427189515"/>
    <x v="33"/>
    <n v="888.69000000000051"/>
  </r>
  <r>
    <d v="2023-05-08T00:00:00"/>
    <x v="8"/>
    <x v="1"/>
    <x v="2"/>
    <n v="1845.58"/>
    <n v="1651.78"/>
    <n v="2"/>
    <n v="3691.16"/>
    <n v="3303.56"/>
    <n v="387.59999999999991"/>
    <n v="0.10500763987472771"/>
    <x v="31"/>
    <n v="387.59999999999991"/>
  </r>
  <r>
    <d v="2022-07-23T00:00:00"/>
    <x v="5"/>
    <x v="3"/>
    <x v="3"/>
    <n v="494.14"/>
    <n v="254.07"/>
    <n v="3"/>
    <n v="1482.42"/>
    <n v="762.21"/>
    <n v="720.21"/>
    <n v="0.48583397417735863"/>
    <x v="8"/>
    <n v="720.21"/>
  </r>
  <r>
    <d v="2023-05-23T00:00:00"/>
    <x v="3"/>
    <x v="2"/>
    <x v="1"/>
    <n v="1032.24"/>
    <n v="625.79"/>
    <n v="1"/>
    <n v="1032.24"/>
    <n v="625.79"/>
    <n v="406.45000000000005"/>
    <n v="0.39375532821824388"/>
    <x v="31"/>
    <n v="406.45000000000005"/>
  </r>
  <r>
    <d v="2024-01-08T00:00:00"/>
    <x v="0"/>
    <x v="0"/>
    <x v="1"/>
    <n v="1341.53"/>
    <n v="833.4"/>
    <n v="3"/>
    <n v="4024.59"/>
    <n v="2500.1999999999998"/>
    <n v="1524.3900000000003"/>
    <n v="0.37876901746513314"/>
    <x v="26"/>
    <n v="1524.3900000000003"/>
  </r>
  <r>
    <d v="2022-07-02T00:00:00"/>
    <x v="5"/>
    <x v="3"/>
    <x v="3"/>
    <n v="1623.07"/>
    <n v="1424.1"/>
    <n v="3"/>
    <n v="4869.21"/>
    <n v="4272.2999999999993"/>
    <n v="596.91000000000076"/>
    <n v="0.12258867454884895"/>
    <x v="8"/>
    <n v="596.91000000000076"/>
  </r>
  <r>
    <d v="2024-12-11T00:00:00"/>
    <x v="5"/>
    <x v="3"/>
    <x v="1"/>
    <n v="1920.5"/>
    <n v="1321.86"/>
    <n v="5"/>
    <n v="9602.5"/>
    <n v="6609.2999999999993"/>
    <n v="2993.2000000000007"/>
    <n v="0.31171049205935963"/>
    <x v="23"/>
    <n v="2993.2000000000007"/>
  </r>
  <r>
    <d v="2024-03-04T00:00:00"/>
    <x v="5"/>
    <x v="3"/>
    <x v="3"/>
    <n v="157.5"/>
    <n v="95.82"/>
    <n v="9"/>
    <n v="1417.5"/>
    <n v="862.37999999999988"/>
    <n v="555.12000000000012"/>
    <n v="0.3916190476190477"/>
    <x v="29"/>
    <n v="555.12000000000012"/>
  </r>
  <r>
    <d v="2022-03-21T00:00:00"/>
    <x v="3"/>
    <x v="2"/>
    <x v="2"/>
    <n v="934.84"/>
    <n v="605.45000000000005"/>
    <n v="3"/>
    <n v="2804.52"/>
    <n v="1816.3500000000001"/>
    <n v="988.16999999999985"/>
    <n v="0.35234906508065544"/>
    <x v="7"/>
    <n v="988.16999999999985"/>
  </r>
  <r>
    <d v="2024-12-26T00:00:00"/>
    <x v="5"/>
    <x v="3"/>
    <x v="0"/>
    <n v="246.01"/>
    <n v="134.87"/>
    <n v="10"/>
    <n v="2460.1"/>
    <n v="1348.7"/>
    <n v="1111.3999999999999"/>
    <n v="0.45177025324173808"/>
    <x v="23"/>
    <n v="1111.3999999999999"/>
  </r>
  <r>
    <d v="2023-06-21T00:00:00"/>
    <x v="0"/>
    <x v="0"/>
    <x v="1"/>
    <n v="983.23"/>
    <n v="814.06"/>
    <n v="8"/>
    <n v="7865.84"/>
    <n v="6512.48"/>
    <n v="1353.3600000000006"/>
    <n v="0.17205536853025241"/>
    <x v="0"/>
    <n v="1353.3600000000006"/>
  </r>
  <r>
    <d v="2024-04-18T00:00:00"/>
    <x v="0"/>
    <x v="0"/>
    <x v="3"/>
    <n v="1444.62"/>
    <n v="926.9"/>
    <n v="4"/>
    <n v="5778.48"/>
    <n v="3707.6"/>
    <n v="2070.8799999999997"/>
    <n v="0.35837798175298691"/>
    <x v="22"/>
    <n v="2070.8799999999997"/>
  </r>
  <r>
    <d v="2022-03-06T00:00:00"/>
    <x v="2"/>
    <x v="0"/>
    <x v="2"/>
    <n v="985.39"/>
    <n v="783.84"/>
    <n v="3"/>
    <n v="2956.17"/>
    <n v="2351.52"/>
    <n v="604.65000000000009"/>
    <n v="0.20453830463065387"/>
    <x v="7"/>
    <n v="604.65000000000009"/>
  </r>
  <r>
    <d v="2024-12-05T00:00:00"/>
    <x v="5"/>
    <x v="3"/>
    <x v="3"/>
    <n v="1118.9000000000001"/>
    <n v="740.26"/>
    <n v="8"/>
    <n v="8951.2000000000007"/>
    <n v="5922.08"/>
    <n v="3029.1200000000008"/>
    <n v="0.33840378943605331"/>
    <x v="23"/>
    <n v="3029.1200000000008"/>
  </r>
  <r>
    <d v="2024-02-14T00:00:00"/>
    <x v="8"/>
    <x v="1"/>
    <x v="2"/>
    <n v="1142.1099999999999"/>
    <n v="579.29"/>
    <n v="7"/>
    <n v="7994.7699999999995"/>
    <n v="4055.0299999999997"/>
    <n v="3939.74"/>
    <n v="0.49278966124103635"/>
    <x v="34"/>
    <n v="3939.74"/>
  </r>
  <r>
    <d v="2023-05-20T00:00:00"/>
    <x v="7"/>
    <x v="0"/>
    <x v="3"/>
    <n v="181.55"/>
    <n v="102.66"/>
    <n v="6"/>
    <n v="1089.3000000000002"/>
    <n v="615.96"/>
    <n v="473.34000000000015"/>
    <n v="0.43453594051225564"/>
    <x v="31"/>
    <n v="473.34000000000015"/>
  </r>
  <r>
    <d v="2024-02-01T00:00:00"/>
    <x v="6"/>
    <x v="3"/>
    <x v="3"/>
    <n v="942.48"/>
    <n v="761.12"/>
    <n v="9"/>
    <n v="8482.32"/>
    <n v="6850.08"/>
    <n v="1632.2399999999998"/>
    <n v="0.19242848654613359"/>
    <x v="34"/>
    <n v="1632.2399999999998"/>
  </r>
  <r>
    <d v="2022-05-26T00:00:00"/>
    <x v="3"/>
    <x v="2"/>
    <x v="1"/>
    <n v="1239.94"/>
    <n v="757.91"/>
    <n v="7"/>
    <n v="8679.58"/>
    <n v="5305.37"/>
    <n v="3374.21"/>
    <n v="0.38875268158136683"/>
    <x v="35"/>
    <n v="3374.21"/>
  </r>
  <r>
    <d v="2024-02-01T00:00:00"/>
    <x v="6"/>
    <x v="3"/>
    <x v="2"/>
    <n v="1462.3"/>
    <n v="1199.98"/>
    <n v="10"/>
    <n v="14623"/>
    <n v="11999.8"/>
    <n v="2623.2000000000007"/>
    <n v="0.17938863434315808"/>
    <x v="34"/>
    <n v="2623.2000000000007"/>
  </r>
  <r>
    <d v="2022-08-24T00:00:00"/>
    <x v="0"/>
    <x v="0"/>
    <x v="3"/>
    <n v="1653.66"/>
    <n v="1183.46"/>
    <n v="2"/>
    <n v="3307.32"/>
    <n v="2366.92"/>
    <n v="940.40000000000009"/>
    <n v="0.28433898141093089"/>
    <x v="15"/>
    <n v="940.40000000000009"/>
  </r>
  <r>
    <d v="2023-11-06T00:00:00"/>
    <x v="7"/>
    <x v="0"/>
    <x v="3"/>
    <n v="1359.67"/>
    <n v="775.36"/>
    <n v="6"/>
    <n v="8158.02"/>
    <n v="4652.16"/>
    <n v="3505.8600000000006"/>
    <n v="0.42974398199563135"/>
    <x v="10"/>
    <n v="3505.8600000000006"/>
  </r>
  <r>
    <d v="2024-01-27T00:00:00"/>
    <x v="7"/>
    <x v="0"/>
    <x v="1"/>
    <n v="1839.33"/>
    <n v="1527.57"/>
    <n v="6"/>
    <n v="11035.98"/>
    <n v="9165.42"/>
    <n v="1870.5599999999995"/>
    <n v="0.16949650144346035"/>
    <x v="26"/>
    <n v="1870.5599999999995"/>
  </r>
  <r>
    <d v="2023-03-12T00:00:00"/>
    <x v="1"/>
    <x v="1"/>
    <x v="3"/>
    <n v="517.26"/>
    <n v="382.85"/>
    <n v="7"/>
    <n v="3620.8199999999997"/>
    <n v="2679.9500000000003"/>
    <n v="940.86999999999944"/>
    <n v="0.25984997873409876"/>
    <x v="19"/>
    <n v="940.86999999999944"/>
  </r>
  <r>
    <d v="2023-08-22T00:00:00"/>
    <x v="9"/>
    <x v="3"/>
    <x v="1"/>
    <n v="621.11"/>
    <n v="431.33"/>
    <n v="8"/>
    <n v="4968.88"/>
    <n v="3450.64"/>
    <n v="1518.2400000000002"/>
    <n v="0.30554974159166659"/>
    <x v="14"/>
    <n v="1518.2400000000002"/>
  </r>
  <r>
    <d v="2024-07-20T00:00:00"/>
    <x v="6"/>
    <x v="3"/>
    <x v="1"/>
    <n v="693.64"/>
    <n v="592.9"/>
    <n v="8"/>
    <n v="5549.12"/>
    <n v="4743.2"/>
    <n v="805.92000000000007"/>
    <n v="0.14523383887895741"/>
    <x v="28"/>
    <n v="805.92000000000007"/>
  </r>
  <r>
    <d v="2023-04-30T00:00:00"/>
    <x v="8"/>
    <x v="1"/>
    <x v="1"/>
    <n v="370.92"/>
    <n v="207.97"/>
    <n v="10"/>
    <n v="3709.2000000000003"/>
    <n v="2079.6999999999998"/>
    <n v="1629.5000000000005"/>
    <n v="0.43931305941982107"/>
    <x v="6"/>
    <n v="1629.5000000000005"/>
  </r>
  <r>
    <d v="2022-07-17T00:00:00"/>
    <x v="6"/>
    <x v="3"/>
    <x v="3"/>
    <n v="1928.37"/>
    <n v="1603.74"/>
    <n v="6"/>
    <n v="11570.22"/>
    <n v="9622.44"/>
    <n v="1947.7799999999988"/>
    <n v="0.16834424928825892"/>
    <x v="8"/>
    <n v="1947.7799999999988"/>
  </r>
  <r>
    <d v="2023-03-19T00:00:00"/>
    <x v="3"/>
    <x v="2"/>
    <x v="1"/>
    <n v="436.58"/>
    <n v="300.88"/>
    <n v="9"/>
    <n v="3929.22"/>
    <n v="2707.92"/>
    <n v="1221.2999999999997"/>
    <n v="0.31082504924641524"/>
    <x v="19"/>
    <n v="1221.2999999999997"/>
  </r>
  <r>
    <d v="2023-04-15T00:00:00"/>
    <x v="1"/>
    <x v="1"/>
    <x v="1"/>
    <n v="1909.06"/>
    <n v="1299.07"/>
    <n v="1"/>
    <n v="1909.06"/>
    <n v="1299.07"/>
    <n v="609.99"/>
    <n v="0.31952374467015182"/>
    <x v="6"/>
    <n v="609.99"/>
  </r>
  <r>
    <d v="2022-06-24T00:00:00"/>
    <x v="8"/>
    <x v="1"/>
    <x v="1"/>
    <n v="448.09"/>
    <n v="344.8"/>
    <n v="3"/>
    <n v="1344.27"/>
    <n v="1034.4000000000001"/>
    <n v="309.86999999999989"/>
    <n v="0.23051172755473223"/>
    <x v="18"/>
    <n v="309.86999999999989"/>
  </r>
  <r>
    <d v="2023-12-26T00:00:00"/>
    <x v="2"/>
    <x v="0"/>
    <x v="0"/>
    <n v="286.49"/>
    <n v="244.07"/>
    <n v="9"/>
    <n v="2578.41"/>
    <n v="2196.63"/>
    <n v="381.77999999999975"/>
    <n v="0.14806799539250926"/>
    <x v="30"/>
    <n v="381.77999999999975"/>
  </r>
  <r>
    <d v="2023-06-30T00:00:00"/>
    <x v="7"/>
    <x v="0"/>
    <x v="1"/>
    <n v="1408.49"/>
    <n v="738.27"/>
    <n v="3"/>
    <n v="4225.47"/>
    <n v="2214.81"/>
    <n v="2010.6600000000003"/>
    <n v="0.47584292398242095"/>
    <x v="0"/>
    <n v="2010.6600000000003"/>
  </r>
  <r>
    <d v="2022-08-05T00:00:00"/>
    <x v="10"/>
    <x v="2"/>
    <x v="0"/>
    <n v="653.55999999999995"/>
    <n v="436.31"/>
    <n v="6"/>
    <n v="3921.3599999999997"/>
    <n v="2617.86"/>
    <n v="1303.4999999999995"/>
    <n v="0.33241018422180052"/>
    <x v="15"/>
    <n v="1303.4999999999995"/>
  </r>
  <r>
    <d v="2024-05-25T00:00:00"/>
    <x v="3"/>
    <x v="2"/>
    <x v="0"/>
    <n v="1470.01"/>
    <n v="1058.46"/>
    <n v="10"/>
    <n v="14700.1"/>
    <n v="10584.6"/>
    <n v="4115.5"/>
    <n v="0.27996408187699401"/>
    <x v="3"/>
    <n v="4115.5"/>
  </r>
  <r>
    <d v="2023-02-24T00:00:00"/>
    <x v="7"/>
    <x v="0"/>
    <x v="2"/>
    <n v="1105.58"/>
    <n v="783.78"/>
    <n v="3"/>
    <n v="3316.74"/>
    <n v="2351.34"/>
    <n v="965.39999999999964"/>
    <n v="0.29106894118923993"/>
    <x v="27"/>
    <n v="965.39999999999964"/>
  </r>
  <r>
    <d v="2024-02-13T00:00:00"/>
    <x v="2"/>
    <x v="0"/>
    <x v="1"/>
    <n v="1956.39"/>
    <n v="991.8"/>
    <n v="10"/>
    <n v="19563.900000000001"/>
    <n v="9918"/>
    <n v="9645.9000000000015"/>
    <n v="0.49304586508824932"/>
    <x v="34"/>
    <n v="9645.9000000000015"/>
  </r>
  <r>
    <d v="2022-11-20T00:00:00"/>
    <x v="9"/>
    <x v="3"/>
    <x v="3"/>
    <n v="823.33"/>
    <n v="455.81"/>
    <n v="9"/>
    <n v="7409.97"/>
    <n v="4102.29"/>
    <n v="3307.6800000000003"/>
    <n v="0.44638237401770858"/>
    <x v="1"/>
    <n v="3307.6800000000003"/>
  </r>
  <r>
    <d v="2023-08-14T00:00:00"/>
    <x v="8"/>
    <x v="1"/>
    <x v="1"/>
    <n v="1009.98"/>
    <n v="789.06"/>
    <n v="3"/>
    <n v="3029.94"/>
    <n v="2367.1799999999998"/>
    <n v="662.76000000000022"/>
    <n v="0.21873700469316232"/>
    <x v="14"/>
    <n v="662.76000000000022"/>
  </r>
  <r>
    <d v="2024-04-28T00:00:00"/>
    <x v="8"/>
    <x v="1"/>
    <x v="0"/>
    <n v="1005.31"/>
    <n v="739.23"/>
    <n v="2"/>
    <n v="2010.62"/>
    <n v="1478.46"/>
    <n v="532.15999999999985"/>
    <n v="0.26467457799086841"/>
    <x v="22"/>
    <n v="532.15999999999985"/>
  </r>
  <r>
    <d v="2023-10-01T00:00:00"/>
    <x v="6"/>
    <x v="3"/>
    <x v="2"/>
    <n v="963.84"/>
    <n v="668.17"/>
    <n v="4"/>
    <n v="3855.36"/>
    <n v="2672.68"/>
    <n v="1182.6800000000003"/>
    <n v="0.30676253320053126"/>
    <x v="5"/>
    <n v="1182.6800000000003"/>
  </r>
  <r>
    <d v="2024-10-20T00:00:00"/>
    <x v="7"/>
    <x v="0"/>
    <x v="3"/>
    <n v="496.04"/>
    <n v="436.9"/>
    <n v="5"/>
    <n v="2480.2000000000003"/>
    <n v="2184.5"/>
    <n v="295.70000000000027"/>
    <n v="0.11922425610837846"/>
    <x v="17"/>
    <n v="295.70000000000027"/>
  </r>
  <r>
    <d v="2022-02-08T00:00:00"/>
    <x v="9"/>
    <x v="3"/>
    <x v="2"/>
    <n v="1370.01"/>
    <n v="830.12"/>
    <n v="2"/>
    <n v="2740.02"/>
    <n v="1660.24"/>
    <n v="1079.78"/>
    <n v="0.39407741549331754"/>
    <x v="20"/>
    <n v="1079.78"/>
  </r>
  <r>
    <d v="2022-07-08T00:00:00"/>
    <x v="6"/>
    <x v="3"/>
    <x v="0"/>
    <n v="1596.94"/>
    <n v="957.61"/>
    <n v="3"/>
    <n v="4790.82"/>
    <n v="2872.83"/>
    <n v="1917.9899999999998"/>
    <n v="0.40034691347201523"/>
    <x v="8"/>
    <n v="1917.9899999999998"/>
  </r>
  <r>
    <d v="2024-05-07T00:00:00"/>
    <x v="2"/>
    <x v="0"/>
    <x v="2"/>
    <n v="1445.45"/>
    <n v="1019.82"/>
    <n v="1"/>
    <n v="1445.45"/>
    <n v="1019.82"/>
    <n v="425.63"/>
    <n v="0.29446193227022727"/>
    <x v="3"/>
    <n v="425.63"/>
  </r>
  <r>
    <d v="2023-11-17T00:00:00"/>
    <x v="3"/>
    <x v="2"/>
    <x v="3"/>
    <n v="369.52"/>
    <n v="311.87"/>
    <n v="2"/>
    <n v="739.04"/>
    <n v="623.74"/>
    <n v="115.29999999999995"/>
    <n v="0.15601320632171461"/>
    <x v="10"/>
    <n v="115.29999999999995"/>
  </r>
  <r>
    <d v="2022-07-17T00:00:00"/>
    <x v="7"/>
    <x v="0"/>
    <x v="2"/>
    <n v="748.83"/>
    <n v="539.9"/>
    <n v="8"/>
    <n v="5990.64"/>
    <n v="4319.2"/>
    <n v="1671.4400000000005"/>
    <n v="0.27900858672863005"/>
    <x v="8"/>
    <n v="1671.4400000000005"/>
  </r>
  <r>
    <d v="2022-02-25T00:00:00"/>
    <x v="7"/>
    <x v="0"/>
    <x v="3"/>
    <n v="47.04"/>
    <n v="25.96"/>
    <n v="8"/>
    <n v="376.32"/>
    <n v="207.68"/>
    <n v="168.64"/>
    <n v="0.44812925170068024"/>
    <x v="20"/>
    <n v="168.64"/>
  </r>
  <r>
    <d v="2022-12-30T00:00:00"/>
    <x v="2"/>
    <x v="0"/>
    <x v="0"/>
    <n v="1775.1"/>
    <n v="1067.8900000000001"/>
    <n v="8"/>
    <n v="14200.8"/>
    <n v="8543.1200000000008"/>
    <n v="5657.6799999999985"/>
    <n v="0.39840572362120436"/>
    <x v="33"/>
    <n v="5657.6799999999985"/>
  </r>
  <r>
    <d v="2023-01-27T00:00:00"/>
    <x v="3"/>
    <x v="2"/>
    <x v="3"/>
    <n v="1142.3900000000001"/>
    <n v="593.12"/>
    <n v="6"/>
    <n v="6854.34"/>
    <n v="3558.7200000000003"/>
    <n v="3295.62"/>
    <n v="0.48080778018014864"/>
    <x v="13"/>
    <n v="3295.62"/>
  </r>
  <r>
    <d v="2022-08-12T00:00:00"/>
    <x v="4"/>
    <x v="2"/>
    <x v="0"/>
    <n v="1904.94"/>
    <n v="1578.2"/>
    <n v="7"/>
    <n v="13334.58"/>
    <n v="11047.4"/>
    <n v="2287.1800000000003"/>
    <n v="0.17152246264974227"/>
    <x v="15"/>
    <n v="2287.1800000000003"/>
  </r>
  <r>
    <d v="2022-07-08T00:00:00"/>
    <x v="9"/>
    <x v="3"/>
    <x v="3"/>
    <n v="1069.1400000000001"/>
    <n v="595.87"/>
    <n v="3"/>
    <n v="3207.42"/>
    <n v="1787.6100000000001"/>
    <n v="1419.81"/>
    <n v="0.44266419739229657"/>
    <x v="8"/>
    <n v="1419.81"/>
  </r>
  <r>
    <d v="2024-06-21T00:00:00"/>
    <x v="8"/>
    <x v="1"/>
    <x v="3"/>
    <n v="172.32"/>
    <n v="111.52"/>
    <n v="2"/>
    <n v="344.64"/>
    <n v="223.04"/>
    <n v="121.6"/>
    <n v="0.35283194057567319"/>
    <x v="4"/>
    <n v="121.6"/>
  </r>
  <r>
    <d v="2023-05-28T00:00:00"/>
    <x v="1"/>
    <x v="1"/>
    <x v="0"/>
    <n v="138.41999999999999"/>
    <n v="104.36"/>
    <n v="6"/>
    <n v="830.52"/>
    <n v="626.16"/>
    <n v="204.36"/>
    <n v="0.24606270770119926"/>
    <x v="31"/>
    <n v="204.36"/>
  </r>
  <r>
    <d v="2022-02-21T00:00:00"/>
    <x v="8"/>
    <x v="1"/>
    <x v="1"/>
    <n v="1389.19"/>
    <n v="940.24"/>
    <n v="2"/>
    <n v="2778.38"/>
    <n v="1880.48"/>
    <n v="897.90000000000009"/>
    <n v="0.32317393589069893"/>
    <x v="20"/>
    <n v="897.90000000000009"/>
  </r>
  <r>
    <d v="2024-09-10T00:00:00"/>
    <x v="9"/>
    <x v="3"/>
    <x v="3"/>
    <n v="307.10000000000002"/>
    <n v="203.72"/>
    <n v="4"/>
    <n v="1228.4000000000001"/>
    <n v="814.88"/>
    <n v="413.5200000000001"/>
    <n v="0.33663301856072947"/>
    <x v="16"/>
    <n v="413.5200000000001"/>
  </r>
  <r>
    <d v="2023-11-19T00:00:00"/>
    <x v="9"/>
    <x v="3"/>
    <x v="1"/>
    <n v="1050.8"/>
    <n v="644.09"/>
    <n v="2"/>
    <n v="2101.6"/>
    <n v="1288.18"/>
    <n v="813.41999999999985"/>
    <n v="0.38704796345641412"/>
    <x v="10"/>
    <n v="813.41999999999985"/>
  </r>
  <r>
    <d v="2022-06-27T00:00:00"/>
    <x v="9"/>
    <x v="3"/>
    <x v="1"/>
    <n v="1961.37"/>
    <n v="1030.1500000000001"/>
    <n v="4"/>
    <n v="7845.48"/>
    <n v="4120.6000000000004"/>
    <n v="3724.8799999999992"/>
    <n v="0.4747803830995681"/>
    <x v="18"/>
    <n v="3724.8799999999992"/>
  </r>
  <r>
    <d v="2024-01-18T00:00:00"/>
    <x v="7"/>
    <x v="0"/>
    <x v="3"/>
    <n v="1882.52"/>
    <n v="1688.31"/>
    <n v="1"/>
    <n v="1882.52"/>
    <n v="1688.31"/>
    <n v="194.21000000000004"/>
    <n v="0.10316490661453798"/>
    <x v="26"/>
    <n v="194.21000000000004"/>
  </r>
  <r>
    <d v="2024-06-17T00:00:00"/>
    <x v="6"/>
    <x v="3"/>
    <x v="2"/>
    <n v="1645.02"/>
    <n v="1335.12"/>
    <n v="3"/>
    <n v="4935.0599999999995"/>
    <n v="4005.3599999999997"/>
    <n v="929.69999999999982"/>
    <n v="0.18838676733413573"/>
    <x v="4"/>
    <n v="929.69999999999982"/>
  </r>
  <r>
    <d v="2023-07-21T00:00:00"/>
    <x v="6"/>
    <x v="3"/>
    <x v="3"/>
    <n v="1593.61"/>
    <n v="946.43"/>
    <n v="9"/>
    <n v="14342.49"/>
    <n v="8517.869999999999"/>
    <n v="5824.6200000000008"/>
    <n v="0.40610939941390939"/>
    <x v="11"/>
    <n v="5824.6200000000008"/>
  </r>
  <r>
    <d v="2024-01-23T00:00:00"/>
    <x v="1"/>
    <x v="1"/>
    <x v="2"/>
    <n v="1610.67"/>
    <n v="870.94"/>
    <n v="10"/>
    <n v="16106.7"/>
    <n v="8709.4000000000015"/>
    <n v="7397.2999999999993"/>
    <n v="0.45926850316948842"/>
    <x v="26"/>
    <n v="7397.2999999999993"/>
  </r>
  <r>
    <d v="2022-11-14T00:00:00"/>
    <x v="8"/>
    <x v="1"/>
    <x v="0"/>
    <n v="1739.82"/>
    <n v="1212.24"/>
    <n v="9"/>
    <n v="15658.38"/>
    <n v="10910.16"/>
    <n v="4748.2199999999993"/>
    <n v="0.30323826602752008"/>
    <x v="1"/>
    <n v="4748.2199999999993"/>
  </r>
  <r>
    <d v="2024-09-30T00:00:00"/>
    <x v="10"/>
    <x v="2"/>
    <x v="0"/>
    <n v="1590.11"/>
    <n v="1083.05"/>
    <n v="7"/>
    <n v="11130.769999999999"/>
    <n v="7581.3499999999995"/>
    <n v="3549.4199999999992"/>
    <n v="0.31888359924785076"/>
    <x v="16"/>
    <n v="3549.4199999999992"/>
  </r>
  <r>
    <d v="2024-08-06T00:00:00"/>
    <x v="2"/>
    <x v="0"/>
    <x v="0"/>
    <n v="831.16"/>
    <n v="579.91"/>
    <n v="2"/>
    <n v="1662.32"/>
    <n v="1159.82"/>
    <n v="502.5"/>
    <n v="0.30228836806391068"/>
    <x v="21"/>
    <n v="502.5"/>
  </r>
  <r>
    <d v="2023-06-26T00:00:00"/>
    <x v="0"/>
    <x v="0"/>
    <x v="0"/>
    <n v="102.32"/>
    <n v="51.29"/>
    <n v="8"/>
    <n v="818.56"/>
    <n v="410.32"/>
    <n v="408.23999999999995"/>
    <n v="0.4987294761532447"/>
    <x v="0"/>
    <n v="408.23999999999995"/>
  </r>
  <r>
    <d v="2023-03-07T00:00:00"/>
    <x v="4"/>
    <x v="2"/>
    <x v="3"/>
    <n v="1945.06"/>
    <n v="1719.88"/>
    <n v="6"/>
    <n v="11670.36"/>
    <n v="10319.280000000001"/>
    <n v="1351.08"/>
    <n v="0.11577020760285028"/>
    <x v="19"/>
    <n v="1351.08"/>
  </r>
  <r>
    <d v="2023-03-07T00:00:00"/>
    <x v="8"/>
    <x v="1"/>
    <x v="3"/>
    <n v="1361.33"/>
    <n v="1138.5899999999999"/>
    <n v="8"/>
    <n v="10890.64"/>
    <n v="9108.7199999999993"/>
    <n v="1781.92"/>
    <n v="0.16361940161459751"/>
    <x v="19"/>
    <n v="1781.92"/>
  </r>
  <r>
    <d v="2022-01-01T00:00:00"/>
    <x v="8"/>
    <x v="1"/>
    <x v="0"/>
    <n v="473.56"/>
    <n v="384.1"/>
    <n v="7"/>
    <n v="3314.92"/>
    <n v="2688.7000000000003"/>
    <n v="626.2199999999998"/>
    <n v="0.18890953627840182"/>
    <x v="9"/>
    <n v="626.2199999999998"/>
  </r>
  <r>
    <d v="2022-05-02T00:00:00"/>
    <x v="8"/>
    <x v="1"/>
    <x v="2"/>
    <n v="1364.48"/>
    <n v="735.46"/>
    <n v="2"/>
    <n v="2728.96"/>
    <n v="1470.92"/>
    <n v="1258.04"/>
    <n v="0.46099613039399623"/>
    <x v="35"/>
    <n v="1258.04"/>
  </r>
  <r>
    <d v="2024-10-18T00:00:00"/>
    <x v="10"/>
    <x v="2"/>
    <x v="3"/>
    <n v="1133.67"/>
    <n v="1017.82"/>
    <n v="6"/>
    <n v="6802.02"/>
    <n v="6106.92"/>
    <n v="695.10000000000036"/>
    <n v="0.10219023172528166"/>
    <x v="17"/>
    <n v="695.10000000000036"/>
  </r>
  <r>
    <d v="2022-03-08T00:00:00"/>
    <x v="9"/>
    <x v="3"/>
    <x v="2"/>
    <n v="203.59"/>
    <n v="130.78"/>
    <n v="10"/>
    <n v="2035.9"/>
    <n v="1307.8"/>
    <n v="728.10000000000014"/>
    <n v="0.35763053195147115"/>
    <x v="7"/>
    <n v="728.10000000000014"/>
  </r>
  <r>
    <d v="2022-05-22T00:00:00"/>
    <x v="8"/>
    <x v="1"/>
    <x v="0"/>
    <n v="190.62"/>
    <n v="154.16"/>
    <n v="1"/>
    <n v="190.62"/>
    <n v="154.16"/>
    <n v="36.460000000000008"/>
    <n v="0.1912705907040185"/>
    <x v="35"/>
    <n v="36.460000000000008"/>
  </r>
  <r>
    <d v="2023-11-06T00:00:00"/>
    <x v="7"/>
    <x v="0"/>
    <x v="3"/>
    <n v="236.75"/>
    <n v="123.58"/>
    <n v="9"/>
    <n v="2130.75"/>
    <n v="1112.22"/>
    <n v="1018.53"/>
    <n v="0.47801478352692711"/>
    <x v="10"/>
    <n v="1018.53"/>
  </r>
  <r>
    <d v="2023-11-04T00:00:00"/>
    <x v="0"/>
    <x v="0"/>
    <x v="0"/>
    <n v="740.52"/>
    <n v="650.32000000000005"/>
    <n v="3"/>
    <n v="2221.56"/>
    <n v="1950.96"/>
    <n v="270.59999999999991"/>
    <n v="0.12180629827688648"/>
    <x v="10"/>
    <n v="270.59999999999991"/>
  </r>
  <r>
    <d v="2022-02-08T00:00:00"/>
    <x v="4"/>
    <x v="2"/>
    <x v="1"/>
    <n v="492.12"/>
    <n v="429.77"/>
    <n v="7"/>
    <n v="3444.84"/>
    <n v="3008.39"/>
    <n v="436.45000000000027"/>
    <n v="0.12669674063236616"/>
    <x v="20"/>
    <n v="436.45000000000027"/>
  </r>
  <r>
    <d v="2023-03-07T00:00:00"/>
    <x v="8"/>
    <x v="1"/>
    <x v="1"/>
    <n v="567.26"/>
    <n v="451.2"/>
    <n v="7"/>
    <n v="3970.8199999999997"/>
    <n v="3158.4"/>
    <n v="812.41999999999962"/>
    <n v="0.20459753904735034"/>
    <x v="19"/>
    <n v="812.41999999999962"/>
  </r>
  <r>
    <d v="2022-04-11T00:00:00"/>
    <x v="3"/>
    <x v="2"/>
    <x v="3"/>
    <n v="535.6"/>
    <n v="419.68"/>
    <n v="7"/>
    <n v="3749.2000000000003"/>
    <n v="2937.76"/>
    <n v="811.44"/>
    <n v="0.21643017176997759"/>
    <x v="32"/>
    <n v="811.44"/>
  </r>
  <r>
    <d v="2023-10-07T00:00:00"/>
    <x v="5"/>
    <x v="3"/>
    <x v="1"/>
    <n v="274.14999999999998"/>
    <n v="175.41"/>
    <n v="2"/>
    <n v="548.29999999999995"/>
    <n v="350.82"/>
    <n v="197.47999999999996"/>
    <n v="0.36016779135509752"/>
    <x v="5"/>
    <n v="197.47999999999996"/>
  </r>
  <r>
    <d v="2022-03-28T00:00:00"/>
    <x v="1"/>
    <x v="1"/>
    <x v="0"/>
    <n v="1160.43"/>
    <n v="780.8"/>
    <n v="1"/>
    <n v="1160.43"/>
    <n v="780.8"/>
    <n v="379.63000000000011"/>
    <n v="0.32714597175185067"/>
    <x v="7"/>
    <n v="379.63000000000011"/>
  </r>
  <r>
    <d v="2022-09-02T00:00:00"/>
    <x v="3"/>
    <x v="2"/>
    <x v="1"/>
    <n v="1847.53"/>
    <n v="1111.68"/>
    <n v="3"/>
    <n v="5542.59"/>
    <n v="3335.04"/>
    <n v="2207.5500000000002"/>
    <n v="0.39828852576142204"/>
    <x v="12"/>
    <n v="2207.5500000000002"/>
  </r>
  <r>
    <d v="2024-02-15T00:00:00"/>
    <x v="6"/>
    <x v="3"/>
    <x v="0"/>
    <n v="393.2"/>
    <n v="321.18"/>
    <n v="9"/>
    <n v="3538.7999999999997"/>
    <n v="2890.62"/>
    <n v="648.17999999999984"/>
    <n v="0.18316378433367239"/>
    <x v="34"/>
    <n v="648.17999999999984"/>
  </r>
  <r>
    <d v="2022-03-14T00:00:00"/>
    <x v="7"/>
    <x v="0"/>
    <x v="2"/>
    <n v="949.48"/>
    <n v="795.65"/>
    <n v="6"/>
    <n v="5696.88"/>
    <n v="4773.8999999999996"/>
    <n v="922.98000000000047"/>
    <n v="0.16201499768294234"/>
    <x v="7"/>
    <n v="922.98000000000047"/>
  </r>
  <r>
    <d v="2023-07-07T00:00:00"/>
    <x v="8"/>
    <x v="1"/>
    <x v="2"/>
    <n v="158.22"/>
    <n v="126.08"/>
    <n v="5"/>
    <n v="791.1"/>
    <n v="630.4"/>
    <n v="160.70000000000005"/>
    <n v="0.20313487548982434"/>
    <x v="11"/>
    <n v="160.70000000000005"/>
  </r>
  <r>
    <d v="2023-05-03T00:00:00"/>
    <x v="5"/>
    <x v="3"/>
    <x v="2"/>
    <n v="1864.61"/>
    <n v="1498.54"/>
    <n v="9"/>
    <n v="16781.489999999998"/>
    <n v="13486.86"/>
    <n v="3294.6299999999974"/>
    <n v="0.19632523691281273"/>
    <x v="31"/>
    <n v="3294.6299999999974"/>
  </r>
  <r>
    <d v="2023-10-11T00:00:00"/>
    <x v="2"/>
    <x v="0"/>
    <x v="3"/>
    <n v="421.84"/>
    <n v="232.02"/>
    <n v="7"/>
    <n v="2952.8799999999997"/>
    <n v="1624.14"/>
    <n v="1328.7399999999996"/>
    <n v="0.44998103546368279"/>
    <x v="5"/>
    <n v="1328.7399999999996"/>
  </r>
  <r>
    <d v="2024-04-10T00:00:00"/>
    <x v="8"/>
    <x v="1"/>
    <x v="0"/>
    <n v="1115.6199999999999"/>
    <n v="737.12"/>
    <n v="6"/>
    <n v="6693.7199999999993"/>
    <n v="4422.72"/>
    <n v="2270.9999999999991"/>
    <n v="0.3392732292357612"/>
    <x v="22"/>
    <n v="2270.9999999999991"/>
  </r>
  <r>
    <d v="2024-04-19T00:00:00"/>
    <x v="8"/>
    <x v="1"/>
    <x v="0"/>
    <n v="1768.26"/>
    <n v="1148.29"/>
    <n v="9"/>
    <n v="15914.34"/>
    <n v="10334.61"/>
    <n v="5579.73"/>
    <n v="0.35061020438170853"/>
    <x v="22"/>
    <n v="5579.73"/>
  </r>
  <r>
    <d v="2022-09-22T00:00:00"/>
    <x v="9"/>
    <x v="3"/>
    <x v="1"/>
    <n v="492.78"/>
    <n v="303.79000000000002"/>
    <n v="4"/>
    <n v="1971.12"/>
    <n v="1215.1600000000001"/>
    <n v="755.95999999999981"/>
    <n v="0.38351799991882779"/>
    <x v="12"/>
    <n v="755.95999999999981"/>
  </r>
  <r>
    <d v="2023-05-01T00:00:00"/>
    <x v="0"/>
    <x v="0"/>
    <x v="1"/>
    <n v="1608.38"/>
    <n v="900.54"/>
    <n v="4"/>
    <n v="6433.52"/>
    <n v="3602.16"/>
    <n v="2831.3600000000006"/>
    <n v="0.44009500242480015"/>
    <x v="31"/>
    <n v="2831.3600000000006"/>
  </r>
  <r>
    <d v="2023-01-05T00:00:00"/>
    <x v="2"/>
    <x v="0"/>
    <x v="0"/>
    <n v="515.91"/>
    <n v="418.48"/>
    <n v="2"/>
    <n v="1031.82"/>
    <n v="836.96"/>
    <n v="194.8599999999999"/>
    <n v="0.18885076854490115"/>
    <x v="13"/>
    <n v="194.8599999999999"/>
  </r>
  <r>
    <d v="2022-01-25T00:00:00"/>
    <x v="6"/>
    <x v="3"/>
    <x v="0"/>
    <n v="357.97"/>
    <n v="187.6"/>
    <n v="3"/>
    <n v="1073.9100000000001"/>
    <n v="562.79999999999995"/>
    <n v="511.11000000000013"/>
    <n v="0.47593373746403339"/>
    <x v="9"/>
    <n v="511.11000000000013"/>
  </r>
  <r>
    <d v="2024-07-15T00:00:00"/>
    <x v="8"/>
    <x v="1"/>
    <x v="3"/>
    <n v="1314.73"/>
    <n v="1053.74"/>
    <n v="9"/>
    <n v="11832.57"/>
    <n v="9483.66"/>
    <n v="2348.91"/>
    <n v="0.19851224205730453"/>
    <x v="28"/>
    <n v="2348.91"/>
  </r>
  <r>
    <d v="2024-01-25T00:00:00"/>
    <x v="5"/>
    <x v="3"/>
    <x v="2"/>
    <n v="722.33"/>
    <n v="457.73"/>
    <n v="4"/>
    <n v="2889.32"/>
    <n v="1830.92"/>
    <n v="1058.4000000000001"/>
    <n v="0.36631456536486096"/>
    <x v="26"/>
    <n v="1058.4000000000001"/>
  </r>
  <r>
    <d v="2023-08-09T00:00:00"/>
    <x v="6"/>
    <x v="3"/>
    <x v="3"/>
    <n v="483.02"/>
    <n v="343.08"/>
    <n v="9"/>
    <n v="4347.18"/>
    <n v="3087.72"/>
    <n v="1259.4600000000005"/>
    <n v="0.28971885222144023"/>
    <x v="14"/>
    <n v="1259.4600000000005"/>
  </r>
  <r>
    <d v="2024-12-20T00:00:00"/>
    <x v="8"/>
    <x v="1"/>
    <x v="3"/>
    <n v="211.66"/>
    <n v="134.37"/>
    <n v="3"/>
    <n v="634.98"/>
    <n v="403.11"/>
    <n v="231.87"/>
    <n v="0.36516110743645469"/>
    <x v="23"/>
    <n v="231.87"/>
  </r>
  <r>
    <d v="2023-11-13T00:00:00"/>
    <x v="5"/>
    <x v="3"/>
    <x v="0"/>
    <n v="1673.63"/>
    <n v="1175.24"/>
    <n v="6"/>
    <n v="10041.780000000001"/>
    <n v="7051.4400000000005"/>
    <n v="2990.34"/>
    <n v="0.297789834073242"/>
    <x v="10"/>
    <n v="2990.34"/>
  </r>
  <r>
    <d v="2023-03-21T00:00:00"/>
    <x v="1"/>
    <x v="1"/>
    <x v="2"/>
    <n v="735.89"/>
    <n v="472.65"/>
    <n v="6"/>
    <n v="4415.34"/>
    <n v="2835.8999999999996"/>
    <n v="1579.4400000000005"/>
    <n v="0.35771650654309756"/>
    <x v="19"/>
    <n v="1579.4400000000005"/>
  </r>
  <r>
    <d v="2022-01-22T00:00:00"/>
    <x v="10"/>
    <x v="2"/>
    <x v="1"/>
    <n v="1934.4"/>
    <n v="1020.73"/>
    <n v="9"/>
    <n v="17409.600000000002"/>
    <n v="9186.57"/>
    <n v="8223.0300000000025"/>
    <n v="0.47232733664185284"/>
    <x v="9"/>
    <n v="8223.0300000000025"/>
  </r>
  <r>
    <d v="2024-01-04T00:00:00"/>
    <x v="3"/>
    <x v="2"/>
    <x v="0"/>
    <n v="1402.33"/>
    <n v="872.91"/>
    <n v="7"/>
    <n v="9816.31"/>
    <n v="6110.37"/>
    <n v="3705.9399999999996"/>
    <n v="0.37752882702359641"/>
    <x v="26"/>
    <n v="3705.9399999999996"/>
  </r>
  <r>
    <d v="2023-12-06T00:00:00"/>
    <x v="0"/>
    <x v="0"/>
    <x v="2"/>
    <n v="1705.5"/>
    <n v="860.61"/>
    <n v="3"/>
    <n v="5116.5"/>
    <n v="2581.83"/>
    <n v="2534.67"/>
    <n v="0.49539138082673706"/>
    <x v="30"/>
    <n v="2534.67"/>
  </r>
  <r>
    <d v="2022-04-08T00:00:00"/>
    <x v="10"/>
    <x v="2"/>
    <x v="3"/>
    <n v="840.7"/>
    <n v="612.39"/>
    <n v="2"/>
    <n v="1681.4"/>
    <n v="1224.78"/>
    <n v="456.62000000000012"/>
    <n v="0.2715713096229333"/>
    <x v="32"/>
    <n v="456.62000000000012"/>
  </r>
  <r>
    <d v="2023-03-06T00:00:00"/>
    <x v="0"/>
    <x v="0"/>
    <x v="0"/>
    <n v="1259.02"/>
    <n v="837.86"/>
    <n v="5"/>
    <n v="6295.1"/>
    <n v="4189.3"/>
    <n v="2105.8000000000002"/>
    <n v="0.33451414592301948"/>
    <x v="19"/>
    <n v="2105.8000000000002"/>
  </r>
  <r>
    <d v="2024-07-13T00:00:00"/>
    <x v="3"/>
    <x v="2"/>
    <x v="3"/>
    <n v="572.80999999999995"/>
    <n v="380.13"/>
    <n v="10"/>
    <n v="5728.0999999999995"/>
    <n v="3801.3"/>
    <n v="1926.7999999999993"/>
    <n v="0.33637680906408746"/>
    <x v="28"/>
    <n v="1926.7999999999993"/>
  </r>
  <r>
    <d v="2024-07-02T00:00:00"/>
    <x v="8"/>
    <x v="1"/>
    <x v="3"/>
    <n v="1026.45"/>
    <n v="532.54"/>
    <n v="2"/>
    <n v="2052.9"/>
    <n v="1065.08"/>
    <n v="987.82000000000016"/>
    <n v="0.48118271713186228"/>
    <x v="28"/>
    <n v="987.82000000000016"/>
  </r>
  <r>
    <d v="2024-01-08T00:00:00"/>
    <x v="8"/>
    <x v="1"/>
    <x v="1"/>
    <n v="935.67"/>
    <n v="837.19"/>
    <n v="5"/>
    <n v="4678.3499999999995"/>
    <n v="4185.9500000000007"/>
    <n v="492.39999999999873"/>
    <n v="0.10525078286147868"/>
    <x v="26"/>
    <n v="492.39999999999873"/>
  </r>
  <r>
    <d v="2023-02-01T00:00:00"/>
    <x v="6"/>
    <x v="3"/>
    <x v="0"/>
    <n v="987.04"/>
    <n v="722.27"/>
    <n v="10"/>
    <n v="9870.4"/>
    <n v="7222.7"/>
    <n v="2647.7"/>
    <n v="0.26824647430701898"/>
    <x v="27"/>
    <n v="2647.7"/>
  </r>
  <r>
    <d v="2022-11-21T00:00:00"/>
    <x v="8"/>
    <x v="1"/>
    <x v="2"/>
    <n v="1567.74"/>
    <n v="914.26"/>
    <n v="2"/>
    <n v="3135.48"/>
    <n v="1828.52"/>
    <n v="1306.96"/>
    <n v="0.41682932118846239"/>
    <x v="1"/>
    <n v="1306.96"/>
  </r>
  <r>
    <d v="2023-10-11T00:00:00"/>
    <x v="6"/>
    <x v="3"/>
    <x v="1"/>
    <n v="1236.92"/>
    <n v="948.56"/>
    <n v="1"/>
    <n v="1236.92"/>
    <n v="948.56"/>
    <n v="288.36000000000013"/>
    <n v="0.23312744559066076"/>
    <x v="5"/>
    <n v="288.36000000000013"/>
  </r>
  <r>
    <d v="2024-01-16T00:00:00"/>
    <x v="0"/>
    <x v="0"/>
    <x v="2"/>
    <n v="843.65"/>
    <n v="688.35"/>
    <n v="9"/>
    <n v="7592.8499999999995"/>
    <n v="6195.1500000000005"/>
    <n v="1397.6999999999989"/>
    <n v="0.18408107627570661"/>
    <x v="26"/>
    <n v="1397.6999999999989"/>
  </r>
  <r>
    <d v="2024-05-28T00:00:00"/>
    <x v="0"/>
    <x v="0"/>
    <x v="1"/>
    <n v="1506.95"/>
    <n v="944.54"/>
    <n v="9"/>
    <n v="13562.550000000001"/>
    <n v="8500.86"/>
    <n v="5061.6900000000005"/>
    <n v="0.37321079000630414"/>
    <x v="3"/>
    <n v="5061.6900000000005"/>
  </r>
  <r>
    <d v="2022-05-18T00:00:00"/>
    <x v="6"/>
    <x v="3"/>
    <x v="2"/>
    <n v="1781.2"/>
    <n v="941.84"/>
    <n v="4"/>
    <n v="7124.8"/>
    <n v="3767.36"/>
    <n v="3357.44"/>
    <n v="0.47123287671232877"/>
    <x v="35"/>
    <n v="3357.44"/>
  </r>
  <r>
    <d v="2022-04-05T00:00:00"/>
    <x v="3"/>
    <x v="2"/>
    <x v="3"/>
    <n v="1403.03"/>
    <n v="1225.1099999999999"/>
    <n v="8"/>
    <n v="11224.24"/>
    <n v="9800.8799999999992"/>
    <n v="1423.3600000000006"/>
    <n v="0.12681125849055264"/>
    <x v="32"/>
    <n v="1423.3600000000006"/>
  </r>
  <r>
    <d v="2022-04-04T00:00:00"/>
    <x v="6"/>
    <x v="3"/>
    <x v="2"/>
    <n v="726.85"/>
    <n v="623.70000000000005"/>
    <n v="6"/>
    <n v="4361.1000000000004"/>
    <n v="3742.2000000000003"/>
    <n v="618.90000000000009"/>
    <n v="0.14191373735984042"/>
    <x v="32"/>
    <n v="618.90000000000009"/>
  </r>
  <r>
    <d v="2022-04-04T00:00:00"/>
    <x v="7"/>
    <x v="0"/>
    <x v="2"/>
    <n v="1708.04"/>
    <n v="1013.35"/>
    <n v="4"/>
    <n v="6832.16"/>
    <n v="4053.4"/>
    <n v="2778.7599999999998"/>
    <n v="0.40671764127303806"/>
    <x v="32"/>
    <n v="2778.7599999999998"/>
  </r>
  <r>
    <d v="2022-07-08T00:00:00"/>
    <x v="4"/>
    <x v="2"/>
    <x v="1"/>
    <n v="1717.42"/>
    <n v="1489.77"/>
    <n v="7"/>
    <n v="12021.94"/>
    <n v="10428.39"/>
    <n v="1593.5500000000011"/>
    <n v="0.13255348138486808"/>
    <x v="8"/>
    <n v="1593.5500000000011"/>
  </r>
  <r>
    <d v="2022-08-10T00:00:00"/>
    <x v="5"/>
    <x v="3"/>
    <x v="1"/>
    <n v="1749.57"/>
    <n v="1479.45"/>
    <n v="8"/>
    <n v="13996.56"/>
    <n v="11835.6"/>
    <n v="2160.9599999999991"/>
    <n v="0.15439222208885606"/>
    <x v="15"/>
    <n v="2160.9599999999991"/>
  </r>
  <r>
    <d v="2023-08-02T00:00:00"/>
    <x v="5"/>
    <x v="3"/>
    <x v="3"/>
    <n v="766.49"/>
    <n v="614.6"/>
    <n v="4"/>
    <n v="3065.96"/>
    <n v="2458.4"/>
    <n v="607.55999999999995"/>
    <n v="0.19816305496483971"/>
    <x v="14"/>
    <n v="607.55999999999995"/>
  </r>
  <r>
    <d v="2024-06-20T00:00:00"/>
    <x v="8"/>
    <x v="1"/>
    <x v="2"/>
    <n v="1586.58"/>
    <n v="1011.76"/>
    <n v="10"/>
    <n v="15865.8"/>
    <n v="10117.6"/>
    <n v="5748.1999999999989"/>
    <n v="0.36230130217196732"/>
    <x v="4"/>
    <n v="5748.1999999999989"/>
  </r>
  <r>
    <d v="2024-11-20T00:00:00"/>
    <x v="7"/>
    <x v="0"/>
    <x v="0"/>
    <n v="1550.39"/>
    <n v="1199.26"/>
    <n v="2"/>
    <n v="3100.78"/>
    <n v="2398.52"/>
    <n v="702.26000000000022"/>
    <n v="0.22647849895832667"/>
    <x v="2"/>
    <n v="702.26000000000022"/>
  </r>
  <r>
    <d v="2022-01-31T00:00:00"/>
    <x v="6"/>
    <x v="3"/>
    <x v="0"/>
    <n v="782.97"/>
    <n v="661.19"/>
    <n v="5"/>
    <n v="3914.8500000000004"/>
    <n v="3305.9500000000003"/>
    <n v="608.90000000000009"/>
    <n v="0.15553597200403593"/>
    <x v="9"/>
    <n v="608.90000000000009"/>
  </r>
  <r>
    <d v="2024-02-24T00:00:00"/>
    <x v="0"/>
    <x v="0"/>
    <x v="0"/>
    <n v="253.79"/>
    <n v="190.18"/>
    <n v="10"/>
    <n v="2537.9"/>
    <n v="1901.8000000000002"/>
    <n v="636.09999999999991"/>
    <n v="0.25064029315575864"/>
    <x v="34"/>
    <n v="636.09999999999991"/>
  </r>
  <r>
    <d v="2022-08-02T00:00:00"/>
    <x v="2"/>
    <x v="0"/>
    <x v="0"/>
    <n v="924.85"/>
    <n v="693.72"/>
    <n v="6"/>
    <n v="5549.1"/>
    <n v="4162.32"/>
    <n v="1386.7800000000007"/>
    <n v="0.2499107963453534"/>
    <x v="15"/>
    <n v="1386.7800000000007"/>
  </r>
  <r>
    <d v="2022-04-15T00:00:00"/>
    <x v="0"/>
    <x v="0"/>
    <x v="0"/>
    <n v="487.05"/>
    <n v="409.07"/>
    <n v="3"/>
    <n v="1461.15"/>
    <n v="1227.21"/>
    <n v="233.94000000000005"/>
    <n v="0.16010676521917672"/>
    <x v="32"/>
    <n v="233.94000000000005"/>
  </r>
  <r>
    <d v="2022-09-13T00:00:00"/>
    <x v="6"/>
    <x v="3"/>
    <x v="2"/>
    <n v="1206.8900000000001"/>
    <n v="702.19"/>
    <n v="1"/>
    <n v="1206.8900000000001"/>
    <n v="702.19"/>
    <n v="504.70000000000005"/>
    <n v="0.41818227013232356"/>
    <x v="12"/>
    <n v="504.70000000000005"/>
  </r>
  <r>
    <d v="2022-08-02T00:00:00"/>
    <x v="0"/>
    <x v="0"/>
    <x v="3"/>
    <n v="129.53"/>
    <n v="115.95"/>
    <n v="5"/>
    <n v="647.65"/>
    <n v="579.75"/>
    <n v="67.899999999999977"/>
    <n v="0.10484057747240018"/>
    <x v="15"/>
    <n v="67.899999999999977"/>
  </r>
  <r>
    <d v="2023-04-15T00:00:00"/>
    <x v="6"/>
    <x v="3"/>
    <x v="0"/>
    <n v="368.88"/>
    <n v="327.76"/>
    <n v="2"/>
    <n v="737.76"/>
    <n v="655.52"/>
    <n v="82.240000000000009"/>
    <n v="0.11147256560399046"/>
    <x v="6"/>
    <n v="82.240000000000009"/>
  </r>
  <r>
    <d v="2022-05-19T00:00:00"/>
    <x v="10"/>
    <x v="2"/>
    <x v="1"/>
    <n v="1420.88"/>
    <n v="1275.79"/>
    <n v="7"/>
    <n v="9946.16"/>
    <n v="8930.5299999999988"/>
    <n v="1015.630000000001"/>
    <n v="0.10211277518157771"/>
    <x v="35"/>
    <n v="1015.630000000001"/>
  </r>
  <r>
    <d v="2023-03-19T00:00:00"/>
    <x v="9"/>
    <x v="3"/>
    <x v="0"/>
    <n v="398.78"/>
    <n v="267.58999999999997"/>
    <n v="5"/>
    <n v="1993.8999999999999"/>
    <n v="1337.9499999999998"/>
    <n v="655.95"/>
    <n v="0.32897838407141788"/>
    <x v="19"/>
    <n v="655.95"/>
  </r>
  <r>
    <d v="2023-10-25T00:00:00"/>
    <x v="9"/>
    <x v="3"/>
    <x v="2"/>
    <n v="620.25"/>
    <n v="517.79999999999995"/>
    <n v="9"/>
    <n v="5582.25"/>
    <n v="4660.2"/>
    <n v="922.05000000000018"/>
    <n v="0.16517533252720681"/>
    <x v="5"/>
    <n v="922.05000000000018"/>
  </r>
  <r>
    <d v="2023-04-07T00:00:00"/>
    <x v="0"/>
    <x v="0"/>
    <x v="0"/>
    <n v="632.47"/>
    <n v="365.79"/>
    <n v="9"/>
    <n v="5692.2300000000005"/>
    <n v="3292.11"/>
    <n v="2400.1200000000003"/>
    <n v="0.42164845763435421"/>
    <x v="6"/>
    <n v="2400.1200000000003"/>
  </r>
  <r>
    <d v="2022-03-01T00:00:00"/>
    <x v="0"/>
    <x v="0"/>
    <x v="0"/>
    <n v="1780.41"/>
    <n v="1137.3499999999999"/>
    <n v="4"/>
    <n v="7121.64"/>
    <n v="4549.3999999999996"/>
    <n v="2572.2400000000007"/>
    <n v="0.36118646828539502"/>
    <x v="7"/>
    <n v="2572.2400000000007"/>
  </r>
  <r>
    <d v="2023-08-13T00:00:00"/>
    <x v="4"/>
    <x v="2"/>
    <x v="0"/>
    <n v="1146.8499999999999"/>
    <n v="731.14"/>
    <n v="5"/>
    <n v="5734.25"/>
    <n v="3655.7"/>
    <n v="2078.5500000000002"/>
    <n v="0.36247983607272094"/>
    <x v="14"/>
    <n v="2078.5500000000002"/>
  </r>
  <r>
    <d v="2022-10-31T00:00:00"/>
    <x v="5"/>
    <x v="3"/>
    <x v="2"/>
    <n v="1615.07"/>
    <n v="858.91"/>
    <n v="5"/>
    <n v="8075.3499999999995"/>
    <n v="4294.55"/>
    <n v="3780.7999999999993"/>
    <n v="0.46819023324066444"/>
    <x v="25"/>
    <n v="3780.7999999999993"/>
  </r>
  <r>
    <d v="2024-03-29T00:00:00"/>
    <x v="0"/>
    <x v="0"/>
    <x v="1"/>
    <n v="1474.02"/>
    <n v="771.26"/>
    <n v="8"/>
    <n v="11792.16"/>
    <n v="6170.08"/>
    <n v="5622.08"/>
    <n v="0.47676422300918575"/>
    <x v="29"/>
    <n v="5622.08"/>
  </r>
  <r>
    <d v="2023-03-03T00:00:00"/>
    <x v="5"/>
    <x v="3"/>
    <x v="0"/>
    <n v="1938.79"/>
    <n v="1591.02"/>
    <n v="2"/>
    <n v="3877.58"/>
    <n v="3182.04"/>
    <n v="695.54"/>
    <n v="0.17937476467281138"/>
    <x v="19"/>
    <n v="695.54"/>
  </r>
  <r>
    <d v="2022-08-19T00:00:00"/>
    <x v="7"/>
    <x v="0"/>
    <x v="3"/>
    <n v="1166.6099999999999"/>
    <n v="694.36"/>
    <n v="2"/>
    <n v="2333.2199999999998"/>
    <n v="1388.72"/>
    <n v="944.49999999999977"/>
    <n v="0.40480537626113261"/>
    <x v="15"/>
    <n v="944.49999999999977"/>
  </r>
  <r>
    <d v="2022-03-30T00:00:00"/>
    <x v="5"/>
    <x v="3"/>
    <x v="1"/>
    <n v="605.54999999999995"/>
    <n v="448.22"/>
    <n v="9"/>
    <n v="5449.95"/>
    <n v="4033.9800000000005"/>
    <n v="1415.9699999999993"/>
    <n v="0.25981339278341992"/>
    <x v="7"/>
    <n v="1415.9699999999993"/>
  </r>
  <r>
    <d v="2022-06-18T00:00:00"/>
    <x v="1"/>
    <x v="1"/>
    <x v="3"/>
    <n v="823.73"/>
    <n v="645.47"/>
    <n v="3"/>
    <n v="2471.19"/>
    <n v="1936.41"/>
    <n v="534.78"/>
    <n v="0.21640586114382138"/>
    <x v="18"/>
    <n v="534.78"/>
  </r>
  <r>
    <d v="2023-03-23T00:00:00"/>
    <x v="10"/>
    <x v="2"/>
    <x v="0"/>
    <n v="107.7"/>
    <n v="90.12"/>
    <n v="2"/>
    <n v="215.4"/>
    <n v="180.24"/>
    <n v="35.159999999999997"/>
    <n v="0.16323119777158773"/>
    <x v="19"/>
    <n v="35.159999999999997"/>
  </r>
  <r>
    <d v="2022-01-20T00:00:00"/>
    <x v="6"/>
    <x v="3"/>
    <x v="0"/>
    <n v="742.17"/>
    <n v="531.54999999999995"/>
    <n v="7"/>
    <n v="5195.1899999999996"/>
    <n v="3720.8499999999995"/>
    <n v="1474.3400000000001"/>
    <n v="0.28378942829809889"/>
    <x v="9"/>
    <n v="1474.3400000000001"/>
  </r>
  <r>
    <d v="2022-05-25T00:00:00"/>
    <x v="1"/>
    <x v="1"/>
    <x v="1"/>
    <n v="914.37"/>
    <n v="739.64"/>
    <n v="7"/>
    <n v="6400.59"/>
    <n v="5177.4799999999996"/>
    <n v="1223.1100000000006"/>
    <n v="0.19109332108446261"/>
    <x v="35"/>
    <n v="1223.1100000000006"/>
  </r>
  <r>
    <d v="2022-07-10T00:00:00"/>
    <x v="7"/>
    <x v="0"/>
    <x v="2"/>
    <n v="1281.4000000000001"/>
    <n v="1054.1300000000001"/>
    <n v="3"/>
    <n v="3844.2000000000003"/>
    <n v="3162.3900000000003"/>
    <n v="681.81"/>
    <n v="0.17736069923521147"/>
    <x v="8"/>
    <n v="681.81"/>
  </r>
  <r>
    <d v="2022-10-02T00:00:00"/>
    <x v="6"/>
    <x v="3"/>
    <x v="0"/>
    <n v="462.66"/>
    <n v="341.94"/>
    <n v="3"/>
    <n v="1387.98"/>
    <n v="1025.82"/>
    <n v="362.16000000000008"/>
    <n v="0.26092594994164187"/>
    <x v="25"/>
    <n v="362.16000000000008"/>
  </r>
  <r>
    <d v="2023-12-07T00:00:00"/>
    <x v="9"/>
    <x v="3"/>
    <x v="2"/>
    <n v="1406.23"/>
    <n v="790.6"/>
    <n v="10"/>
    <n v="14062.3"/>
    <n v="7906"/>
    <n v="6156.2999999999993"/>
    <n v="0.4377875596452927"/>
    <x v="30"/>
    <n v="6156.2999999999993"/>
  </r>
  <r>
    <d v="2023-09-04T00:00:00"/>
    <x v="2"/>
    <x v="0"/>
    <x v="3"/>
    <n v="1527.67"/>
    <n v="1185.6600000000001"/>
    <n v="10"/>
    <n v="15276.7"/>
    <n v="11856.6"/>
    <n v="3420.1000000000004"/>
    <n v="0.22387688440566353"/>
    <x v="24"/>
    <n v="3420.1000000000004"/>
  </r>
  <r>
    <d v="2022-03-10T00:00:00"/>
    <x v="3"/>
    <x v="2"/>
    <x v="2"/>
    <n v="897.31"/>
    <n v="604.45000000000005"/>
    <n v="6"/>
    <n v="5383.86"/>
    <n v="3626.7000000000003"/>
    <n v="1757.1599999999994"/>
    <n v="0.32637550010587191"/>
    <x v="7"/>
    <n v="1757.1599999999994"/>
  </r>
  <r>
    <d v="2023-08-29T00:00:00"/>
    <x v="10"/>
    <x v="2"/>
    <x v="1"/>
    <n v="1211.46"/>
    <n v="732.26"/>
    <n v="5"/>
    <n v="6057.3"/>
    <n v="3661.3"/>
    <n v="2396"/>
    <n v="0.39555577567563105"/>
    <x v="14"/>
    <n v="2396"/>
  </r>
  <r>
    <d v="2024-06-02T00:00:00"/>
    <x v="9"/>
    <x v="3"/>
    <x v="1"/>
    <n v="1427.46"/>
    <n v="1043.05"/>
    <n v="7"/>
    <n v="9992.2200000000012"/>
    <n v="7301.3499999999995"/>
    <n v="2690.8700000000017"/>
    <n v="0.26929651268687055"/>
    <x v="4"/>
    <n v="2690.8700000000017"/>
  </r>
  <r>
    <d v="2022-10-19T00:00:00"/>
    <x v="5"/>
    <x v="3"/>
    <x v="3"/>
    <n v="1124.8599999999999"/>
    <n v="789.55"/>
    <n v="8"/>
    <n v="8998.8799999999992"/>
    <n v="6316.4"/>
    <n v="2682.4799999999996"/>
    <n v="0.29809042903116828"/>
    <x v="25"/>
    <n v="2682.4799999999996"/>
  </r>
  <r>
    <d v="2023-10-18T00:00:00"/>
    <x v="5"/>
    <x v="3"/>
    <x v="0"/>
    <n v="1847.95"/>
    <n v="1125.0899999999999"/>
    <n v="10"/>
    <n v="18479.5"/>
    <n v="11250.9"/>
    <n v="7228.6"/>
    <n v="0.39116859222381561"/>
    <x v="5"/>
    <n v="7228.6"/>
  </r>
  <r>
    <d v="2022-11-13T00:00:00"/>
    <x v="4"/>
    <x v="2"/>
    <x v="0"/>
    <n v="1636.87"/>
    <n v="1334.64"/>
    <n v="10"/>
    <n v="16368.699999999999"/>
    <n v="13346.400000000001"/>
    <n v="3022.2999999999975"/>
    <n v="0.18463897560588183"/>
    <x v="1"/>
    <n v="3022.2999999999975"/>
  </r>
  <r>
    <d v="2022-12-08T00:00:00"/>
    <x v="2"/>
    <x v="0"/>
    <x v="0"/>
    <n v="996.72"/>
    <n v="626.08000000000004"/>
    <n v="10"/>
    <n v="9967.2000000000007"/>
    <n v="6260.8"/>
    <n v="3706.4000000000005"/>
    <n v="0.37185969981539452"/>
    <x v="33"/>
    <n v="3706.4000000000005"/>
  </r>
  <r>
    <d v="2023-08-13T00:00:00"/>
    <x v="2"/>
    <x v="0"/>
    <x v="1"/>
    <n v="63.05"/>
    <n v="55.94"/>
    <n v="10"/>
    <n v="630.5"/>
    <n v="559.4"/>
    <n v="71.100000000000023"/>
    <n v="0.11276764472640764"/>
    <x v="14"/>
    <n v="71.100000000000023"/>
  </r>
  <r>
    <d v="2024-03-04T00:00:00"/>
    <x v="10"/>
    <x v="2"/>
    <x v="3"/>
    <n v="1207.24"/>
    <n v="771.02"/>
    <n v="1"/>
    <n v="1207.24"/>
    <n v="771.02"/>
    <n v="436.22"/>
    <n v="0.3613366024982605"/>
    <x v="29"/>
    <n v="436.22"/>
  </r>
  <r>
    <d v="2024-11-02T00:00:00"/>
    <x v="0"/>
    <x v="0"/>
    <x v="1"/>
    <n v="612.25"/>
    <n v="548.30999999999995"/>
    <n v="2"/>
    <n v="1224.5"/>
    <n v="1096.6199999999999"/>
    <n v="127.88000000000011"/>
    <n v="0.10443446304614137"/>
    <x v="2"/>
    <n v="127.88000000000011"/>
  </r>
  <r>
    <d v="2024-04-02T00:00:00"/>
    <x v="8"/>
    <x v="1"/>
    <x v="2"/>
    <n v="306.37"/>
    <n v="172.87"/>
    <n v="9"/>
    <n v="2757.33"/>
    <n v="1555.83"/>
    <n v="1201.5"/>
    <n v="0.43574762542024353"/>
    <x v="22"/>
    <n v="1201.5"/>
  </r>
  <r>
    <d v="2023-03-23T00:00:00"/>
    <x v="3"/>
    <x v="2"/>
    <x v="0"/>
    <n v="760.41"/>
    <n v="406.28"/>
    <n v="6"/>
    <n v="4562.46"/>
    <n v="2437.6799999999998"/>
    <n v="2124.7800000000002"/>
    <n v="0.46570928841019982"/>
    <x v="19"/>
    <n v="2124.7800000000002"/>
  </r>
  <r>
    <d v="2023-02-06T00:00:00"/>
    <x v="3"/>
    <x v="2"/>
    <x v="0"/>
    <n v="201.13"/>
    <n v="101.43"/>
    <n v="5"/>
    <n v="1005.65"/>
    <n v="507.15000000000003"/>
    <n v="498.49999999999994"/>
    <n v="0.49569929896087106"/>
    <x v="27"/>
    <n v="498.49999999999994"/>
  </r>
  <r>
    <d v="2024-10-09T00:00:00"/>
    <x v="10"/>
    <x v="2"/>
    <x v="0"/>
    <n v="1379.33"/>
    <n v="948.42"/>
    <n v="6"/>
    <n v="8275.98"/>
    <n v="5690.5199999999995"/>
    <n v="2585.46"/>
    <n v="0.31240529822450031"/>
    <x v="17"/>
    <n v="2585.46"/>
  </r>
  <r>
    <d v="2023-04-09T00:00:00"/>
    <x v="0"/>
    <x v="0"/>
    <x v="0"/>
    <n v="668.1"/>
    <n v="404.04"/>
    <n v="1"/>
    <n v="668.1"/>
    <n v="404.04"/>
    <n v="264.06"/>
    <n v="0.39524023349797932"/>
    <x v="6"/>
    <n v="264.06"/>
  </r>
  <r>
    <d v="2024-11-28T00:00:00"/>
    <x v="5"/>
    <x v="3"/>
    <x v="1"/>
    <n v="899.25"/>
    <n v="733.23"/>
    <n v="7"/>
    <n v="6294.75"/>
    <n v="5132.6100000000006"/>
    <n v="1162.1399999999994"/>
    <n v="0.18462051709758123"/>
    <x v="2"/>
    <n v="1162.1399999999994"/>
  </r>
  <r>
    <d v="2023-11-03T00:00:00"/>
    <x v="8"/>
    <x v="1"/>
    <x v="2"/>
    <n v="464.57"/>
    <n v="359.74"/>
    <n v="5"/>
    <n v="2322.85"/>
    <n v="1798.7"/>
    <n v="524.14999999999986"/>
    <n v="0.22564952536754412"/>
    <x v="10"/>
    <n v="524.14999999999986"/>
  </r>
  <r>
    <d v="2023-04-22T00:00:00"/>
    <x v="4"/>
    <x v="2"/>
    <x v="0"/>
    <n v="1671.14"/>
    <n v="1309.83"/>
    <n v="1"/>
    <n v="1671.14"/>
    <n v="1309.83"/>
    <n v="361.31000000000017"/>
    <n v="0.2162057038907573"/>
    <x v="6"/>
    <n v="361.31000000000017"/>
  </r>
  <r>
    <d v="2024-07-26T00:00:00"/>
    <x v="9"/>
    <x v="3"/>
    <x v="3"/>
    <n v="460.91"/>
    <n v="412.81"/>
    <n v="8"/>
    <n v="3687.28"/>
    <n v="3302.48"/>
    <n v="384.80000000000018"/>
    <n v="0.10435876852313905"/>
    <x v="28"/>
    <n v="384.80000000000018"/>
  </r>
  <r>
    <d v="2023-10-15T00:00:00"/>
    <x v="8"/>
    <x v="1"/>
    <x v="2"/>
    <n v="1419.18"/>
    <n v="1227.3499999999999"/>
    <n v="8"/>
    <n v="11353.44"/>
    <n v="9818.7999999999993"/>
    <n v="1534.6400000000012"/>
    <n v="0.13516960498315939"/>
    <x v="5"/>
    <n v="1534.6400000000012"/>
  </r>
  <r>
    <d v="2023-08-27T00:00:00"/>
    <x v="0"/>
    <x v="0"/>
    <x v="2"/>
    <n v="1323.75"/>
    <n v="813.85"/>
    <n v="4"/>
    <n v="5295"/>
    <n v="3255.4"/>
    <n v="2039.6"/>
    <n v="0.38519357884796979"/>
    <x v="14"/>
    <n v="2039.6"/>
  </r>
  <r>
    <d v="2022-07-24T00:00:00"/>
    <x v="8"/>
    <x v="1"/>
    <x v="0"/>
    <n v="1748.49"/>
    <n v="1169.07"/>
    <n v="7"/>
    <n v="12239.43"/>
    <n v="8183.49"/>
    <n v="4055.9400000000005"/>
    <n v="0.33138307911397841"/>
    <x v="8"/>
    <n v="4055.9400000000005"/>
  </r>
  <r>
    <d v="2024-03-07T00:00:00"/>
    <x v="4"/>
    <x v="2"/>
    <x v="1"/>
    <n v="1312.77"/>
    <n v="1047.68"/>
    <n v="10"/>
    <n v="13127.7"/>
    <n v="10476.800000000001"/>
    <n v="2650.8999999999996"/>
    <n v="0.20193179307875708"/>
    <x v="29"/>
    <n v="2650.8999999999996"/>
  </r>
  <r>
    <d v="2023-07-29T00:00:00"/>
    <x v="9"/>
    <x v="3"/>
    <x v="0"/>
    <n v="1603.25"/>
    <n v="1030.96"/>
    <n v="8"/>
    <n v="12826"/>
    <n v="8247.68"/>
    <n v="4578.32"/>
    <n v="0.35695618275378138"/>
    <x v="11"/>
    <n v="4578.32"/>
  </r>
  <r>
    <d v="2024-06-06T00:00:00"/>
    <x v="1"/>
    <x v="1"/>
    <x v="2"/>
    <n v="710.31"/>
    <n v="639.12"/>
    <n v="7"/>
    <n v="4972.17"/>
    <n v="4473.84"/>
    <n v="498.32999999999993"/>
    <n v="0.10022384592642647"/>
    <x v="4"/>
    <n v="498.32999999999993"/>
  </r>
  <r>
    <d v="2023-08-05T00:00:00"/>
    <x v="5"/>
    <x v="3"/>
    <x v="3"/>
    <n v="1976.79"/>
    <n v="1537.24"/>
    <n v="1"/>
    <n v="1976.79"/>
    <n v="1537.24"/>
    <n v="439.54999999999995"/>
    <n v="0.22235543482109885"/>
    <x v="14"/>
    <n v="439.54999999999995"/>
  </r>
  <r>
    <d v="2024-07-13T00:00:00"/>
    <x v="1"/>
    <x v="1"/>
    <x v="0"/>
    <n v="263.07"/>
    <n v="141.85"/>
    <n v="7"/>
    <n v="1841.49"/>
    <n v="992.94999999999993"/>
    <n v="848.54000000000008"/>
    <n v="0.46078990382787854"/>
    <x v="28"/>
    <n v="848.54000000000008"/>
  </r>
  <r>
    <d v="2022-03-03T00:00:00"/>
    <x v="2"/>
    <x v="0"/>
    <x v="3"/>
    <n v="1233.6199999999999"/>
    <n v="804.05"/>
    <n v="3"/>
    <n v="3700.8599999999997"/>
    <n v="2412.1499999999996"/>
    <n v="1288.71"/>
    <n v="0.34821906259626145"/>
    <x v="7"/>
    <n v="1288.71"/>
  </r>
  <r>
    <d v="2024-01-08T00:00:00"/>
    <x v="4"/>
    <x v="2"/>
    <x v="1"/>
    <n v="757.17"/>
    <n v="581.35"/>
    <n v="9"/>
    <n v="6814.53"/>
    <n v="5232.1500000000005"/>
    <n v="1582.3799999999992"/>
    <n v="0.23220676994598297"/>
    <x v="26"/>
    <n v="1582.3799999999992"/>
  </r>
  <r>
    <d v="2024-10-03T00:00:00"/>
    <x v="4"/>
    <x v="2"/>
    <x v="1"/>
    <n v="1115.73"/>
    <n v="951.6"/>
    <n v="1"/>
    <n v="1115.73"/>
    <n v="951.6"/>
    <n v="164.13"/>
    <n v="0.14710548250920921"/>
    <x v="17"/>
    <n v="164.13"/>
  </r>
  <r>
    <d v="2023-10-19T00:00:00"/>
    <x v="4"/>
    <x v="2"/>
    <x v="0"/>
    <n v="232.93"/>
    <n v="157.09"/>
    <n v="4"/>
    <n v="931.72"/>
    <n v="628.36"/>
    <n v="303.36"/>
    <n v="0.32559137938436439"/>
    <x v="5"/>
    <n v="303.36"/>
  </r>
  <r>
    <d v="2022-12-31T00:00:00"/>
    <x v="0"/>
    <x v="0"/>
    <x v="3"/>
    <n v="186.05"/>
    <n v="135.08000000000001"/>
    <n v="2"/>
    <n v="372.1"/>
    <n v="270.16000000000003"/>
    <n v="101.94"/>
    <n v="0.27395861327600107"/>
    <x v="33"/>
    <n v="101.94"/>
  </r>
  <r>
    <d v="2023-04-14T00:00:00"/>
    <x v="6"/>
    <x v="3"/>
    <x v="2"/>
    <n v="1572.93"/>
    <n v="1196.1099999999999"/>
    <n v="1"/>
    <n v="1572.93"/>
    <n v="1196.1099999999999"/>
    <n v="376.82000000000016"/>
    <n v="0.23956565136401503"/>
    <x v="6"/>
    <n v="376.82000000000016"/>
  </r>
  <r>
    <d v="2024-07-26T00:00:00"/>
    <x v="0"/>
    <x v="0"/>
    <x v="1"/>
    <n v="393.56"/>
    <n v="268.58"/>
    <n v="7"/>
    <n v="2754.92"/>
    <n v="1880.06"/>
    <n v="874.86000000000013"/>
    <n v="0.31756276044313453"/>
    <x v="28"/>
    <n v="874.86000000000013"/>
  </r>
  <r>
    <d v="2023-09-26T00:00:00"/>
    <x v="10"/>
    <x v="2"/>
    <x v="3"/>
    <n v="129.6"/>
    <n v="96.79"/>
    <n v="2"/>
    <n v="259.2"/>
    <n v="193.58"/>
    <n v="65.619999999999976"/>
    <n v="0.25316358024691349"/>
    <x v="24"/>
    <n v="65.619999999999976"/>
  </r>
  <r>
    <d v="2023-09-18T00:00:00"/>
    <x v="2"/>
    <x v="0"/>
    <x v="2"/>
    <n v="746.67"/>
    <n v="394.52"/>
    <n v="8"/>
    <n v="5973.36"/>
    <n v="3156.16"/>
    <n v="2817.2"/>
    <n v="0.47162735880643392"/>
    <x v="24"/>
    <n v="2817.2"/>
  </r>
  <r>
    <d v="2023-07-12T00:00:00"/>
    <x v="7"/>
    <x v="0"/>
    <x v="3"/>
    <n v="895.26"/>
    <n v="549.95000000000005"/>
    <n v="5"/>
    <n v="4476.3"/>
    <n v="2749.75"/>
    <n v="1726.5500000000002"/>
    <n v="0.38570917945624739"/>
    <x v="11"/>
    <n v="1726.5500000000002"/>
  </r>
  <r>
    <d v="2024-06-09T00:00:00"/>
    <x v="1"/>
    <x v="1"/>
    <x v="3"/>
    <n v="519.63"/>
    <n v="333.36"/>
    <n v="8"/>
    <n v="4157.04"/>
    <n v="2666.88"/>
    <n v="1490.1599999999999"/>
    <n v="0.35846660123549445"/>
    <x v="4"/>
    <n v="1490.1599999999999"/>
  </r>
  <r>
    <d v="2023-05-09T00:00:00"/>
    <x v="0"/>
    <x v="0"/>
    <x v="2"/>
    <n v="1846.39"/>
    <n v="1001.84"/>
    <n v="7"/>
    <n v="12924.730000000001"/>
    <n v="7012.88"/>
    <n v="5911.8500000000013"/>
    <n v="0.45740607347310164"/>
    <x v="31"/>
    <n v="5911.8500000000013"/>
  </r>
  <r>
    <d v="2023-03-27T00:00:00"/>
    <x v="4"/>
    <x v="2"/>
    <x v="1"/>
    <n v="1550.31"/>
    <n v="838.07"/>
    <n v="5"/>
    <n v="7751.5499999999993"/>
    <n v="4190.3500000000004"/>
    <n v="3561.1999999999989"/>
    <n v="0.45941779386058262"/>
    <x v="19"/>
    <n v="3561.1999999999989"/>
  </r>
  <r>
    <d v="2024-09-19T00:00:00"/>
    <x v="6"/>
    <x v="3"/>
    <x v="3"/>
    <n v="1683.19"/>
    <n v="1288.56"/>
    <n v="4"/>
    <n v="6732.76"/>
    <n v="5154.24"/>
    <n v="1578.5200000000004"/>
    <n v="0.23445362674445552"/>
    <x v="16"/>
    <n v="1578.5200000000004"/>
  </r>
  <r>
    <d v="2022-01-12T00:00:00"/>
    <x v="0"/>
    <x v="0"/>
    <x v="2"/>
    <n v="882.46"/>
    <n v="674.06"/>
    <n v="6"/>
    <n v="5294.76"/>
    <n v="4044.3599999999997"/>
    <n v="1250.4000000000005"/>
    <n v="0.23615801282777699"/>
    <x v="9"/>
    <n v="1250.4000000000005"/>
  </r>
  <r>
    <d v="2024-09-23T00:00:00"/>
    <x v="10"/>
    <x v="2"/>
    <x v="1"/>
    <n v="1177.55"/>
    <n v="850.14"/>
    <n v="9"/>
    <n v="10597.949999999999"/>
    <n v="7651.26"/>
    <n v="2946.6899999999987"/>
    <n v="0.27804339518491772"/>
    <x v="16"/>
    <n v="2946.6899999999987"/>
  </r>
  <r>
    <d v="2023-03-19T00:00:00"/>
    <x v="0"/>
    <x v="0"/>
    <x v="1"/>
    <n v="1323.57"/>
    <n v="1026.9100000000001"/>
    <n v="10"/>
    <n v="13235.699999999999"/>
    <n v="10269.1"/>
    <n v="2966.5999999999985"/>
    <n v="0.22413623759982462"/>
    <x v="19"/>
    <n v="2966.5999999999985"/>
  </r>
  <r>
    <d v="2024-09-08T00:00:00"/>
    <x v="1"/>
    <x v="1"/>
    <x v="0"/>
    <n v="91.2"/>
    <n v="74.84"/>
    <n v="10"/>
    <n v="912"/>
    <n v="748.40000000000009"/>
    <n v="163.59999999999991"/>
    <n v="0.17938596491228059"/>
    <x v="16"/>
    <n v="163.59999999999991"/>
  </r>
  <r>
    <d v="2023-03-26T00:00:00"/>
    <x v="5"/>
    <x v="3"/>
    <x v="0"/>
    <n v="1546.24"/>
    <n v="1183.05"/>
    <n v="2"/>
    <n v="3092.48"/>
    <n v="2366.1"/>
    <n v="726.38000000000011"/>
    <n v="0.2348859168046358"/>
    <x v="19"/>
    <n v="726.38000000000011"/>
  </r>
  <r>
    <d v="2024-10-16T00:00:00"/>
    <x v="2"/>
    <x v="0"/>
    <x v="1"/>
    <n v="1857.2"/>
    <n v="1099.7"/>
    <n v="7"/>
    <n v="13000.4"/>
    <n v="7697.9000000000005"/>
    <n v="5302.4999999999991"/>
    <n v="0.4078720654749084"/>
    <x v="17"/>
    <n v="5302.4999999999991"/>
  </r>
  <r>
    <d v="2024-11-26T00:00:00"/>
    <x v="2"/>
    <x v="0"/>
    <x v="2"/>
    <n v="1987.57"/>
    <n v="1533.64"/>
    <n v="6"/>
    <n v="11925.42"/>
    <n v="9201.84"/>
    <n v="2723.58"/>
    <n v="0.22838440910257249"/>
    <x v="2"/>
    <n v="2723.58"/>
  </r>
  <r>
    <d v="2022-09-18T00:00:00"/>
    <x v="6"/>
    <x v="3"/>
    <x v="2"/>
    <n v="445.07"/>
    <n v="257.01"/>
    <n v="3"/>
    <n v="1335.21"/>
    <n v="771.03"/>
    <n v="564.18000000000006"/>
    <n v="0.42254027456355181"/>
    <x v="12"/>
    <n v="564.18000000000006"/>
  </r>
  <r>
    <d v="2022-06-06T00:00:00"/>
    <x v="7"/>
    <x v="0"/>
    <x v="3"/>
    <n v="71.37"/>
    <n v="48.22"/>
    <n v="8"/>
    <n v="570.96"/>
    <n v="385.76"/>
    <n v="185.20000000000005"/>
    <n v="0.32436598010368506"/>
    <x v="18"/>
    <n v="185.20000000000005"/>
  </r>
  <r>
    <d v="2022-12-05T00:00:00"/>
    <x v="2"/>
    <x v="0"/>
    <x v="3"/>
    <n v="90"/>
    <n v="64.010000000000005"/>
    <n v="4"/>
    <n v="360"/>
    <n v="256.04000000000002"/>
    <n v="103.95999999999998"/>
    <n v="0.28877777777777774"/>
    <x v="33"/>
    <n v="103.95999999999998"/>
  </r>
  <r>
    <d v="2024-01-02T00:00:00"/>
    <x v="0"/>
    <x v="0"/>
    <x v="0"/>
    <n v="1596.74"/>
    <n v="1364.82"/>
    <n v="6"/>
    <n v="9580.44"/>
    <n v="8188.92"/>
    <n v="1391.5200000000004"/>
    <n v="0.14524593859989732"/>
    <x v="26"/>
    <n v="1391.5200000000004"/>
  </r>
  <r>
    <d v="2024-08-29T00:00:00"/>
    <x v="0"/>
    <x v="0"/>
    <x v="3"/>
    <n v="1267.8900000000001"/>
    <n v="1109.05"/>
    <n v="10"/>
    <n v="12678.900000000001"/>
    <n v="11090.5"/>
    <n v="1588.4000000000015"/>
    <n v="0.12527900685390697"/>
    <x v="21"/>
    <n v="1588.4000000000015"/>
  </r>
  <r>
    <d v="2024-11-29T00:00:00"/>
    <x v="1"/>
    <x v="1"/>
    <x v="1"/>
    <n v="477.92"/>
    <n v="395.22"/>
    <n v="6"/>
    <n v="2867.52"/>
    <n v="2371.3200000000002"/>
    <n v="496.19999999999982"/>
    <n v="0.17304151322397049"/>
    <x v="2"/>
    <n v="496.19999999999982"/>
  </r>
  <r>
    <d v="2024-04-08T00:00:00"/>
    <x v="7"/>
    <x v="0"/>
    <x v="3"/>
    <n v="442.95"/>
    <n v="318.81"/>
    <n v="1"/>
    <n v="442.95"/>
    <n v="318.81"/>
    <n v="124.13999999999999"/>
    <n v="0.28025736539112767"/>
    <x v="22"/>
    <n v="124.13999999999999"/>
  </r>
  <r>
    <d v="2022-04-23T00:00:00"/>
    <x v="2"/>
    <x v="0"/>
    <x v="0"/>
    <n v="1688.03"/>
    <n v="881.99"/>
    <n v="3"/>
    <n v="5064.09"/>
    <n v="2645.9700000000003"/>
    <n v="2418.12"/>
    <n v="0.4775033619070751"/>
    <x v="32"/>
    <n v="2418.12"/>
  </r>
  <r>
    <d v="2024-11-27T00:00:00"/>
    <x v="0"/>
    <x v="0"/>
    <x v="2"/>
    <n v="1340.88"/>
    <n v="784.98"/>
    <n v="1"/>
    <n v="1340.88"/>
    <n v="784.98"/>
    <n v="555.90000000000009"/>
    <n v="0.4145784857705388"/>
    <x v="2"/>
    <n v="555.90000000000009"/>
  </r>
  <r>
    <d v="2023-12-28T00:00:00"/>
    <x v="4"/>
    <x v="2"/>
    <x v="1"/>
    <n v="1792.42"/>
    <n v="1085.75"/>
    <n v="3"/>
    <n v="5377.26"/>
    <n v="3257.25"/>
    <n v="2120.0100000000002"/>
    <n v="0.39425469477019898"/>
    <x v="30"/>
    <n v="2120.0100000000002"/>
  </r>
  <r>
    <d v="2023-04-21T00:00:00"/>
    <x v="0"/>
    <x v="0"/>
    <x v="1"/>
    <n v="770.2"/>
    <n v="425.44"/>
    <n v="2"/>
    <n v="1540.4"/>
    <n v="850.88"/>
    <n v="689.5200000000001"/>
    <n v="0.44762399376785256"/>
    <x v="6"/>
    <n v="689.5200000000001"/>
  </r>
  <r>
    <d v="2024-09-28T00:00:00"/>
    <x v="8"/>
    <x v="1"/>
    <x v="2"/>
    <n v="259.3"/>
    <n v="202.29"/>
    <n v="9"/>
    <n v="2333.7000000000003"/>
    <n v="1820.61"/>
    <n v="513.09000000000037"/>
    <n v="0.21986116467412278"/>
    <x v="16"/>
    <n v="513.09000000000037"/>
  </r>
  <r>
    <d v="2024-04-14T00:00:00"/>
    <x v="6"/>
    <x v="3"/>
    <x v="1"/>
    <n v="119.25"/>
    <n v="66.44"/>
    <n v="7"/>
    <n v="834.75"/>
    <n v="465.08"/>
    <n v="369.67"/>
    <n v="0.4428511530398323"/>
    <x v="22"/>
    <n v="369.67"/>
  </r>
  <r>
    <d v="2024-06-26T00:00:00"/>
    <x v="1"/>
    <x v="1"/>
    <x v="2"/>
    <n v="272.44"/>
    <n v="147.91"/>
    <n v="2"/>
    <n v="544.88"/>
    <n v="295.82"/>
    <n v="249.06"/>
    <n v="0.45709146968139774"/>
    <x v="4"/>
    <n v="249.06"/>
  </r>
  <r>
    <d v="2023-07-08T00:00:00"/>
    <x v="9"/>
    <x v="3"/>
    <x v="1"/>
    <n v="832.38"/>
    <n v="531.5"/>
    <n v="9"/>
    <n v="7491.42"/>
    <n v="4783.5"/>
    <n v="2707.92"/>
    <n v="0.36146952113217523"/>
    <x v="11"/>
    <n v="2707.92"/>
  </r>
  <r>
    <d v="2024-07-03T00:00:00"/>
    <x v="5"/>
    <x v="3"/>
    <x v="0"/>
    <n v="1508.92"/>
    <n v="807.26"/>
    <n v="8"/>
    <n v="12071.36"/>
    <n v="6458.08"/>
    <n v="5613.2800000000007"/>
    <n v="0.46500808525302867"/>
    <x v="28"/>
    <n v="5613.2800000000007"/>
  </r>
  <r>
    <d v="2023-09-13T00:00:00"/>
    <x v="1"/>
    <x v="1"/>
    <x v="1"/>
    <n v="55.43"/>
    <n v="29.03"/>
    <n v="6"/>
    <n v="332.58"/>
    <n v="174.18"/>
    <n v="158.39999999999998"/>
    <n v="0.47627638462926208"/>
    <x v="24"/>
    <n v="158.39999999999998"/>
  </r>
  <r>
    <d v="2022-07-05T00:00:00"/>
    <x v="7"/>
    <x v="0"/>
    <x v="0"/>
    <n v="1396.43"/>
    <n v="1085.81"/>
    <n v="9"/>
    <n v="12567.87"/>
    <n v="9772.2899999999991"/>
    <n v="2795.5800000000017"/>
    <n v="0.22243864712158876"/>
    <x v="8"/>
    <n v="2795.5800000000017"/>
  </r>
  <r>
    <d v="2024-03-06T00:00:00"/>
    <x v="2"/>
    <x v="0"/>
    <x v="3"/>
    <n v="961.71"/>
    <n v="605.24"/>
    <n v="2"/>
    <n v="1923.42"/>
    <n v="1210.48"/>
    <n v="712.94"/>
    <n v="0.37066267377899786"/>
    <x v="29"/>
    <n v="712.94"/>
  </r>
  <r>
    <d v="2023-09-10T00:00:00"/>
    <x v="5"/>
    <x v="3"/>
    <x v="3"/>
    <n v="1887.07"/>
    <n v="1016.06"/>
    <n v="8"/>
    <n v="15096.56"/>
    <n v="8128.48"/>
    <n v="6968.08"/>
    <n v="0.46156740343495473"/>
    <x v="24"/>
    <n v="6968.08"/>
  </r>
  <r>
    <d v="2024-05-06T00:00:00"/>
    <x v="10"/>
    <x v="2"/>
    <x v="3"/>
    <n v="1474.54"/>
    <n v="1144.78"/>
    <n v="5"/>
    <n v="7372.7"/>
    <n v="5723.9"/>
    <n v="1648.8000000000002"/>
    <n v="0.22363584575528642"/>
    <x v="3"/>
    <n v="1648.8000000000002"/>
  </r>
  <r>
    <d v="2023-12-13T00:00:00"/>
    <x v="7"/>
    <x v="0"/>
    <x v="0"/>
    <n v="1888.52"/>
    <n v="1339.7"/>
    <n v="7"/>
    <n v="13219.64"/>
    <n v="9377.9"/>
    <n v="3841.74"/>
    <n v="0.29060851884014993"/>
    <x v="30"/>
    <n v="3841.74"/>
  </r>
  <r>
    <d v="2023-08-29T00:00:00"/>
    <x v="5"/>
    <x v="3"/>
    <x v="1"/>
    <n v="972.66"/>
    <n v="512.22"/>
    <n v="10"/>
    <n v="9726.6"/>
    <n v="5122.2000000000007"/>
    <n v="4604.3999999999996"/>
    <n v="0.47338227129726723"/>
    <x v="14"/>
    <n v="4604.3999999999996"/>
  </r>
  <r>
    <d v="2022-06-10T00:00:00"/>
    <x v="4"/>
    <x v="2"/>
    <x v="3"/>
    <n v="1428.26"/>
    <n v="1154.57"/>
    <n v="10"/>
    <n v="14282.6"/>
    <n v="11545.699999999999"/>
    <n v="2736.9000000000015"/>
    <n v="0.19162477420077587"/>
    <x v="18"/>
    <n v="2736.9000000000015"/>
  </r>
  <r>
    <d v="2022-10-21T00:00:00"/>
    <x v="5"/>
    <x v="3"/>
    <x v="0"/>
    <n v="396.7"/>
    <n v="309.06"/>
    <n v="8"/>
    <n v="3173.6"/>
    <n v="2472.48"/>
    <n v="701.11999999999989"/>
    <n v="0.22092261154524828"/>
    <x v="25"/>
    <n v="701.11999999999989"/>
  </r>
  <r>
    <d v="2023-11-15T00:00:00"/>
    <x v="4"/>
    <x v="2"/>
    <x v="3"/>
    <n v="1200.1400000000001"/>
    <n v="896.95"/>
    <n v="1"/>
    <n v="1200.1400000000001"/>
    <n v="896.95"/>
    <n v="303.19000000000005"/>
    <n v="0.25262885996633727"/>
    <x v="10"/>
    <n v="303.19000000000005"/>
  </r>
  <r>
    <d v="2023-07-26T00:00:00"/>
    <x v="7"/>
    <x v="0"/>
    <x v="2"/>
    <n v="1398.77"/>
    <n v="837.02"/>
    <n v="9"/>
    <n v="12588.93"/>
    <n v="7533.18"/>
    <n v="5055.75"/>
    <n v="0.40160283677802638"/>
    <x v="11"/>
    <n v="5055.75"/>
  </r>
  <r>
    <d v="2024-09-08T00:00:00"/>
    <x v="6"/>
    <x v="3"/>
    <x v="2"/>
    <n v="977.72"/>
    <n v="583.77"/>
    <n v="2"/>
    <n v="1955.44"/>
    <n v="1167.54"/>
    <n v="787.90000000000009"/>
    <n v="0.40292721842654344"/>
    <x v="16"/>
    <n v="787.90000000000009"/>
  </r>
  <r>
    <d v="2024-03-20T00:00:00"/>
    <x v="0"/>
    <x v="0"/>
    <x v="2"/>
    <n v="731.89"/>
    <n v="620.66"/>
    <n v="10"/>
    <n v="7318.9"/>
    <n v="6206.5999999999995"/>
    <n v="1112.3000000000002"/>
    <n v="0.15197638989465634"/>
    <x v="29"/>
    <n v="1112.3000000000002"/>
  </r>
  <r>
    <d v="2022-01-15T00:00:00"/>
    <x v="8"/>
    <x v="1"/>
    <x v="2"/>
    <n v="514.36"/>
    <n v="258.14"/>
    <n v="6"/>
    <n v="3086.16"/>
    <n v="1548.84"/>
    <n v="1537.32"/>
    <n v="0.49813360292402209"/>
    <x v="9"/>
    <n v="1537.32"/>
  </r>
  <r>
    <d v="2023-03-22T00:00:00"/>
    <x v="1"/>
    <x v="1"/>
    <x v="2"/>
    <n v="728.8"/>
    <n v="578.70000000000005"/>
    <n v="4"/>
    <n v="2915.2"/>
    <n v="2314.8000000000002"/>
    <n v="600.39999999999964"/>
    <n v="0.20595499451152569"/>
    <x v="19"/>
    <n v="600.39999999999964"/>
  </r>
  <r>
    <d v="2022-06-18T00:00:00"/>
    <x v="2"/>
    <x v="0"/>
    <x v="3"/>
    <n v="635.74"/>
    <n v="333.96"/>
    <n v="3"/>
    <n v="1907.22"/>
    <n v="1001.8799999999999"/>
    <n v="905.34000000000015"/>
    <n v="0.47469091137886565"/>
    <x v="18"/>
    <n v="905.34000000000015"/>
  </r>
  <r>
    <d v="2024-01-30T00:00:00"/>
    <x v="1"/>
    <x v="1"/>
    <x v="3"/>
    <n v="51.32"/>
    <n v="35.08"/>
    <n v="9"/>
    <n v="461.88"/>
    <n v="315.71999999999997"/>
    <n v="146.16000000000003"/>
    <n v="0.31644583008573662"/>
    <x v="26"/>
    <n v="146.16000000000003"/>
  </r>
  <r>
    <d v="2023-02-25T00:00:00"/>
    <x v="9"/>
    <x v="3"/>
    <x v="1"/>
    <n v="345.85"/>
    <n v="277.18"/>
    <n v="6"/>
    <n v="2075.1000000000004"/>
    <n v="1663.08"/>
    <n v="412.02000000000044"/>
    <n v="0.19855428654040785"/>
    <x v="27"/>
    <n v="412.02000000000044"/>
  </r>
  <r>
    <d v="2022-06-06T00:00:00"/>
    <x v="8"/>
    <x v="1"/>
    <x v="3"/>
    <n v="1978.7"/>
    <n v="1584.44"/>
    <n v="7"/>
    <n v="13850.9"/>
    <n v="11091.08"/>
    <n v="2759.8199999999997"/>
    <n v="0.19925203416384493"/>
    <x v="18"/>
    <n v="2759.8199999999997"/>
  </r>
  <r>
    <d v="2024-04-21T00:00:00"/>
    <x v="0"/>
    <x v="0"/>
    <x v="3"/>
    <n v="310.52999999999997"/>
    <n v="252.84"/>
    <n v="4"/>
    <n v="1242.1199999999999"/>
    <n v="1011.36"/>
    <n v="230.75999999999988"/>
    <n v="0.18577915177277549"/>
    <x v="22"/>
    <n v="230.75999999999988"/>
  </r>
  <r>
    <d v="2023-11-14T00:00:00"/>
    <x v="3"/>
    <x v="2"/>
    <x v="1"/>
    <n v="1270.4000000000001"/>
    <n v="951.87"/>
    <n v="4"/>
    <n v="5081.6000000000004"/>
    <n v="3807.48"/>
    <n v="1274.1200000000003"/>
    <n v="0.25073205289672551"/>
    <x v="10"/>
    <n v="1274.1200000000003"/>
  </r>
  <r>
    <d v="2022-09-03T00:00:00"/>
    <x v="4"/>
    <x v="2"/>
    <x v="0"/>
    <n v="1440.37"/>
    <n v="965.15"/>
    <n v="4"/>
    <n v="5761.48"/>
    <n v="3860.6"/>
    <n v="1900.8799999999997"/>
    <n v="0.3299291154356172"/>
    <x v="12"/>
    <n v="1900.8799999999997"/>
  </r>
  <r>
    <d v="2022-09-27T00:00:00"/>
    <x v="6"/>
    <x v="3"/>
    <x v="2"/>
    <n v="1643.19"/>
    <n v="1099.18"/>
    <n v="10"/>
    <n v="16431.900000000001"/>
    <n v="10991.800000000001"/>
    <n v="5440.1"/>
    <n v="0.33106944419087264"/>
    <x v="12"/>
    <n v="5440.1"/>
  </r>
  <r>
    <d v="2023-01-26T00:00:00"/>
    <x v="0"/>
    <x v="0"/>
    <x v="3"/>
    <n v="1253.99"/>
    <n v="713.32"/>
    <n v="4"/>
    <n v="5015.96"/>
    <n v="2853.28"/>
    <n v="2162.6799999999998"/>
    <n v="0.43115973811593389"/>
    <x v="13"/>
    <n v="2162.6799999999998"/>
  </r>
  <r>
    <d v="2022-03-15T00:00:00"/>
    <x v="10"/>
    <x v="2"/>
    <x v="2"/>
    <n v="1080.98"/>
    <n v="544.49"/>
    <n v="1"/>
    <n v="1080.98"/>
    <n v="544.49"/>
    <n v="536.49"/>
    <n v="0.49629965401765064"/>
    <x v="7"/>
    <n v="536.49"/>
  </r>
  <r>
    <d v="2022-09-29T00:00:00"/>
    <x v="0"/>
    <x v="0"/>
    <x v="0"/>
    <n v="1697.2"/>
    <n v="1035.8699999999999"/>
    <n v="2"/>
    <n v="3394.4"/>
    <n v="2071.7399999999998"/>
    <n v="1322.6600000000003"/>
    <n v="0.38965943907612549"/>
    <x v="12"/>
    <n v="1322.6600000000003"/>
  </r>
  <r>
    <d v="2024-06-29T00:00:00"/>
    <x v="1"/>
    <x v="1"/>
    <x v="0"/>
    <n v="259.38"/>
    <n v="224.25"/>
    <n v="3"/>
    <n v="778.14"/>
    <n v="672.75"/>
    <n v="105.38999999999999"/>
    <n v="0.13543835299560489"/>
    <x v="4"/>
    <n v="105.38999999999999"/>
  </r>
  <r>
    <d v="2024-07-19T00:00:00"/>
    <x v="2"/>
    <x v="0"/>
    <x v="1"/>
    <n v="857.1"/>
    <n v="578.89"/>
    <n v="8"/>
    <n v="6856.8"/>
    <n v="4631.12"/>
    <n v="2225.6800000000003"/>
    <n v="0.32459456306148643"/>
    <x v="28"/>
    <n v="2225.6800000000003"/>
  </r>
  <r>
    <d v="2024-09-23T00:00:00"/>
    <x v="2"/>
    <x v="0"/>
    <x v="2"/>
    <n v="383.57"/>
    <n v="217.65"/>
    <n v="8"/>
    <n v="3068.56"/>
    <n v="1741.2"/>
    <n v="1327.36"/>
    <n v="0.43256771906040614"/>
    <x v="16"/>
    <n v="1327.36"/>
  </r>
  <r>
    <d v="2024-06-14T00:00:00"/>
    <x v="1"/>
    <x v="1"/>
    <x v="1"/>
    <n v="1548.33"/>
    <n v="1355.86"/>
    <n v="8"/>
    <n v="12386.64"/>
    <n v="10846.88"/>
    <n v="1539.7600000000002"/>
    <n v="0.12430812552879557"/>
    <x v="4"/>
    <n v="1539.7600000000002"/>
  </r>
  <r>
    <d v="2022-05-24T00:00:00"/>
    <x v="4"/>
    <x v="2"/>
    <x v="2"/>
    <n v="812.87"/>
    <n v="503.85"/>
    <n v="10"/>
    <n v="8128.7"/>
    <n v="5038.5"/>
    <n v="3090.2"/>
    <n v="0.38015918904621893"/>
    <x v="35"/>
    <n v="3090.2"/>
  </r>
  <r>
    <d v="2022-04-29T00:00:00"/>
    <x v="7"/>
    <x v="0"/>
    <x v="1"/>
    <n v="1236.8499999999999"/>
    <n v="834.5"/>
    <n v="1"/>
    <n v="1236.8499999999999"/>
    <n v="834.5"/>
    <n v="402.34999999999991"/>
    <n v="0.32530217892226215"/>
    <x v="32"/>
    <n v="402.34999999999991"/>
  </r>
  <r>
    <d v="2023-01-17T00:00:00"/>
    <x v="2"/>
    <x v="0"/>
    <x v="3"/>
    <n v="132.03"/>
    <n v="69.98"/>
    <n v="4"/>
    <n v="528.12"/>
    <n v="279.92"/>
    <n v="248.2"/>
    <n v="0.46996894645156401"/>
    <x v="13"/>
    <n v="248.2"/>
  </r>
  <r>
    <d v="2022-01-11T00:00:00"/>
    <x v="8"/>
    <x v="1"/>
    <x v="2"/>
    <n v="1659.81"/>
    <n v="1377.79"/>
    <n v="10"/>
    <n v="16598.099999999999"/>
    <n v="13777.9"/>
    <n v="2820.1999999999989"/>
    <n v="0.16991101391123076"/>
    <x v="9"/>
    <n v="2820.1999999999989"/>
  </r>
  <r>
    <d v="2023-05-24T00:00:00"/>
    <x v="7"/>
    <x v="0"/>
    <x v="3"/>
    <n v="607.11"/>
    <n v="510.45"/>
    <n v="1"/>
    <n v="607.11"/>
    <n v="510.45"/>
    <n v="96.660000000000025"/>
    <n v="0.15921332213272721"/>
    <x v="31"/>
    <n v="96.660000000000025"/>
  </r>
  <r>
    <d v="2023-03-06T00:00:00"/>
    <x v="6"/>
    <x v="3"/>
    <x v="1"/>
    <n v="743.19"/>
    <n v="483.14"/>
    <n v="10"/>
    <n v="7431.9000000000005"/>
    <n v="4831.3999999999996"/>
    <n v="2600.5000000000009"/>
    <n v="0.34991052086276736"/>
    <x v="19"/>
    <n v="2600.5000000000009"/>
  </r>
  <r>
    <d v="2023-07-16T00:00:00"/>
    <x v="9"/>
    <x v="3"/>
    <x v="0"/>
    <n v="144.15"/>
    <n v="78.47"/>
    <n v="8"/>
    <n v="1153.2"/>
    <n v="627.76"/>
    <n v="525.44000000000005"/>
    <n v="0.45563648976760324"/>
    <x v="11"/>
    <n v="525.44000000000005"/>
  </r>
  <r>
    <d v="2022-04-13T00:00:00"/>
    <x v="10"/>
    <x v="2"/>
    <x v="2"/>
    <n v="1046.01"/>
    <n v="852.24"/>
    <n v="8"/>
    <n v="8368.08"/>
    <n v="6817.92"/>
    <n v="1550.1599999999999"/>
    <n v="0.18524679496371926"/>
    <x v="32"/>
    <n v="1550.1599999999999"/>
  </r>
  <r>
    <d v="2024-05-06T00:00:00"/>
    <x v="2"/>
    <x v="0"/>
    <x v="3"/>
    <n v="1655.37"/>
    <n v="1469.43"/>
    <n v="8"/>
    <n v="13242.96"/>
    <n v="11755.44"/>
    <n v="1487.5199999999986"/>
    <n v="0.11232534116239865"/>
    <x v="3"/>
    <n v="1487.5199999999986"/>
  </r>
  <r>
    <d v="2022-03-19T00:00:00"/>
    <x v="0"/>
    <x v="0"/>
    <x v="3"/>
    <n v="908.43"/>
    <n v="603.88"/>
    <n v="5"/>
    <n v="4542.1499999999996"/>
    <n v="3019.4"/>
    <n v="1522.7499999999995"/>
    <n v="0.33524872582367371"/>
    <x v="7"/>
    <n v="1522.7499999999995"/>
  </r>
  <r>
    <d v="2024-03-15T00:00:00"/>
    <x v="7"/>
    <x v="0"/>
    <x v="0"/>
    <n v="1969.88"/>
    <n v="1572.94"/>
    <n v="1"/>
    <n v="1969.88"/>
    <n v="1572.94"/>
    <n v="396.94000000000005"/>
    <n v="0.20150466018234614"/>
    <x v="29"/>
    <n v="396.94000000000005"/>
  </r>
  <r>
    <d v="2023-12-26T00:00:00"/>
    <x v="6"/>
    <x v="3"/>
    <x v="1"/>
    <n v="1558.93"/>
    <n v="1116.58"/>
    <n v="6"/>
    <n v="9353.58"/>
    <n v="6699.48"/>
    <n v="2654.1000000000004"/>
    <n v="0.28375231729455463"/>
    <x v="30"/>
    <n v="2654.1000000000004"/>
  </r>
  <r>
    <d v="2023-02-13T00:00:00"/>
    <x v="0"/>
    <x v="0"/>
    <x v="0"/>
    <n v="345.48"/>
    <n v="230.17"/>
    <n v="9"/>
    <n v="3109.32"/>
    <n v="2071.5299999999997"/>
    <n v="1037.7900000000004"/>
    <n v="0.33376751186754672"/>
    <x v="27"/>
    <n v="1037.7900000000004"/>
  </r>
  <r>
    <d v="2023-05-20T00:00:00"/>
    <x v="2"/>
    <x v="0"/>
    <x v="2"/>
    <n v="583.87"/>
    <n v="349.35"/>
    <n v="1"/>
    <n v="583.87"/>
    <n v="349.35"/>
    <n v="234.51999999999998"/>
    <n v="0.40166475414047642"/>
    <x v="31"/>
    <n v="234.51999999999998"/>
  </r>
  <r>
    <d v="2023-02-06T00:00:00"/>
    <x v="7"/>
    <x v="0"/>
    <x v="0"/>
    <n v="1050.5"/>
    <n v="703.28"/>
    <n v="9"/>
    <n v="9454.5"/>
    <n v="6329.5199999999995"/>
    <n v="3124.9800000000005"/>
    <n v="0.3305283198476916"/>
    <x v="27"/>
    <n v="3124.9800000000005"/>
  </r>
  <r>
    <d v="2022-03-20T00:00:00"/>
    <x v="2"/>
    <x v="0"/>
    <x v="1"/>
    <n v="401.32"/>
    <n v="293.98"/>
    <n v="4"/>
    <n v="1605.28"/>
    <n v="1175.92"/>
    <n v="429.3599999999999"/>
    <n v="0.26746735771952551"/>
    <x v="7"/>
    <n v="429.3599999999999"/>
  </r>
  <r>
    <d v="2022-05-03T00:00:00"/>
    <x v="9"/>
    <x v="3"/>
    <x v="1"/>
    <n v="256.88"/>
    <n v="161.41"/>
    <n v="10"/>
    <n v="2568.8000000000002"/>
    <n v="1614.1"/>
    <n v="954.70000000000027"/>
    <n v="0.37165213329180946"/>
    <x v="35"/>
    <n v="954.70000000000027"/>
  </r>
  <r>
    <d v="2022-12-06T00:00:00"/>
    <x v="6"/>
    <x v="3"/>
    <x v="1"/>
    <n v="1167.74"/>
    <n v="596.29"/>
    <n v="10"/>
    <n v="11677.4"/>
    <n v="5962.9"/>
    <n v="5714.5"/>
    <n v="0.48936407076917809"/>
    <x v="33"/>
    <n v="5714.5"/>
  </r>
  <r>
    <d v="2024-02-03T00:00:00"/>
    <x v="7"/>
    <x v="0"/>
    <x v="0"/>
    <n v="1007.7"/>
    <n v="777.54"/>
    <n v="5"/>
    <n v="5038.5"/>
    <n v="3887.7"/>
    <n v="1150.8000000000002"/>
    <n v="0.22840130991366481"/>
    <x v="34"/>
    <n v="1150.8000000000002"/>
  </r>
  <r>
    <d v="2023-06-17T00:00:00"/>
    <x v="0"/>
    <x v="0"/>
    <x v="0"/>
    <n v="1706.91"/>
    <n v="1298.08"/>
    <n v="6"/>
    <n v="10241.460000000001"/>
    <n v="7788.48"/>
    <n v="2452.9800000000014"/>
    <n v="0.23951467857121944"/>
    <x v="0"/>
    <n v="2452.9800000000014"/>
  </r>
  <r>
    <d v="2022-07-25T00:00:00"/>
    <x v="9"/>
    <x v="3"/>
    <x v="1"/>
    <n v="1167.67"/>
    <n v="773.59"/>
    <n v="5"/>
    <n v="5838.35"/>
    <n v="3867.9500000000003"/>
    <n v="1970.4"/>
    <n v="0.33749261349525123"/>
    <x v="8"/>
    <n v="1970.4"/>
  </r>
  <r>
    <d v="2022-06-16T00:00:00"/>
    <x v="3"/>
    <x v="2"/>
    <x v="0"/>
    <n v="822.04"/>
    <n v="551.04999999999995"/>
    <n v="10"/>
    <n v="8220.4"/>
    <n v="5510.5"/>
    <n v="2709.8999999999996"/>
    <n v="0.32965549121697241"/>
    <x v="18"/>
    <n v="2709.8999999999996"/>
  </r>
  <r>
    <d v="2023-06-22T00:00:00"/>
    <x v="5"/>
    <x v="3"/>
    <x v="3"/>
    <n v="1753.69"/>
    <n v="1528.59"/>
    <n v="7"/>
    <n v="12275.83"/>
    <n v="10700.13"/>
    <n v="1575.7000000000007"/>
    <n v="0.12835791958670009"/>
    <x v="0"/>
    <n v="1575.7000000000007"/>
  </r>
  <r>
    <d v="2024-05-09T00:00:00"/>
    <x v="4"/>
    <x v="2"/>
    <x v="2"/>
    <n v="1048.1500000000001"/>
    <n v="903.16"/>
    <n v="2"/>
    <n v="2096.3000000000002"/>
    <n v="1806.32"/>
    <n v="289.98000000000025"/>
    <n v="0.13832943758049909"/>
    <x v="3"/>
    <n v="289.98000000000025"/>
  </r>
  <r>
    <d v="2023-03-29T00:00:00"/>
    <x v="7"/>
    <x v="0"/>
    <x v="2"/>
    <n v="1177.75"/>
    <n v="645.09"/>
    <n v="7"/>
    <n v="8244.25"/>
    <n v="4515.63"/>
    <n v="3728.62"/>
    <n v="0.45226915729144557"/>
    <x v="19"/>
    <n v="3728.62"/>
  </r>
  <r>
    <d v="2022-06-24T00:00:00"/>
    <x v="6"/>
    <x v="3"/>
    <x v="3"/>
    <n v="1249.48"/>
    <n v="991.53"/>
    <n v="9"/>
    <n v="11245.32"/>
    <n v="8923.77"/>
    <n v="2321.5499999999993"/>
    <n v="0.2064458814866984"/>
    <x v="18"/>
    <n v="2321.5499999999993"/>
  </r>
  <r>
    <d v="2024-05-29T00:00:00"/>
    <x v="5"/>
    <x v="3"/>
    <x v="1"/>
    <n v="95.41"/>
    <n v="69.02"/>
    <n v="7"/>
    <n v="667.87"/>
    <n v="483.14"/>
    <n v="184.73000000000002"/>
    <n v="0.27659574468085107"/>
    <x v="3"/>
    <n v="184.73000000000002"/>
  </r>
  <r>
    <d v="2024-06-18T00:00:00"/>
    <x v="8"/>
    <x v="1"/>
    <x v="2"/>
    <n v="1344.58"/>
    <n v="1068.26"/>
    <n v="7"/>
    <n v="9412.06"/>
    <n v="7477.82"/>
    <n v="1934.2399999999998"/>
    <n v="0.20550655223192371"/>
    <x v="4"/>
    <n v="1934.2399999999998"/>
  </r>
  <r>
    <d v="2022-09-18T00:00:00"/>
    <x v="0"/>
    <x v="0"/>
    <x v="1"/>
    <n v="1552.55"/>
    <n v="1214.02"/>
    <n v="5"/>
    <n v="7762.75"/>
    <n v="6070.1"/>
    <n v="1692.6499999999996"/>
    <n v="0.21804772793146754"/>
    <x v="12"/>
    <n v="1692.6499999999996"/>
  </r>
  <r>
    <d v="2024-01-31T00:00:00"/>
    <x v="7"/>
    <x v="0"/>
    <x v="0"/>
    <n v="1709.38"/>
    <n v="902.13"/>
    <n v="1"/>
    <n v="1709.38"/>
    <n v="902.13"/>
    <n v="807.25000000000011"/>
    <n v="0.47224724754004377"/>
    <x v="26"/>
    <n v="807.25000000000011"/>
  </r>
  <r>
    <d v="2022-02-02T00:00:00"/>
    <x v="3"/>
    <x v="2"/>
    <x v="2"/>
    <n v="1462.64"/>
    <n v="1240.02"/>
    <n v="8"/>
    <n v="11701.12"/>
    <n v="9920.16"/>
    <n v="1780.9600000000009"/>
    <n v="0.15220423344090145"/>
    <x v="20"/>
    <n v="1780.9600000000009"/>
  </r>
  <r>
    <d v="2023-02-24T00:00:00"/>
    <x v="3"/>
    <x v="2"/>
    <x v="3"/>
    <n v="40.81"/>
    <n v="31.2"/>
    <n v="3"/>
    <n v="122.43"/>
    <n v="93.6"/>
    <n v="28.830000000000013"/>
    <n v="0.23548149963244311"/>
    <x v="27"/>
    <n v="28.830000000000013"/>
  </r>
  <r>
    <d v="2024-06-22T00:00:00"/>
    <x v="5"/>
    <x v="3"/>
    <x v="1"/>
    <n v="115.98"/>
    <n v="79.650000000000006"/>
    <n v="5"/>
    <n v="579.9"/>
    <n v="398.25"/>
    <n v="181.64999999999998"/>
    <n v="0.31324366270046555"/>
    <x v="4"/>
    <n v="181.64999999999998"/>
  </r>
  <r>
    <d v="2024-12-11T00:00:00"/>
    <x v="7"/>
    <x v="0"/>
    <x v="0"/>
    <n v="1013.84"/>
    <n v="620.41999999999996"/>
    <n v="3"/>
    <n v="3041.52"/>
    <n v="1861.2599999999998"/>
    <n v="1180.2600000000002"/>
    <n v="0.3880493963544544"/>
    <x v="23"/>
    <n v="1180.2600000000002"/>
  </r>
  <r>
    <d v="2023-08-13T00:00:00"/>
    <x v="0"/>
    <x v="0"/>
    <x v="3"/>
    <n v="1837.42"/>
    <n v="1495.72"/>
    <n v="8"/>
    <n v="14699.36"/>
    <n v="11965.76"/>
    <n v="2733.6000000000004"/>
    <n v="0.18596728020811792"/>
    <x v="14"/>
    <n v="2733.6000000000004"/>
  </r>
  <r>
    <d v="2024-07-09T00:00:00"/>
    <x v="4"/>
    <x v="2"/>
    <x v="1"/>
    <n v="869.8"/>
    <n v="652.88"/>
    <n v="5"/>
    <n v="4349"/>
    <n v="3264.4"/>
    <n v="1084.5999999999999"/>
    <n v="0.24939066452057942"/>
    <x v="28"/>
    <n v="1084.5999999999999"/>
  </r>
  <r>
    <d v="2024-08-24T00:00:00"/>
    <x v="3"/>
    <x v="2"/>
    <x v="1"/>
    <n v="870.2"/>
    <n v="511.07"/>
    <n v="6"/>
    <n v="5221.2000000000007"/>
    <n v="3066.42"/>
    <n v="2154.7800000000007"/>
    <n v="0.41269823029188701"/>
    <x v="21"/>
    <n v="2154.7800000000007"/>
  </r>
  <r>
    <d v="2024-05-22T00:00:00"/>
    <x v="1"/>
    <x v="1"/>
    <x v="2"/>
    <n v="965.07"/>
    <n v="749.17"/>
    <n v="2"/>
    <n v="1930.14"/>
    <n v="1498.34"/>
    <n v="431.80000000000018"/>
    <n v="0.22371434196483164"/>
    <x v="3"/>
    <n v="431.80000000000018"/>
  </r>
  <r>
    <d v="2024-11-12T00:00:00"/>
    <x v="10"/>
    <x v="2"/>
    <x v="1"/>
    <n v="1552.46"/>
    <n v="1076.48"/>
    <n v="9"/>
    <n v="13972.14"/>
    <n v="9688.32"/>
    <n v="4283.82"/>
    <n v="0.30659727142728316"/>
    <x v="2"/>
    <n v="4283.82"/>
  </r>
  <r>
    <d v="2022-07-23T00:00:00"/>
    <x v="6"/>
    <x v="3"/>
    <x v="1"/>
    <n v="1393.33"/>
    <n v="853.65"/>
    <n v="6"/>
    <n v="8359.98"/>
    <n v="5121.8999999999996"/>
    <n v="3238.08"/>
    <n v="0.38733107017002433"/>
    <x v="8"/>
    <n v="3238.08"/>
  </r>
  <r>
    <d v="2022-11-16T00:00:00"/>
    <x v="4"/>
    <x v="2"/>
    <x v="3"/>
    <n v="940.42"/>
    <n v="576.51"/>
    <n v="3"/>
    <n v="2821.2599999999998"/>
    <n v="1729.53"/>
    <n v="1091.7299999999998"/>
    <n v="0.3869653984389953"/>
    <x v="1"/>
    <n v="1091.7299999999998"/>
  </r>
  <r>
    <d v="2023-04-27T00:00:00"/>
    <x v="6"/>
    <x v="3"/>
    <x v="1"/>
    <n v="565.27"/>
    <n v="284.8"/>
    <n v="2"/>
    <n v="1130.54"/>
    <n v="569.6"/>
    <n v="560.93999999999994"/>
    <n v="0.4961699718718488"/>
    <x v="6"/>
    <n v="560.93999999999994"/>
  </r>
  <r>
    <d v="2022-07-10T00:00:00"/>
    <x v="3"/>
    <x v="2"/>
    <x v="2"/>
    <n v="1092.5899999999999"/>
    <n v="816.65"/>
    <n v="6"/>
    <n v="6555.5399999999991"/>
    <n v="4899.8999999999996"/>
    <n v="1655.6399999999994"/>
    <n v="0.25255585352236426"/>
    <x v="8"/>
    <n v="1655.6399999999994"/>
  </r>
  <r>
    <d v="2024-06-15T00:00:00"/>
    <x v="5"/>
    <x v="3"/>
    <x v="2"/>
    <n v="886.88"/>
    <n v="763.51"/>
    <n v="6"/>
    <n v="5321.28"/>
    <n v="4581.0599999999995"/>
    <n v="740.22000000000025"/>
    <n v="0.13910562872090931"/>
    <x v="4"/>
    <n v="740.22000000000025"/>
  </r>
  <r>
    <d v="2024-08-14T00:00:00"/>
    <x v="1"/>
    <x v="1"/>
    <x v="3"/>
    <n v="563.82000000000005"/>
    <n v="447.57"/>
    <n v="7"/>
    <n v="3946.7400000000002"/>
    <n v="3132.99"/>
    <n v="813.75000000000045"/>
    <n v="0.20618282430562956"/>
    <x v="21"/>
    <n v="813.75000000000045"/>
  </r>
  <r>
    <d v="2022-10-05T00:00:00"/>
    <x v="0"/>
    <x v="0"/>
    <x v="1"/>
    <n v="1852.48"/>
    <n v="1214.31"/>
    <n v="10"/>
    <n v="18524.8"/>
    <n v="12143.099999999999"/>
    <n v="6381.7000000000007"/>
    <n v="0.3444949473138712"/>
    <x v="25"/>
    <n v="6381.7000000000007"/>
  </r>
  <r>
    <d v="2022-10-28T00:00:00"/>
    <x v="6"/>
    <x v="3"/>
    <x v="2"/>
    <n v="636.84"/>
    <n v="488.95"/>
    <n v="7"/>
    <n v="4457.88"/>
    <n v="3422.65"/>
    <n v="1035.23"/>
    <n v="0.2322247346272219"/>
    <x v="25"/>
    <n v="1035.23"/>
  </r>
  <r>
    <d v="2024-03-26T00:00:00"/>
    <x v="6"/>
    <x v="3"/>
    <x v="0"/>
    <n v="34.46"/>
    <n v="24.58"/>
    <n v="7"/>
    <n v="241.22"/>
    <n v="172.06"/>
    <n v="69.16"/>
    <n v="0.28670922809053973"/>
    <x v="29"/>
    <n v="69.16"/>
  </r>
  <r>
    <d v="2022-11-18T00:00:00"/>
    <x v="0"/>
    <x v="0"/>
    <x v="0"/>
    <n v="1488.8"/>
    <n v="1093.22"/>
    <n v="8"/>
    <n v="11910.4"/>
    <n v="8745.76"/>
    <n v="3164.6399999999994"/>
    <n v="0.26570392262224607"/>
    <x v="1"/>
    <n v="3164.6399999999994"/>
  </r>
  <r>
    <d v="2023-10-19T00:00:00"/>
    <x v="6"/>
    <x v="3"/>
    <x v="1"/>
    <n v="247.17"/>
    <n v="149.16999999999999"/>
    <n v="6"/>
    <n v="1483.02"/>
    <n v="895.02"/>
    <n v="588"/>
    <n v="0.39648824695553669"/>
    <x v="5"/>
    <n v="588"/>
  </r>
  <r>
    <d v="2022-04-04T00:00:00"/>
    <x v="5"/>
    <x v="3"/>
    <x v="3"/>
    <n v="1624.58"/>
    <n v="859.79"/>
    <n v="4"/>
    <n v="6498.32"/>
    <n v="3439.16"/>
    <n v="3059.16"/>
    <n v="0.47076167378645556"/>
    <x v="32"/>
    <n v="3059.16"/>
  </r>
  <r>
    <d v="2022-09-12T00:00:00"/>
    <x v="1"/>
    <x v="1"/>
    <x v="1"/>
    <n v="187.14"/>
    <n v="147.25"/>
    <n v="6"/>
    <n v="1122.8399999999999"/>
    <n v="883.5"/>
    <n v="239.33999999999992"/>
    <n v="0.21315592604467237"/>
    <x v="12"/>
    <n v="239.33999999999992"/>
  </r>
  <r>
    <d v="2024-06-25T00:00:00"/>
    <x v="1"/>
    <x v="1"/>
    <x v="1"/>
    <n v="570.54999999999995"/>
    <n v="428.31"/>
    <n v="5"/>
    <n v="2852.75"/>
    <n v="2141.5500000000002"/>
    <n v="711.19999999999982"/>
    <n v="0.249303303829638"/>
    <x v="4"/>
    <n v="711.19999999999982"/>
  </r>
  <r>
    <d v="2022-03-28T00:00:00"/>
    <x v="3"/>
    <x v="2"/>
    <x v="1"/>
    <n v="118.04"/>
    <n v="59.24"/>
    <n v="6"/>
    <n v="708.24"/>
    <n v="355.44"/>
    <n v="352.8"/>
    <n v="0.49813622500847171"/>
    <x v="7"/>
    <n v="352.8"/>
  </r>
  <r>
    <d v="2022-03-13T00:00:00"/>
    <x v="4"/>
    <x v="2"/>
    <x v="3"/>
    <n v="1799.86"/>
    <n v="1532.25"/>
    <n v="3"/>
    <n v="5399.58"/>
    <n v="4596.75"/>
    <n v="802.82999999999993"/>
    <n v="0.14868378651672906"/>
    <x v="7"/>
    <n v="802.82999999999993"/>
  </r>
  <r>
    <d v="2024-09-20T00:00:00"/>
    <x v="0"/>
    <x v="0"/>
    <x v="2"/>
    <n v="1059.07"/>
    <n v="839.85"/>
    <n v="6"/>
    <n v="6354.42"/>
    <n v="5039.1000000000004"/>
    <n v="1315.3199999999997"/>
    <n v="0.20699292775737199"/>
    <x v="16"/>
    <n v="1315.3199999999997"/>
  </r>
  <r>
    <d v="2023-07-31T00:00:00"/>
    <x v="2"/>
    <x v="0"/>
    <x v="3"/>
    <n v="104.85"/>
    <n v="56.17"/>
    <n v="8"/>
    <n v="838.8"/>
    <n v="449.36"/>
    <n v="389.43999999999994"/>
    <n v="0.46428230805913207"/>
    <x v="11"/>
    <n v="389.43999999999994"/>
  </r>
  <r>
    <d v="2022-01-30T00:00:00"/>
    <x v="7"/>
    <x v="0"/>
    <x v="0"/>
    <n v="299.82"/>
    <n v="180.43"/>
    <n v="6"/>
    <n v="1798.92"/>
    <n v="1082.58"/>
    <n v="716.34000000000015"/>
    <n v="0.39820559002067912"/>
    <x v="9"/>
    <n v="716.34000000000015"/>
  </r>
  <r>
    <d v="2022-08-04T00:00:00"/>
    <x v="5"/>
    <x v="3"/>
    <x v="3"/>
    <n v="1795.63"/>
    <n v="1385.1"/>
    <n v="6"/>
    <n v="10773.78"/>
    <n v="8310.5999999999985"/>
    <n v="2463.1800000000021"/>
    <n v="0.22862727844823283"/>
    <x v="15"/>
    <n v="2463.1800000000021"/>
  </r>
  <r>
    <d v="2024-04-26T00:00:00"/>
    <x v="4"/>
    <x v="2"/>
    <x v="3"/>
    <n v="1230.48"/>
    <n v="1063.77"/>
    <n v="3"/>
    <n v="3691.44"/>
    <n v="3191.31"/>
    <n v="500.13000000000011"/>
    <n v="0.13548371367271311"/>
    <x v="22"/>
    <n v="500.13000000000011"/>
  </r>
  <r>
    <d v="2022-10-14T00:00:00"/>
    <x v="4"/>
    <x v="2"/>
    <x v="2"/>
    <n v="1086.1600000000001"/>
    <n v="722.9"/>
    <n v="10"/>
    <n v="10861.6"/>
    <n v="7229"/>
    <n v="3632.6000000000004"/>
    <n v="0.3344442807689475"/>
    <x v="25"/>
    <n v="3632.6000000000004"/>
  </r>
  <r>
    <d v="2024-04-20T00:00:00"/>
    <x v="2"/>
    <x v="0"/>
    <x v="1"/>
    <n v="1434.56"/>
    <n v="855.14"/>
    <n v="1"/>
    <n v="1434.56"/>
    <n v="855.14"/>
    <n v="579.41999999999996"/>
    <n v="0.40390084764666517"/>
    <x v="22"/>
    <n v="579.41999999999996"/>
  </r>
  <r>
    <d v="2023-10-23T00:00:00"/>
    <x v="5"/>
    <x v="3"/>
    <x v="0"/>
    <n v="722.1"/>
    <n v="557.02"/>
    <n v="2"/>
    <n v="1444.2"/>
    <n v="1114.04"/>
    <n v="330.16000000000008"/>
    <n v="0.22861099570696583"/>
    <x v="5"/>
    <n v="330.16000000000008"/>
  </r>
  <r>
    <d v="2022-08-22T00:00:00"/>
    <x v="5"/>
    <x v="3"/>
    <x v="2"/>
    <n v="550.96"/>
    <n v="303.19"/>
    <n v="8"/>
    <n v="4407.68"/>
    <n v="2425.52"/>
    <n v="1982.1600000000003"/>
    <n v="0.44970596776535504"/>
    <x v="15"/>
    <n v="1982.1600000000003"/>
  </r>
  <r>
    <d v="2022-05-08T00:00:00"/>
    <x v="7"/>
    <x v="0"/>
    <x v="2"/>
    <n v="570.80999999999995"/>
    <n v="437.82"/>
    <n v="10"/>
    <n v="5708.0999999999995"/>
    <n v="4378.2"/>
    <n v="1329.8999999999996"/>
    <n v="0.23298470594418455"/>
    <x v="35"/>
    <n v="1329.8999999999996"/>
  </r>
  <r>
    <d v="2022-05-08T00:00:00"/>
    <x v="10"/>
    <x v="2"/>
    <x v="3"/>
    <n v="1458.37"/>
    <n v="1048.27"/>
    <n v="5"/>
    <n v="7291.8499999999995"/>
    <n v="5241.3500000000004"/>
    <n v="2050.4999999999991"/>
    <n v="0.28120435829042001"/>
    <x v="35"/>
    <n v="2050.4999999999991"/>
  </r>
  <r>
    <d v="2024-10-23T00:00:00"/>
    <x v="4"/>
    <x v="2"/>
    <x v="0"/>
    <n v="1747.08"/>
    <n v="1112.3399999999999"/>
    <n v="9"/>
    <n v="15723.72"/>
    <n v="10011.06"/>
    <n v="5712.66"/>
    <n v="0.36331478810357853"/>
    <x v="17"/>
    <n v="5712.66"/>
  </r>
  <r>
    <d v="2022-10-27T00:00:00"/>
    <x v="8"/>
    <x v="1"/>
    <x v="1"/>
    <n v="641.33000000000004"/>
    <n v="529.37"/>
    <n v="9"/>
    <n v="5771.97"/>
    <n v="4764.33"/>
    <n v="1007.6400000000003"/>
    <n v="0.1745747119267772"/>
    <x v="25"/>
    <n v="1007.6400000000003"/>
  </r>
  <r>
    <d v="2024-01-28T00:00:00"/>
    <x v="4"/>
    <x v="2"/>
    <x v="1"/>
    <n v="169.73"/>
    <n v="93.74"/>
    <n v="2"/>
    <n v="339.46"/>
    <n v="187.48"/>
    <n v="151.97999999999999"/>
    <n v="0.44771107052377307"/>
    <x v="26"/>
    <n v="151.97999999999999"/>
  </r>
  <r>
    <d v="2024-06-06T00:00:00"/>
    <x v="4"/>
    <x v="2"/>
    <x v="0"/>
    <n v="1510.62"/>
    <n v="762.81"/>
    <n v="7"/>
    <n v="10574.34"/>
    <n v="5339.67"/>
    <n v="5234.67"/>
    <n v="0.49503515112999963"/>
    <x v="4"/>
    <n v="5234.67"/>
  </r>
  <r>
    <d v="2023-01-25T00:00:00"/>
    <x v="10"/>
    <x v="2"/>
    <x v="1"/>
    <n v="1788.19"/>
    <n v="1548.42"/>
    <n v="7"/>
    <n v="12517.33"/>
    <n v="10838.94"/>
    <n v="1678.3899999999994"/>
    <n v="0.1340853041343481"/>
    <x v="13"/>
    <n v="1678.3899999999994"/>
  </r>
  <r>
    <d v="2022-12-22T00:00:00"/>
    <x v="5"/>
    <x v="3"/>
    <x v="2"/>
    <n v="1698.31"/>
    <n v="886.44"/>
    <n v="3"/>
    <n v="5094.93"/>
    <n v="2659.32"/>
    <n v="2435.61"/>
    <n v="0.47804582202307"/>
    <x v="33"/>
    <n v="2435.61"/>
  </r>
  <r>
    <d v="2023-09-18T00:00:00"/>
    <x v="2"/>
    <x v="0"/>
    <x v="0"/>
    <n v="147.34"/>
    <n v="122.6"/>
    <n v="3"/>
    <n v="442.02"/>
    <n v="367.79999999999995"/>
    <n v="74.220000000000027"/>
    <n v="0.16791095425546362"/>
    <x v="24"/>
    <n v="74.220000000000027"/>
  </r>
  <r>
    <d v="2022-07-02T00:00:00"/>
    <x v="3"/>
    <x v="2"/>
    <x v="0"/>
    <n v="560.34"/>
    <n v="420.85"/>
    <n v="2"/>
    <n v="1120.68"/>
    <n v="841.7"/>
    <n v="278.98"/>
    <n v="0.24893814469786202"/>
    <x v="8"/>
    <n v="278.98"/>
  </r>
  <r>
    <d v="2024-11-11T00:00:00"/>
    <x v="2"/>
    <x v="0"/>
    <x v="1"/>
    <n v="1494.83"/>
    <n v="996.02"/>
    <n v="1"/>
    <n v="1494.83"/>
    <n v="996.02"/>
    <n v="498.80999999999995"/>
    <n v="0.33369011860880499"/>
    <x v="2"/>
    <n v="498.80999999999995"/>
  </r>
  <r>
    <d v="2022-05-05T00:00:00"/>
    <x v="2"/>
    <x v="0"/>
    <x v="2"/>
    <n v="548.86"/>
    <n v="294.20999999999998"/>
    <n v="5"/>
    <n v="2744.3"/>
    <n v="1471.05"/>
    <n v="1273.2500000000002"/>
    <n v="0.46396166599861538"/>
    <x v="35"/>
    <n v="1273.2500000000002"/>
  </r>
  <r>
    <d v="2022-03-23T00:00:00"/>
    <x v="10"/>
    <x v="2"/>
    <x v="3"/>
    <n v="468.19"/>
    <n v="247.74"/>
    <n v="4"/>
    <n v="1872.76"/>
    <n v="990.96"/>
    <n v="881.8"/>
    <n v="0.4708558491210833"/>
    <x v="7"/>
    <n v="881.8"/>
  </r>
  <r>
    <d v="2024-01-03T00:00:00"/>
    <x v="9"/>
    <x v="3"/>
    <x v="3"/>
    <n v="1172.93"/>
    <n v="698.61"/>
    <n v="1"/>
    <n v="1172.93"/>
    <n v="698.61"/>
    <n v="474.32000000000005"/>
    <n v="0.4043890087217481"/>
    <x v="26"/>
    <n v="474.32000000000005"/>
  </r>
  <r>
    <d v="2023-09-03T00:00:00"/>
    <x v="2"/>
    <x v="0"/>
    <x v="0"/>
    <n v="1044.02"/>
    <n v="917.71"/>
    <n v="4"/>
    <n v="4176.08"/>
    <n v="3670.84"/>
    <n v="505.23999999999978"/>
    <n v="0.12098427233194761"/>
    <x v="24"/>
    <n v="505.23999999999978"/>
  </r>
  <r>
    <d v="2024-05-24T00:00:00"/>
    <x v="1"/>
    <x v="1"/>
    <x v="1"/>
    <n v="342.52"/>
    <n v="281.45"/>
    <n v="5"/>
    <n v="1712.6"/>
    <n v="1407.25"/>
    <n v="305.34999999999991"/>
    <n v="0.17829615788859041"/>
    <x v="3"/>
    <n v="305.34999999999991"/>
  </r>
  <r>
    <d v="2022-06-27T00:00:00"/>
    <x v="7"/>
    <x v="0"/>
    <x v="3"/>
    <n v="1745.28"/>
    <n v="1510.66"/>
    <n v="9"/>
    <n v="15707.52"/>
    <n v="13595.94"/>
    <n v="2111.58"/>
    <n v="0.13443115144847817"/>
    <x v="18"/>
    <n v="2111.58"/>
  </r>
  <r>
    <d v="2023-08-02T00:00:00"/>
    <x v="4"/>
    <x v="2"/>
    <x v="2"/>
    <n v="1364.37"/>
    <n v="873.64"/>
    <n v="7"/>
    <n v="9550.59"/>
    <n v="6115.48"/>
    <n v="3435.1100000000006"/>
    <n v="0.35967516142981748"/>
    <x v="14"/>
    <n v="3435.1100000000006"/>
  </r>
  <r>
    <d v="2022-02-12T00:00:00"/>
    <x v="6"/>
    <x v="3"/>
    <x v="3"/>
    <n v="672.46"/>
    <n v="583.25"/>
    <n v="3"/>
    <n v="2017.38"/>
    <n v="1749.75"/>
    <n v="267.63000000000011"/>
    <n v="0.13266216577937726"/>
    <x v="20"/>
    <n v="267.63000000000011"/>
  </r>
  <r>
    <d v="2022-05-20T00:00:00"/>
    <x v="1"/>
    <x v="1"/>
    <x v="1"/>
    <n v="1218.8499999999999"/>
    <n v="1038"/>
    <n v="9"/>
    <n v="10969.65"/>
    <n v="9342"/>
    <n v="1627.6499999999996"/>
    <n v="0.14837756901997781"/>
    <x v="35"/>
    <n v="1627.6499999999996"/>
  </r>
  <r>
    <d v="2024-12-13T00:00:00"/>
    <x v="0"/>
    <x v="0"/>
    <x v="1"/>
    <n v="1194.75"/>
    <n v="1048.8699999999999"/>
    <n v="3"/>
    <n v="3584.25"/>
    <n v="3146.6099999999997"/>
    <n v="437.64000000000033"/>
    <n v="0.12210085792006706"/>
    <x v="23"/>
    <n v="437.64000000000033"/>
  </r>
  <r>
    <d v="2023-12-10T00:00:00"/>
    <x v="4"/>
    <x v="2"/>
    <x v="1"/>
    <n v="1027.8499999999999"/>
    <n v="596.38"/>
    <n v="7"/>
    <n v="7194.9499999999989"/>
    <n v="4174.66"/>
    <n v="3020.2899999999991"/>
    <n v="0.41977915065427829"/>
    <x v="30"/>
    <n v="3020.2899999999991"/>
  </r>
  <r>
    <d v="2023-03-23T00:00:00"/>
    <x v="8"/>
    <x v="1"/>
    <x v="2"/>
    <n v="1260.6099999999999"/>
    <n v="802.33"/>
    <n v="9"/>
    <n v="11345.49"/>
    <n v="7220.97"/>
    <n v="4124.5199999999995"/>
    <n v="0.36353828701977609"/>
    <x v="19"/>
    <n v="4124.5199999999995"/>
  </r>
  <r>
    <d v="2024-10-25T00:00:00"/>
    <x v="3"/>
    <x v="2"/>
    <x v="3"/>
    <n v="1609.36"/>
    <n v="1405.59"/>
    <n v="4"/>
    <n v="6437.44"/>
    <n v="5622.36"/>
    <n v="815.07999999999993"/>
    <n v="0.12661554903812697"/>
    <x v="17"/>
    <n v="815.07999999999993"/>
  </r>
  <r>
    <d v="2022-11-18T00:00:00"/>
    <x v="6"/>
    <x v="3"/>
    <x v="0"/>
    <n v="1111.29"/>
    <n v="897.77"/>
    <n v="9"/>
    <n v="10001.61"/>
    <n v="8079.93"/>
    <n v="1921.6800000000003"/>
    <n v="0.19213706593238492"/>
    <x v="1"/>
    <n v="1921.6800000000003"/>
  </r>
  <r>
    <d v="2022-09-02T00:00:00"/>
    <x v="3"/>
    <x v="2"/>
    <x v="3"/>
    <n v="1904.44"/>
    <n v="1406.6"/>
    <n v="4"/>
    <n v="7617.76"/>
    <n v="5626.4"/>
    <n v="1991.3600000000006"/>
    <n v="0.26141017832013619"/>
    <x v="12"/>
    <n v="1991.3600000000006"/>
  </r>
  <r>
    <d v="2022-11-12T00:00:00"/>
    <x v="7"/>
    <x v="0"/>
    <x v="0"/>
    <n v="1002.29"/>
    <n v="855.06"/>
    <n v="8"/>
    <n v="8018.32"/>
    <n v="6840.48"/>
    <n v="1177.8400000000001"/>
    <n v="0.14689361362479925"/>
    <x v="1"/>
    <n v="1177.8400000000001"/>
  </r>
  <r>
    <d v="2023-10-26T00:00:00"/>
    <x v="8"/>
    <x v="1"/>
    <x v="0"/>
    <n v="1584.15"/>
    <n v="930.33"/>
    <n v="8"/>
    <n v="12673.2"/>
    <n v="7442.64"/>
    <n v="5230.5600000000004"/>
    <n v="0.41272606760723418"/>
    <x v="5"/>
    <n v="5230.5600000000004"/>
  </r>
  <r>
    <d v="2023-04-19T00:00:00"/>
    <x v="2"/>
    <x v="0"/>
    <x v="0"/>
    <n v="1984.77"/>
    <n v="1036.8599999999999"/>
    <n v="6"/>
    <n v="11908.619999999999"/>
    <n v="6221.16"/>
    <n v="5687.4599999999991"/>
    <n v="0.4775918620293535"/>
    <x v="6"/>
    <n v="5687.4599999999991"/>
  </r>
  <r>
    <d v="2022-11-08T00:00:00"/>
    <x v="1"/>
    <x v="1"/>
    <x v="1"/>
    <n v="548.67999999999995"/>
    <n v="295.42"/>
    <n v="2"/>
    <n v="1097.3599999999999"/>
    <n v="590.84"/>
    <n v="506.51999999999987"/>
    <n v="0.46158052052197995"/>
    <x v="1"/>
    <n v="506.51999999999987"/>
  </r>
  <r>
    <d v="2024-05-22T00:00:00"/>
    <x v="6"/>
    <x v="3"/>
    <x v="2"/>
    <n v="1967.67"/>
    <n v="1234.5999999999999"/>
    <n v="8"/>
    <n v="15741.36"/>
    <n v="9876.7999999999993"/>
    <n v="5864.5600000000013"/>
    <n v="0.37255739021278983"/>
    <x v="3"/>
    <n v="5864.5600000000013"/>
  </r>
  <r>
    <d v="2022-03-24T00:00:00"/>
    <x v="1"/>
    <x v="1"/>
    <x v="3"/>
    <n v="1181.22"/>
    <n v="984.63"/>
    <n v="6"/>
    <n v="7087.32"/>
    <n v="5907.78"/>
    <n v="1179.54"/>
    <n v="0.16642962360948849"/>
    <x v="7"/>
    <n v="1179.54"/>
  </r>
  <r>
    <d v="2022-09-15T00:00:00"/>
    <x v="10"/>
    <x v="2"/>
    <x v="3"/>
    <n v="937.23"/>
    <n v="667.34"/>
    <n v="7"/>
    <n v="6560.6100000000006"/>
    <n v="4671.38"/>
    <n v="1889.2300000000005"/>
    <n v="0.28796560075968552"/>
    <x v="12"/>
    <n v="1889.2300000000005"/>
  </r>
  <r>
    <d v="2023-11-28T00:00:00"/>
    <x v="8"/>
    <x v="1"/>
    <x v="2"/>
    <n v="729.89"/>
    <n v="480.65"/>
    <n v="9"/>
    <n v="6569.01"/>
    <n v="4325.8499999999995"/>
    <n v="2243.1600000000008"/>
    <n v="0.34147611283892104"/>
    <x v="10"/>
    <n v="2243.1600000000008"/>
  </r>
  <r>
    <d v="2022-05-22T00:00:00"/>
    <x v="8"/>
    <x v="1"/>
    <x v="1"/>
    <n v="1650.78"/>
    <n v="1198.43"/>
    <n v="7"/>
    <n v="11555.46"/>
    <n v="8389.01"/>
    <n v="3166.4499999999989"/>
    <n v="0.27402197748942919"/>
    <x v="35"/>
    <n v="3166.4499999999989"/>
  </r>
  <r>
    <d v="2023-05-23T00:00:00"/>
    <x v="3"/>
    <x v="2"/>
    <x v="3"/>
    <n v="871.06"/>
    <n v="569.6"/>
    <n v="3"/>
    <n v="2613.1799999999998"/>
    <n v="1708.8000000000002"/>
    <n v="904.37999999999965"/>
    <n v="0.34608408146396336"/>
    <x v="31"/>
    <n v="904.37999999999965"/>
  </r>
  <r>
    <d v="2024-03-09T00:00:00"/>
    <x v="6"/>
    <x v="3"/>
    <x v="3"/>
    <n v="650.54"/>
    <n v="381.72"/>
    <n v="6"/>
    <n v="3903.24"/>
    <n v="2290.3200000000002"/>
    <n v="1612.9199999999996"/>
    <n v="0.41322593537676383"/>
    <x v="29"/>
    <n v="1612.9199999999996"/>
  </r>
  <r>
    <d v="2022-06-13T00:00:00"/>
    <x v="6"/>
    <x v="3"/>
    <x v="3"/>
    <n v="64.17"/>
    <n v="36.68"/>
    <n v="3"/>
    <n v="192.51"/>
    <n v="110.03999999999999"/>
    <n v="82.47"/>
    <n v="0.42839333021661213"/>
    <x v="18"/>
    <n v="82.47"/>
  </r>
  <r>
    <d v="2023-06-14T00:00:00"/>
    <x v="8"/>
    <x v="1"/>
    <x v="0"/>
    <n v="1493.83"/>
    <n v="1311.5"/>
    <n v="8"/>
    <n v="11950.64"/>
    <n v="10492"/>
    <n v="1458.6399999999994"/>
    <n v="0.12205538782860161"/>
    <x v="0"/>
    <n v="1458.6399999999994"/>
  </r>
  <r>
    <d v="2022-10-03T00:00:00"/>
    <x v="4"/>
    <x v="2"/>
    <x v="0"/>
    <n v="1230.76"/>
    <n v="737.25"/>
    <n v="6"/>
    <n v="7384.5599999999995"/>
    <n v="4423.5"/>
    <n v="2961.0599999999995"/>
    <n v="0.40097988234911758"/>
    <x v="25"/>
    <n v="2961.0599999999995"/>
  </r>
  <r>
    <d v="2022-11-28T00:00:00"/>
    <x v="9"/>
    <x v="3"/>
    <x v="1"/>
    <n v="200.94"/>
    <n v="176"/>
    <n v="1"/>
    <n v="200.94"/>
    <n v="176"/>
    <n v="24.939999999999998"/>
    <n v="0.12411665173683685"/>
    <x v="1"/>
    <n v="24.939999999999998"/>
  </r>
  <r>
    <d v="2024-07-19T00:00:00"/>
    <x v="1"/>
    <x v="1"/>
    <x v="3"/>
    <n v="1784.93"/>
    <n v="1097.4100000000001"/>
    <n v="7"/>
    <n v="12494.51"/>
    <n v="7681.8700000000008"/>
    <n v="4812.6399999999994"/>
    <n v="0.38518037121903936"/>
    <x v="28"/>
    <n v="4812.6399999999994"/>
  </r>
  <r>
    <d v="2024-03-04T00:00:00"/>
    <x v="10"/>
    <x v="2"/>
    <x v="0"/>
    <n v="1373.04"/>
    <n v="689.74"/>
    <n v="10"/>
    <n v="13730.4"/>
    <n v="6897.4"/>
    <n v="6833"/>
    <n v="0.49765483889762863"/>
    <x v="29"/>
    <n v="6833"/>
  </r>
  <r>
    <d v="2023-01-12T00:00:00"/>
    <x v="4"/>
    <x v="2"/>
    <x v="0"/>
    <n v="62.44"/>
    <n v="49.93"/>
    <n v="7"/>
    <n v="437.08"/>
    <n v="349.51"/>
    <n v="87.57"/>
    <n v="0.20035233824471491"/>
    <x v="13"/>
    <n v="87.57"/>
  </r>
  <r>
    <d v="2022-02-10T00:00:00"/>
    <x v="0"/>
    <x v="0"/>
    <x v="1"/>
    <n v="505.68"/>
    <n v="352.48"/>
    <n v="2"/>
    <n v="1011.36"/>
    <n v="704.96"/>
    <n v="306.39999999999998"/>
    <n v="0.30295839265938929"/>
    <x v="20"/>
    <n v="306.39999999999998"/>
  </r>
  <r>
    <d v="2023-06-22T00:00:00"/>
    <x v="5"/>
    <x v="3"/>
    <x v="1"/>
    <n v="156.74"/>
    <n v="97.94"/>
    <n v="9"/>
    <n v="1410.66"/>
    <n v="881.46"/>
    <n v="529.20000000000005"/>
    <n v="0.37514354982774023"/>
    <x v="0"/>
    <n v="529.20000000000005"/>
  </r>
  <r>
    <d v="2023-04-06T00:00:00"/>
    <x v="3"/>
    <x v="2"/>
    <x v="3"/>
    <n v="598.61"/>
    <n v="337.05"/>
    <n v="4"/>
    <n v="2394.44"/>
    <n v="1348.2"/>
    <n v="1046.24"/>
    <n v="0.43694559061826566"/>
    <x v="6"/>
    <n v="1046.24"/>
  </r>
  <r>
    <d v="2024-05-15T00:00:00"/>
    <x v="6"/>
    <x v="3"/>
    <x v="3"/>
    <n v="132.36000000000001"/>
    <n v="88.86"/>
    <n v="2"/>
    <n v="264.72000000000003"/>
    <n v="177.72"/>
    <n v="87.000000000000028"/>
    <n v="0.3286491387126021"/>
    <x v="3"/>
    <n v="87.000000000000028"/>
  </r>
  <r>
    <d v="2023-01-10T00:00:00"/>
    <x v="9"/>
    <x v="3"/>
    <x v="0"/>
    <n v="1003.99"/>
    <n v="521.48"/>
    <n v="10"/>
    <n v="10039.9"/>
    <n v="5214.8"/>
    <n v="4825.0999999999995"/>
    <n v="0.4805924361796432"/>
    <x v="13"/>
    <n v="4825.0999999999995"/>
  </r>
  <r>
    <d v="2024-08-08T00:00:00"/>
    <x v="4"/>
    <x v="2"/>
    <x v="2"/>
    <n v="1805.83"/>
    <n v="1335.88"/>
    <n v="1"/>
    <n v="1805.83"/>
    <n v="1335.88"/>
    <n v="469.94999999999982"/>
    <n v="0.26024044345259512"/>
    <x v="21"/>
    <n v="469.94999999999982"/>
  </r>
  <r>
    <d v="2023-11-17T00:00:00"/>
    <x v="0"/>
    <x v="0"/>
    <x v="0"/>
    <n v="343.92"/>
    <n v="253.06"/>
    <n v="8"/>
    <n v="2751.36"/>
    <n v="2024.48"/>
    <n v="726.88000000000011"/>
    <n v="0.26418934635961855"/>
    <x v="10"/>
    <n v="726.88000000000011"/>
  </r>
  <r>
    <d v="2022-12-25T00:00:00"/>
    <x v="8"/>
    <x v="1"/>
    <x v="3"/>
    <n v="806.27"/>
    <n v="583.77"/>
    <n v="5"/>
    <n v="4031.35"/>
    <n v="2918.85"/>
    <n v="1112.5"/>
    <n v="0.27596214667543129"/>
    <x v="33"/>
    <n v="1112.5"/>
  </r>
  <r>
    <d v="2024-04-29T00:00:00"/>
    <x v="10"/>
    <x v="2"/>
    <x v="0"/>
    <n v="1892.14"/>
    <n v="953.92"/>
    <n v="7"/>
    <n v="13244.980000000001"/>
    <n v="6677.44"/>
    <n v="6567.5400000000018"/>
    <n v="0.4958512583635461"/>
    <x v="22"/>
    <n v="6567.5400000000018"/>
  </r>
  <r>
    <d v="2023-07-12T00:00:00"/>
    <x v="6"/>
    <x v="3"/>
    <x v="1"/>
    <n v="1412.36"/>
    <n v="1030.71"/>
    <n v="1"/>
    <n v="1412.36"/>
    <n v="1030.71"/>
    <n v="381.64999999999986"/>
    <n v="0.27022147327876739"/>
    <x v="11"/>
    <n v="381.64999999999986"/>
  </r>
  <r>
    <d v="2022-06-21T00:00:00"/>
    <x v="10"/>
    <x v="2"/>
    <x v="2"/>
    <n v="981.84"/>
    <n v="796.18"/>
    <n v="2"/>
    <n v="1963.68"/>
    <n v="1592.36"/>
    <n v="371.32000000000016"/>
    <n v="0.18909394606045798"/>
    <x v="18"/>
    <n v="371.32000000000016"/>
  </r>
  <r>
    <d v="2022-08-20T00:00:00"/>
    <x v="7"/>
    <x v="0"/>
    <x v="0"/>
    <n v="725.63"/>
    <n v="641.5"/>
    <n v="5"/>
    <n v="3628.15"/>
    <n v="3207.5"/>
    <n v="420.65000000000009"/>
    <n v="0.1159406309000455"/>
    <x v="15"/>
    <n v="420.65000000000009"/>
  </r>
  <r>
    <d v="2022-04-22T00:00:00"/>
    <x v="7"/>
    <x v="0"/>
    <x v="3"/>
    <n v="98.39"/>
    <n v="78.39"/>
    <n v="7"/>
    <n v="688.73"/>
    <n v="548.73"/>
    <n v="140"/>
    <n v="0.20327269031405631"/>
    <x v="32"/>
    <n v="140"/>
  </r>
  <r>
    <d v="2023-05-17T00:00:00"/>
    <x v="7"/>
    <x v="0"/>
    <x v="3"/>
    <n v="1622.57"/>
    <n v="996.65"/>
    <n v="10"/>
    <n v="16225.699999999999"/>
    <n v="9966.5"/>
    <n v="6259.1999999999989"/>
    <n v="0.3857583956316214"/>
    <x v="31"/>
    <n v="6259.1999999999989"/>
  </r>
  <r>
    <d v="2023-02-08T00:00:00"/>
    <x v="6"/>
    <x v="3"/>
    <x v="2"/>
    <n v="693.1"/>
    <n v="590.91"/>
    <n v="6"/>
    <n v="4158.6000000000004"/>
    <n v="3545.46"/>
    <n v="613.14000000000033"/>
    <n v="0.14743904198528357"/>
    <x v="27"/>
    <n v="613.14000000000033"/>
  </r>
  <r>
    <d v="2023-11-05T00:00:00"/>
    <x v="2"/>
    <x v="0"/>
    <x v="0"/>
    <n v="463.91"/>
    <n v="351.34"/>
    <n v="6"/>
    <n v="2783.46"/>
    <n v="2108.04"/>
    <n v="675.42000000000007"/>
    <n v="0.24265482528938806"/>
    <x v="10"/>
    <n v="675.42000000000007"/>
  </r>
  <r>
    <d v="2023-09-07T00:00:00"/>
    <x v="8"/>
    <x v="1"/>
    <x v="0"/>
    <n v="1302.49"/>
    <n v="849.74"/>
    <n v="3"/>
    <n v="3907.4700000000003"/>
    <n v="2549.2200000000003"/>
    <n v="1358.25"/>
    <n v="0.34760343649471392"/>
    <x v="24"/>
    <n v="1358.25"/>
  </r>
  <r>
    <d v="2022-11-11T00:00:00"/>
    <x v="9"/>
    <x v="3"/>
    <x v="2"/>
    <n v="1424.75"/>
    <n v="1055.73"/>
    <n v="9"/>
    <n v="12822.75"/>
    <n v="9501.57"/>
    <n v="3321.1800000000003"/>
    <n v="0.25900684330584317"/>
    <x v="1"/>
    <n v="3321.1800000000003"/>
  </r>
  <r>
    <d v="2023-05-09T00:00:00"/>
    <x v="3"/>
    <x v="2"/>
    <x v="0"/>
    <n v="1399.67"/>
    <n v="1081.81"/>
    <n v="9"/>
    <n v="12597.03"/>
    <n v="9736.2899999999991"/>
    <n v="2860.7400000000016"/>
    <n v="0.22709638700550855"/>
    <x v="31"/>
    <n v="2860.7400000000016"/>
  </r>
  <r>
    <d v="2023-03-22T00:00:00"/>
    <x v="1"/>
    <x v="1"/>
    <x v="3"/>
    <n v="1822.7"/>
    <n v="1349.45"/>
    <n v="10"/>
    <n v="18227"/>
    <n v="13494.5"/>
    <n v="4732.5"/>
    <n v="0.25964228891205354"/>
    <x v="19"/>
    <n v="4732.5"/>
  </r>
  <r>
    <d v="2023-05-18T00:00:00"/>
    <x v="2"/>
    <x v="0"/>
    <x v="2"/>
    <n v="256.54000000000002"/>
    <n v="229.09"/>
    <n v="3"/>
    <n v="769.62000000000012"/>
    <n v="687.27"/>
    <n v="82.350000000000136"/>
    <n v="0.10700085756607172"/>
    <x v="31"/>
    <n v="82.350000000000136"/>
  </r>
  <r>
    <d v="2022-11-11T00:00:00"/>
    <x v="1"/>
    <x v="1"/>
    <x v="0"/>
    <n v="814.91"/>
    <n v="653.80999999999995"/>
    <n v="2"/>
    <n v="1629.82"/>
    <n v="1307.6199999999999"/>
    <n v="322.20000000000005"/>
    <n v="0.19769054251389728"/>
    <x v="1"/>
    <n v="322.20000000000005"/>
  </r>
  <r>
    <d v="2023-08-02T00:00:00"/>
    <x v="10"/>
    <x v="2"/>
    <x v="3"/>
    <n v="852.71"/>
    <n v="627.41"/>
    <n v="8"/>
    <n v="6821.68"/>
    <n v="5019.28"/>
    <n v="1802.4000000000005"/>
    <n v="0.26421643935218309"/>
    <x v="14"/>
    <n v="1802.4000000000005"/>
  </r>
  <r>
    <d v="2023-07-07T00:00:00"/>
    <x v="3"/>
    <x v="2"/>
    <x v="1"/>
    <n v="707.84"/>
    <n v="563.52"/>
    <n v="2"/>
    <n v="1415.68"/>
    <n v="1127.04"/>
    <n v="288.6400000000001"/>
    <n v="0.20388788426763116"/>
    <x v="11"/>
    <n v="288.6400000000001"/>
  </r>
  <r>
    <d v="2022-03-23T00:00:00"/>
    <x v="3"/>
    <x v="2"/>
    <x v="0"/>
    <n v="1116.44"/>
    <n v="974.12"/>
    <n v="1"/>
    <n v="1116.44"/>
    <n v="974.12"/>
    <n v="142.32000000000005"/>
    <n v="0.12747662212031102"/>
    <x v="7"/>
    <n v="142.32000000000005"/>
  </r>
  <r>
    <d v="2023-05-19T00:00:00"/>
    <x v="8"/>
    <x v="1"/>
    <x v="1"/>
    <n v="1641.85"/>
    <n v="1053.07"/>
    <n v="2"/>
    <n v="3283.7"/>
    <n v="2106.14"/>
    <n v="1177.56"/>
    <n v="0.3586076681791881"/>
    <x v="31"/>
    <n v="1177.56"/>
  </r>
  <r>
    <d v="2022-11-25T00:00:00"/>
    <x v="10"/>
    <x v="2"/>
    <x v="3"/>
    <n v="1653.84"/>
    <n v="878.41"/>
    <n v="9"/>
    <n v="14884.56"/>
    <n v="7905.69"/>
    <n v="6978.87"/>
    <n v="0.46886639578193778"/>
    <x v="1"/>
    <n v="6978.87"/>
  </r>
  <r>
    <d v="2023-04-12T00:00:00"/>
    <x v="8"/>
    <x v="1"/>
    <x v="0"/>
    <n v="1770.08"/>
    <n v="1163.6600000000001"/>
    <n v="1"/>
    <n v="1770.08"/>
    <n v="1163.6600000000001"/>
    <n v="606.41999999999985"/>
    <n v="0.34259468498598927"/>
    <x v="6"/>
    <n v="606.41999999999985"/>
  </r>
  <r>
    <d v="2022-09-11T00:00:00"/>
    <x v="9"/>
    <x v="3"/>
    <x v="0"/>
    <n v="372.11"/>
    <n v="249.59"/>
    <n v="2"/>
    <n v="744.22"/>
    <n v="499.18"/>
    <n v="245.04000000000002"/>
    <n v="0.32925747762758328"/>
    <x v="12"/>
    <n v="245.04000000000002"/>
  </r>
  <r>
    <d v="2022-11-19T00:00:00"/>
    <x v="6"/>
    <x v="3"/>
    <x v="2"/>
    <n v="776.2"/>
    <n v="607.59"/>
    <n v="4"/>
    <n v="3104.8"/>
    <n v="2430.36"/>
    <n v="674.44"/>
    <n v="0.21722494202525122"/>
    <x v="1"/>
    <n v="674.44"/>
  </r>
  <r>
    <d v="2023-03-09T00:00:00"/>
    <x v="3"/>
    <x v="2"/>
    <x v="3"/>
    <n v="1532.94"/>
    <n v="947.52"/>
    <n v="2"/>
    <n v="3065.88"/>
    <n v="1895.04"/>
    <n v="1170.8400000000001"/>
    <n v="0.38189361618850054"/>
    <x v="19"/>
    <n v="1170.8400000000001"/>
  </r>
  <r>
    <d v="2023-01-21T00:00:00"/>
    <x v="2"/>
    <x v="0"/>
    <x v="1"/>
    <n v="1028.32"/>
    <n v="626.16999999999996"/>
    <n v="4"/>
    <n v="4113.28"/>
    <n v="2504.6799999999998"/>
    <n v="1608.6"/>
    <n v="0.39107476271977593"/>
    <x v="13"/>
    <n v="1608.6"/>
  </r>
  <r>
    <d v="2022-07-23T00:00:00"/>
    <x v="5"/>
    <x v="3"/>
    <x v="1"/>
    <n v="1523.81"/>
    <n v="1040.92"/>
    <n v="3"/>
    <n v="4571.43"/>
    <n v="3122.76"/>
    <n v="1448.67"/>
    <n v="0.31689646346985517"/>
    <x v="8"/>
    <n v="1448.67"/>
  </r>
  <r>
    <d v="2024-05-09T00:00:00"/>
    <x v="2"/>
    <x v="0"/>
    <x v="0"/>
    <n v="1717.82"/>
    <n v="892.5"/>
    <n v="9"/>
    <n v="15460.38"/>
    <n v="8032.5"/>
    <n v="7427.8799999999992"/>
    <n v="0.48044614686055581"/>
    <x v="3"/>
    <n v="7427.8799999999992"/>
  </r>
  <r>
    <d v="2023-08-09T00:00:00"/>
    <x v="6"/>
    <x v="3"/>
    <x v="3"/>
    <n v="97.94"/>
    <n v="68.06"/>
    <n v="3"/>
    <n v="293.82"/>
    <n v="204.18"/>
    <n v="89.639999999999986"/>
    <n v="0.30508474576271183"/>
    <x v="14"/>
    <n v="89.639999999999986"/>
  </r>
  <r>
    <d v="2022-12-28T00:00:00"/>
    <x v="1"/>
    <x v="1"/>
    <x v="3"/>
    <n v="339.86"/>
    <n v="223.33"/>
    <n v="9"/>
    <n v="3058.7400000000002"/>
    <n v="2009.97"/>
    <n v="1048.7700000000002"/>
    <n v="0.3428764785499912"/>
    <x v="33"/>
    <n v="1048.7700000000002"/>
  </r>
  <r>
    <d v="2024-04-17T00:00:00"/>
    <x v="2"/>
    <x v="0"/>
    <x v="2"/>
    <n v="580.83000000000004"/>
    <n v="348.38"/>
    <n v="2"/>
    <n v="1161.6600000000001"/>
    <n v="696.76"/>
    <n v="464.90000000000009"/>
    <n v="0.40020315755040203"/>
    <x v="22"/>
    <n v="464.90000000000009"/>
  </r>
  <r>
    <d v="2024-06-02T00:00:00"/>
    <x v="2"/>
    <x v="0"/>
    <x v="2"/>
    <n v="983.45"/>
    <n v="620.07000000000005"/>
    <n v="6"/>
    <n v="5900.7000000000007"/>
    <n v="3720.42"/>
    <n v="2180.2800000000007"/>
    <n v="0.36949514464385586"/>
    <x v="4"/>
    <n v="2180.2800000000007"/>
  </r>
  <r>
    <d v="2023-09-15T00:00:00"/>
    <x v="9"/>
    <x v="3"/>
    <x v="1"/>
    <n v="847.71"/>
    <n v="729.55"/>
    <n v="8"/>
    <n v="6781.68"/>
    <n v="5836.4"/>
    <n v="945.28000000000065"/>
    <n v="0.13938729046489964"/>
    <x v="24"/>
    <n v="945.28000000000065"/>
  </r>
  <r>
    <d v="2024-03-17T00:00:00"/>
    <x v="9"/>
    <x v="3"/>
    <x v="3"/>
    <n v="965.18"/>
    <n v="683.43"/>
    <n v="4"/>
    <n v="3860.72"/>
    <n v="2733.72"/>
    <n v="1127"/>
    <n v="0.29191446155121326"/>
    <x v="29"/>
    <n v="1127"/>
  </r>
  <r>
    <d v="2024-10-24T00:00:00"/>
    <x v="7"/>
    <x v="0"/>
    <x v="3"/>
    <n v="773.44"/>
    <n v="539.03"/>
    <n v="4"/>
    <n v="3093.76"/>
    <n v="2156.12"/>
    <n v="937.64000000000033"/>
    <n v="0.30307457592056275"/>
    <x v="17"/>
    <n v="937.64000000000033"/>
  </r>
  <r>
    <d v="2024-07-09T00:00:00"/>
    <x v="5"/>
    <x v="3"/>
    <x v="2"/>
    <n v="260.02"/>
    <n v="146.35"/>
    <n v="9"/>
    <n v="2340.1799999999998"/>
    <n v="1317.1499999999999"/>
    <n v="1023.03"/>
    <n v="0.43715868010153069"/>
    <x v="28"/>
    <n v="1023.03"/>
  </r>
  <r>
    <d v="2023-10-13T00:00:00"/>
    <x v="3"/>
    <x v="2"/>
    <x v="3"/>
    <n v="689.63"/>
    <n v="524.22"/>
    <n v="1"/>
    <n v="689.63"/>
    <n v="524.22"/>
    <n v="165.40999999999997"/>
    <n v="0.23985325464379445"/>
    <x v="5"/>
    <n v="165.40999999999997"/>
  </r>
  <r>
    <d v="2024-05-13T00:00:00"/>
    <x v="0"/>
    <x v="0"/>
    <x v="0"/>
    <n v="279.3"/>
    <n v="239.8"/>
    <n v="3"/>
    <n v="837.90000000000009"/>
    <n v="719.40000000000009"/>
    <n v="118.5"/>
    <n v="0.14142499104905118"/>
    <x v="3"/>
    <n v="118.5"/>
  </r>
  <r>
    <d v="2022-11-11T00:00:00"/>
    <x v="4"/>
    <x v="2"/>
    <x v="3"/>
    <n v="993.29"/>
    <n v="815.84"/>
    <n v="5"/>
    <n v="4966.45"/>
    <n v="4079.2000000000003"/>
    <n v="887.24999999999955"/>
    <n v="0.1786487329984193"/>
    <x v="1"/>
    <n v="887.24999999999955"/>
  </r>
  <r>
    <d v="2023-01-16T00:00:00"/>
    <x v="1"/>
    <x v="1"/>
    <x v="0"/>
    <n v="1292.6500000000001"/>
    <n v="1065.8699999999999"/>
    <n v="6"/>
    <n v="7755.9000000000005"/>
    <n v="6395.2199999999993"/>
    <n v="1360.6800000000012"/>
    <n v="0.17543805361079967"/>
    <x v="13"/>
    <n v="1360.6800000000012"/>
  </r>
  <r>
    <d v="2024-03-08T00:00:00"/>
    <x v="7"/>
    <x v="0"/>
    <x v="2"/>
    <n v="1924.1"/>
    <n v="1250.3599999999999"/>
    <n v="3"/>
    <n v="5772.2999999999993"/>
    <n v="3751.08"/>
    <n v="2021.2199999999993"/>
    <n v="0.35015851566966366"/>
    <x v="29"/>
    <n v="2021.2199999999993"/>
  </r>
  <r>
    <d v="2023-02-12T00:00:00"/>
    <x v="4"/>
    <x v="2"/>
    <x v="1"/>
    <n v="794.5"/>
    <n v="591.24"/>
    <n v="2"/>
    <n v="1589"/>
    <n v="1182.48"/>
    <n v="406.52"/>
    <n v="0.25583385777218376"/>
    <x v="27"/>
    <n v="406.52"/>
  </r>
  <r>
    <d v="2023-09-29T00:00:00"/>
    <x v="2"/>
    <x v="0"/>
    <x v="0"/>
    <n v="1348.1"/>
    <n v="774.92"/>
    <n v="2"/>
    <n v="2696.2"/>
    <n v="1549.84"/>
    <n v="1146.3599999999999"/>
    <n v="0.42517617387434165"/>
    <x v="24"/>
    <n v="1146.3599999999999"/>
  </r>
  <r>
    <d v="2024-09-19T00:00:00"/>
    <x v="1"/>
    <x v="1"/>
    <x v="3"/>
    <n v="1238.06"/>
    <n v="743.26"/>
    <n v="9"/>
    <n v="11142.539999999999"/>
    <n v="6689.34"/>
    <n v="4453.1999999999989"/>
    <n v="0.39965752871427873"/>
    <x v="16"/>
    <n v="4453.1999999999989"/>
  </r>
  <r>
    <d v="2024-10-25T00:00:00"/>
    <x v="9"/>
    <x v="3"/>
    <x v="0"/>
    <n v="1109.1400000000001"/>
    <n v="964.84"/>
    <n v="9"/>
    <n v="9982.26"/>
    <n v="8683.56"/>
    <n v="1298.7000000000007"/>
    <n v="0.1301007988171016"/>
    <x v="17"/>
    <n v="1298.7000000000007"/>
  </r>
  <r>
    <d v="2023-05-19T00:00:00"/>
    <x v="5"/>
    <x v="3"/>
    <x v="2"/>
    <n v="1802.71"/>
    <n v="1615.93"/>
    <n v="2"/>
    <n v="3605.42"/>
    <n v="3231.86"/>
    <n v="373.55999999999995"/>
    <n v="0.10361067503924645"/>
    <x v="31"/>
    <n v="373.55999999999995"/>
  </r>
  <r>
    <d v="2023-11-07T00:00:00"/>
    <x v="1"/>
    <x v="1"/>
    <x v="2"/>
    <n v="30.56"/>
    <n v="19.39"/>
    <n v="4"/>
    <n v="122.24"/>
    <n v="77.56"/>
    <n v="44.679999999999993"/>
    <n v="0.36551047120418845"/>
    <x v="10"/>
    <n v="44.679999999999993"/>
  </r>
  <r>
    <d v="2023-02-08T00:00:00"/>
    <x v="9"/>
    <x v="3"/>
    <x v="2"/>
    <n v="34.229999999999997"/>
    <n v="24.04"/>
    <n v="7"/>
    <n v="239.60999999999999"/>
    <n v="168.28"/>
    <n v="71.329999999999984"/>
    <n v="0.29769208296815652"/>
    <x v="27"/>
    <n v="71.329999999999984"/>
  </r>
  <r>
    <d v="2022-04-04T00:00:00"/>
    <x v="10"/>
    <x v="2"/>
    <x v="3"/>
    <n v="1564.61"/>
    <n v="1010.13"/>
    <n v="10"/>
    <n v="15646.099999999999"/>
    <n v="10101.299999999999"/>
    <n v="5544.7999999999993"/>
    <n v="0.35438863358920114"/>
    <x v="32"/>
    <n v="5544.7999999999993"/>
  </r>
  <r>
    <d v="2023-12-28T00:00:00"/>
    <x v="2"/>
    <x v="0"/>
    <x v="3"/>
    <n v="183.1"/>
    <n v="161.44"/>
    <n v="2"/>
    <n v="366.2"/>
    <n v="322.88"/>
    <n v="43.319999999999993"/>
    <n v="0.11829601310759147"/>
    <x v="30"/>
    <n v="43.319999999999993"/>
  </r>
  <r>
    <d v="2023-04-04T00:00:00"/>
    <x v="5"/>
    <x v="3"/>
    <x v="1"/>
    <n v="752.55"/>
    <n v="413.25"/>
    <n v="4"/>
    <n v="3010.2"/>
    <n v="1653"/>
    <n v="1357.1999999999998"/>
    <n v="0.45086705202312133"/>
    <x v="6"/>
    <n v="1357.1999999999998"/>
  </r>
  <r>
    <d v="2022-06-11T00:00:00"/>
    <x v="1"/>
    <x v="1"/>
    <x v="2"/>
    <n v="964.61"/>
    <n v="569.16999999999996"/>
    <n v="1"/>
    <n v="964.61"/>
    <n v="569.16999999999996"/>
    <n v="395.44000000000005"/>
    <n v="0.40994806191103145"/>
    <x v="18"/>
    <n v="395.44000000000005"/>
  </r>
  <r>
    <d v="2023-04-21T00:00:00"/>
    <x v="7"/>
    <x v="0"/>
    <x v="0"/>
    <n v="636.5"/>
    <n v="448.85"/>
    <n v="7"/>
    <n v="4455.5"/>
    <n v="3141.9500000000003"/>
    <n v="1313.5499999999997"/>
    <n v="0.29481539670070694"/>
    <x v="6"/>
    <n v="1313.5499999999997"/>
  </r>
  <r>
    <d v="2023-06-22T00:00:00"/>
    <x v="9"/>
    <x v="3"/>
    <x v="3"/>
    <n v="342.9"/>
    <n v="301.60000000000002"/>
    <n v="8"/>
    <n v="2743.2"/>
    <n v="2412.8000000000002"/>
    <n v="330.39999999999964"/>
    <n v="0.12044327792359276"/>
    <x v="0"/>
    <n v="330.39999999999964"/>
  </r>
  <r>
    <d v="2024-10-19T00:00:00"/>
    <x v="3"/>
    <x v="2"/>
    <x v="3"/>
    <n v="1511.86"/>
    <n v="1274.95"/>
    <n v="10"/>
    <n v="15118.599999999999"/>
    <n v="12749.5"/>
    <n v="2369.0999999999985"/>
    <n v="0.15670101728996064"/>
    <x v="17"/>
    <n v="2369.0999999999985"/>
  </r>
  <r>
    <d v="2023-12-01T00:00:00"/>
    <x v="5"/>
    <x v="3"/>
    <x v="2"/>
    <n v="1603.87"/>
    <n v="909.28"/>
    <n v="6"/>
    <n v="9623.2199999999993"/>
    <n v="5455.68"/>
    <n v="4167.5399999999991"/>
    <n v="0.43307125889255355"/>
    <x v="30"/>
    <n v="4167.5399999999991"/>
  </r>
  <r>
    <d v="2022-02-03T00:00:00"/>
    <x v="9"/>
    <x v="3"/>
    <x v="2"/>
    <n v="209.66"/>
    <n v="170.89"/>
    <n v="9"/>
    <n v="1886.94"/>
    <n v="1538.0099999999998"/>
    <n v="348.93000000000029"/>
    <n v="0.18491843937804078"/>
    <x v="20"/>
    <n v="348.93000000000029"/>
  </r>
  <r>
    <d v="2022-09-05T00:00:00"/>
    <x v="5"/>
    <x v="3"/>
    <x v="1"/>
    <n v="1860.99"/>
    <n v="1017.32"/>
    <n v="4"/>
    <n v="7443.96"/>
    <n v="4069.28"/>
    <n v="3374.68"/>
    <n v="0.45334472511942564"/>
    <x v="12"/>
    <n v="3374.68"/>
  </r>
  <r>
    <d v="2022-05-24T00:00:00"/>
    <x v="10"/>
    <x v="2"/>
    <x v="0"/>
    <n v="1022.36"/>
    <n v="814.42"/>
    <n v="10"/>
    <n v="10223.6"/>
    <n v="8144.2"/>
    <n v="2079.4000000000005"/>
    <n v="0.20339215149262496"/>
    <x v="35"/>
    <n v="2079.4000000000005"/>
  </r>
  <r>
    <d v="2024-05-03T00:00:00"/>
    <x v="1"/>
    <x v="1"/>
    <x v="0"/>
    <n v="100.78"/>
    <n v="67.790000000000006"/>
    <n v="1"/>
    <n v="100.78"/>
    <n v="67.790000000000006"/>
    <n v="32.989999999999995"/>
    <n v="0.32734669577297076"/>
    <x v="3"/>
    <n v="32.989999999999995"/>
  </r>
  <r>
    <d v="2023-02-25T00:00:00"/>
    <x v="7"/>
    <x v="0"/>
    <x v="0"/>
    <n v="1239.04"/>
    <n v="708.4"/>
    <n v="10"/>
    <n v="12390.4"/>
    <n v="7084"/>
    <n v="5306.4"/>
    <n v="0.42826704545454541"/>
    <x v="27"/>
    <n v="5306.4"/>
  </r>
  <r>
    <d v="2024-10-13T00:00:00"/>
    <x v="2"/>
    <x v="0"/>
    <x v="1"/>
    <n v="573.80999999999995"/>
    <n v="465.84"/>
    <n v="8"/>
    <n v="4590.4799999999996"/>
    <n v="3726.72"/>
    <n v="863.75999999999976"/>
    <n v="0.18816332932503788"/>
    <x v="17"/>
    <n v="863.75999999999976"/>
  </r>
  <r>
    <d v="2023-11-28T00:00:00"/>
    <x v="0"/>
    <x v="0"/>
    <x v="0"/>
    <n v="1672.74"/>
    <n v="1005.51"/>
    <n v="1"/>
    <n v="1672.74"/>
    <n v="1005.51"/>
    <n v="667.23"/>
    <n v="0.39888446500950536"/>
    <x v="10"/>
    <n v="667.23"/>
  </r>
  <r>
    <d v="2022-08-05T00:00:00"/>
    <x v="3"/>
    <x v="2"/>
    <x v="3"/>
    <n v="1895.55"/>
    <n v="1296.49"/>
    <n v="7"/>
    <n v="13268.85"/>
    <n v="9075.43"/>
    <n v="4193.42"/>
    <n v="0.3160349239007148"/>
    <x v="15"/>
    <n v="4193.42"/>
  </r>
  <r>
    <d v="2023-10-02T00:00:00"/>
    <x v="1"/>
    <x v="1"/>
    <x v="2"/>
    <n v="1404.42"/>
    <n v="1209.3599999999999"/>
    <n v="2"/>
    <n v="2808.84"/>
    <n v="2418.7199999999998"/>
    <n v="390.12000000000035"/>
    <n v="0.13889007561840486"/>
    <x v="5"/>
    <n v="390.12000000000035"/>
  </r>
  <r>
    <d v="2022-09-17T00:00:00"/>
    <x v="2"/>
    <x v="0"/>
    <x v="2"/>
    <n v="1797.05"/>
    <n v="1458.88"/>
    <n v="2"/>
    <n v="3594.1"/>
    <n v="2917.76"/>
    <n v="676.33999999999969"/>
    <n v="0.18818062936479221"/>
    <x v="12"/>
    <n v="676.33999999999969"/>
  </r>
  <r>
    <d v="2023-03-03T00:00:00"/>
    <x v="9"/>
    <x v="3"/>
    <x v="2"/>
    <n v="1995.75"/>
    <n v="1636.37"/>
    <n v="8"/>
    <n v="15966"/>
    <n v="13090.96"/>
    <n v="2875.0400000000009"/>
    <n v="0.18007265439058004"/>
    <x v="19"/>
    <n v="2875.0400000000009"/>
  </r>
  <r>
    <d v="2022-12-12T00:00:00"/>
    <x v="5"/>
    <x v="3"/>
    <x v="1"/>
    <n v="1062.33"/>
    <n v="702.07"/>
    <n v="7"/>
    <n v="7436.3099999999995"/>
    <n v="4914.4900000000007"/>
    <n v="2521.8199999999988"/>
    <n v="0.33912249489330043"/>
    <x v="33"/>
    <n v="2521.8199999999988"/>
  </r>
  <r>
    <d v="2022-11-20T00:00:00"/>
    <x v="8"/>
    <x v="1"/>
    <x v="1"/>
    <n v="1345.16"/>
    <n v="790.9"/>
    <n v="2"/>
    <n v="2690.32"/>
    <n v="1581.8"/>
    <n v="1108.5200000000002"/>
    <n v="0.4120402033958786"/>
    <x v="1"/>
    <n v="1108.5200000000002"/>
  </r>
  <r>
    <d v="2024-03-08T00:00:00"/>
    <x v="2"/>
    <x v="0"/>
    <x v="3"/>
    <n v="232.79"/>
    <n v="203.45"/>
    <n v="8"/>
    <n v="1862.32"/>
    <n v="1627.6"/>
    <n v="234.72000000000003"/>
    <n v="0.12603634176725806"/>
    <x v="29"/>
    <n v="234.72000000000003"/>
  </r>
  <r>
    <d v="2022-10-17T00:00:00"/>
    <x v="4"/>
    <x v="2"/>
    <x v="0"/>
    <n v="898.11"/>
    <n v="500.83"/>
    <n v="4"/>
    <n v="3592.44"/>
    <n v="2003.32"/>
    <n v="1589.1200000000001"/>
    <n v="0.44235115965750299"/>
    <x v="25"/>
    <n v="1589.1200000000001"/>
  </r>
  <r>
    <d v="2023-07-05T00:00:00"/>
    <x v="3"/>
    <x v="2"/>
    <x v="1"/>
    <n v="1664.85"/>
    <n v="1266.3499999999999"/>
    <n v="5"/>
    <n v="8324.25"/>
    <n v="6331.75"/>
    <n v="1992.5"/>
    <n v="0.23936090338468932"/>
    <x v="11"/>
    <n v="1992.5"/>
  </r>
  <r>
    <d v="2023-06-15T00:00:00"/>
    <x v="3"/>
    <x v="2"/>
    <x v="2"/>
    <n v="54.32"/>
    <n v="38.049999999999997"/>
    <n v="10"/>
    <n v="543.20000000000005"/>
    <n v="380.5"/>
    <n v="162.70000000000005"/>
    <n v="0.29952135493372611"/>
    <x v="0"/>
    <n v="162.70000000000005"/>
  </r>
  <r>
    <d v="2023-11-21T00:00:00"/>
    <x v="6"/>
    <x v="3"/>
    <x v="3"/>
    <n v="349.63"/>
    <n v="177.75"/>
    <n v="9"/>
    <n v="3146.67"/>
    <n v="1599.75"/>
    <n v="1546.92"/>
    <n v="0.49160541143494552"/>
    <x v="10"/>
    <n v="1546.92"/>
  </r>
  <r>
    <d v="2023-04-27T00:00:00"/>
    <x v="10"/>
    <x v="2"/>
    <x v="2"/>
    <n v="1401.23"/>
    <n v="1235.75"/>
    <n v="10"/>
    <n v="14012.3"/>
    <n v="12357.5"/>
    <n v="1654.7999999999993"/>
    <n v="0.11809624401418749"/>
    <x v="6"/>
    <n v="1654.7999999999993"/>
  </r>
  <r>
    <d v="2023-02-02T00:00:00"/>
    <x v="8"/>
    <x v="1"/>
    <x v="1"/>
    <n v="1176.3699999999999"/>
    <n v="808.12"/>
    <n v="5"/>
    <n v="5881.8499999999995"/>
    <n v="4040.6"/>
    <n v="1841.2499999999995"/>
    <n v="0.31303926485714523"/>
    <x v="27"/>
    <n v="1841.2499999999995"/>
  </r>
  <r>
    <d v="2022-04-08T00:00:00"/>
    <x v="5"/>
    <x v="3"/>
    <x v="3"/>
    <n v="1437.75"/>
    <n v="1286.44"/>
    <n v="4"/>
    <n v="5751"/>
    <n v="5145.76"/>
    <n v="605.23999999999978"/>
    <n v="0.1052408276821422"/>
    <x v="32"/>
    <n v="605.23999999999978"/>
  </r>
  <r>
    <d v="2022-02-17T00:00:00"/>
    <x v="0"/>
    <x v="0"/>
    <x v="3"/>
    <n v="595.37"/>
    <n v="531.96"/>
    <n v="8"/>
    <n v="4762.96"/>
    <n v="4255.68"/>
    <n v="507.27999999999975"/>
    <n v="0.10650519844802386"/>
    <x v="20"/>
    <n v="507.27999999999975"/>
  </r>
  <r>
    <d v="2022-06-29T00:00:00"/>
    <x v="9"/>
    <x v="3"/>
    <x v="2"/>
    <n v="689.16"/>
    <n v="540.09"/>
    <n v="6"/>
    <n v="4134.96"/>
    <n v="3240.54"/>
    <n v="894.42000000000007"/>
    <n v="0.21630680828835105"/>
    <x v="18"/>
    <n v="894.42000000000007"/>
  </r>
  <r>
    <d v="2023-10-28T00:00:00"/>
    <x v="1"/>
    <x v="1"/>
    <x v="3"/>
    <n v="1380.18"/>
    <n v="836.4"/>
    <n v="8"/>
    <n v="11041.44"/>
    <n v="6691.2"/>
    <n v="4350.2400000000007"/>
    <n v="0.39399208798852325"/>
    <x v="5"/>
    <n v="4350.2400000000007"/>
  </r>
  <r>
    <d v="2022-03-20T00:00:00"/>
    <x v="10"/>
    <x v="2"/>
    <x v="1"/>
    <n v="622.35"/>
    <n v="501.7"/>
    <n v="5"/>
    <n v="3111.75"/>
    <n v="2508.5"/>
    <n v="603.25"/>
    <n v="0.19386197477303768"/>
    <x v="7"/>
    <n v="603.25"/>
  </r>
  <r>
    <d v="2024-03-11T00:00:00"/>
    <x v="6"/>
    <x v="3"/>
    <x v="0"/>
    <n v="327.93"/>
    <n v="281.54000000000002"/>
    <n v="2"/>
    <n v="655.86"/>
    <n v="563.08000000000004"/>
    <n v="92.779999999999973"/>
    <n v="0.14146311712865547"/>
    <x v="29"/>
    <n v="92.779999999999973"/>
  </r>
  <r>
    <d v="2022-09-24T00:00:00"/>
    <x v="7"/>
    <x v="0"/>
    <x v="1"/>
    <n v="89.93"/>
    <n v="68.099999999999994"/>
    <n v="7"/>
    <n v="629.51"/>
    <n v="476.69999999999993"/>
    <n v="152.81000000000006"/>
    <n v="0.2427443567218949"/>
    <x v="12"/>
    <n v="152.81000000000006"/>
  </r>
  <r>
    <d v="2024-10-10T00:00:00"/>
    <x v="7"/>
    <x v="0"/>
    <x v="0"/>
    <n v="104.42"/>
    <n v="82.77"/>
    <n v="5"/>
    <n v="522.1"/>
    <n v="413.84999999999997"/>
    <n v="108.25000000000006"/>
    <n v="0.2073357594330589"/>
    <x v="17"/>
    <n v="108.25000000000006"/>
  </r>
  <r>
    <d v="2023-06-28T00:00:00"/>
    <x v="0"/>
    <x v="0"/>
    <x v="3"/>
    <n v="591.48"/>
    <n v="379"/>
    <n v="7"/>
    <n v="4140.3600000000006"/>
    <n v="2653"/>
    <n v="1487.3600000000006"/>
    <n v="0.35923446270372633"/>
    <x v="0"/>
    <n v="1487.3600000000006"/>
  </r>
  <r>
    <d v="2024-11-27T00:00:00"/>
    <x v="4"/>
    <x v="2"/>
    <x v="1"/>
    <n v="1344.28"/>
    <n v="694.53"/>
    <n v="8"/>
    <n v="10754.24"/>
    <n v="5556.24"/>
    <n v="5198"/>
    <n v="0.48334424375874074"/>
    <x v="2"/>
    <n v="5198"/>
  </r>
  <r>
    <d v="2022-01-21T00:00:00"/>
    <x v="2"/>
    <x v="0"/>
    <x v="2"/>
    <n v="48.2"/>
    <n v="38.92"/>
    <n v="4"/>
    <n v="192.8"/>
    <n v="155.68"/>
    <n v="37.120000000000005"/>
    <n v="0.19253112033195022"/>
    <x v="9"/>
    <n v="37.120000000000005"/>
  </r>
  <r>
    <d v="2023-05-23T00:00:00"/>
    <x v="5"/>
    <x v="3"/>
    <x v="3"/>
    <n v="1396.48"/>
    <n v="1111.55"/>
    <n v="9"/>
    <n v="12568.32"/>
    <n v="10003.949999999999"/>
    <n v="2564.3700000000008"/>
    <n v="0.20403442942254818"/>
    <x v="31"/>
    <n v="2564.3700000000008"/>
  </r>
  <r>
    <d v="2024-07-15T00:00:00"/>
    <x v="10"/>
    <x v="2"/>
    <x v="0"/>
    <n v="66.95"/>
    <n v="54.3"/>
    <n v="4"/>
    <n v="267.8"/>
    <n v="217.2"/>
    <n v="50.600000000000023"/>
    <n v="0.18894697535474242"/>
    <x v="28"/>
    <n v="50.600000000000023"/>
  </r>
  <r>
    <d v="2022-09-07T00:00:00"/>
    <x v="6"/>
    <x v="3"/>
    <x v="3"/>
    <n v="697.07"/>
    <n v="468.86"/>
    <n v="5"/>
    <n v="3485.3500000000004"/>
    <n v="2344.3000000000002"/>
    <n v="1141.0500000000002"/>
    <n v="0.32738462421277637"/>
    <x v="12"/>
    <n v="1141.0500000000002"/>
  </r>
  <r>
    <d v="2023-04-04T00:00:00"/>
    <x v="10"/>
    <x v="2"/>
    <x v="0"/>
    <n v="1487.39"/>
    <n v="1032.07"/>
    <n v="5"/>
    <n v="7436.9500000000007"/>
    <n v="5160.3499999999995"/>
    <n v="2276.6000000000013"/>
    <n v="0.30612011644558601"/>
    <x v="6"/>
    <n v="2276.6000000000013"/>
  </r>
  <r>
    <d v="2023-10-03T00:00:00"/>
    <x v="10"/>
    <x v="2"/>
    <x v="1"/>
    <n v="1311.01"/>
    <n v="824.41"/>
    <n v="4"/>
    <n v="5244.04"/>
    <n v="3297.64"/>
    <n v="1946.4"/>
    <n v="0.37116421690147294"/>
    <x v="5"/>
    <n v="1946.4"/>
  </r>
  <r>
    <d v="2022-08-20T00:00:00"/>
    <x v="3"/>
    <x v="2"/>
    <x v="1"/>
    <n v="52.33"/>
    <n v="32.61"/>
    <n v="6"/>
    <n v="313.98"/>
    <n v="195.66"/>
    <n v="118.32000000000002"/>
    <n v="0.37683928912669601"/>
    <x v="15"/>
    <n v="118.32000000000002"/>
  </r>
  <r>
    <d v="2023-08-10T00:00:00"/>
    <x v="10"/>
    <x v="2"/>
    <x v="3"/>
    <n v="1692.93"/>
    <n v="1157.4000000000001"/>
    <n v="1"/>
    <n v="1692.93"/>
    <n v="1157.4000000000001"/>
    <n v="535.53"/>
    <n v="0.31633322110187662"/>
    <x v="14"/>
    <n v="535.53"/>
  </r>
  <r>
    <d v="2022-01-15T00:00:00"/>
    <x v="3"/>
    <x v="2"/>
    <x v="2"/>
    <n v="1309.46"/>
    <n v="751.62"/>
    <n v="1"/>
    <n v="1309.46"/>
    <n v="751.62"/>
    <n v="557.84"/>
    <n v="0.42600766728269668"/>
    <x v="9"/>
    <n v="557.84"/>
  </r>
  <r>
    <d v="2024-04-14T00:00:00"/>
    <x v="6"/>
    <x v="3"/>
    <x v="3"/>
    <n v="1851.59"/>
    <n v="1410.6"/>
    <n v="7"/>
    <n v="12961.13"/>
    <n v="9874.1999999999989"/>
    <n v="3086.9300000000003"/>
    <n v="0.23816827699436705"/>
    <x v="22"/>
    <n v="3086.9300000000003"/>
  </r>
  <r>
    <d v="2023-01-27T00:00:00"/>
    <x v="4"/>
    <x v="2"/>
    <x v="2"/>
    <n v="1057.23"/>
    <n v="854.97"/>
    <n v="3"/>
    <n v="3171.69"/>
    <n v="2564.91"/>
    <n v="606.7800000000002"/>
    <n v="0.19131125677477945"/>
    <x v="13"/>
    <n v="606.7800000000002"/>
  </r>
  <r>
    <d v="2024-08-14T00:00:00"/>
    <x v="0"/>
    <x v="0"/>
    <x v="2"/>
    <n v="408.65"/>
    <n v="250.46"/>
    <n v="3"/>
    <n v="1225.9499999999998"/>
    <n v="751.38"/>
    <n v="474.56999999999982"/>
    <n v="0.38710387862473988"/>
    <x v="21"/>
    <n v="474.56999999999982"/>
  </r>
  <r>
    <d v="2022-02-21T00:00:00"/>
    <x v="3"/>
    <x v="2"/>
    <x v="0"/>
    <n v="638.16999999999996"/>
    <n v="437.05"/>
    <n v="3"/>
    <n v="1914.5099999999998"/>
    <n v="1311.15"/>
    <n v="603.35999999999967"/>
    <n v="0.31515113527743377"/>
    <x v="20"/>
    <n v="603.35999999999967"/>
  </r>
  <r>
    <d v="2024-03-19T00:00:00"/>
    <x v="0"/>
    <x v="0"/>
    <x v="3"/>
    <n v="119.08"/>
    <n v="91.84"/>
    <n v="2"/>
    <n v="238.16"/>
    <n v="183.68"/>
    <n v="54.47999999999999"/>
    <n v="0.22875377897211954"/>
    <x v="29"/>
    <n v="54.47999999999999"/>
  </r>
  <r>
    <d v="2024-09-28T00:00:00"/>
    <x v="9"/>
    <x v="3"/>
    <x v="2"/>
    <n v="1757.15"/>
    <n v="1247.44"/>
    <n v="3"/>
    <n v="5271.4500000000007"/>
    <n v="3742.32"/>
    <n v="1529.1300000000006"/>
    <n v="0.29007768261104638"/>
    <x v="16"/>
    <n v="1529.1300000000006"/>
  </r>
  <r>
    <d v="2022-07-21T00:00:00"/>
    <x v="10"/>
    <x v="2"/>
    <x v="2"/>
    <n v="1319.55"/>
    <n v="1009.67"/>
    <n v="3"/>
    <n v="3958.6499999999996"/>
    <n v="3029.0099999999998"/>
    <n v="929.63999999999987"/>
    <n v="0.23483763404190822"/>
    <x v="8"/>
    <n v="929.63999999999987"/>
  </r>
  <r>
    <d v="2022-05-17T00:00:00"/>
    <x v="3"/>
    <x v="2"/>
    <x v="0"/>
    <n v="1778.68"/>
    <n v="978.49"/>
    <n v="9"/>
    <n v="16008.12"/>
    <n v="8806.41"/>
    <n v="7201.7100000000009"/>
    <n v="0.44987856162997281"/>
    <x v="35"/>
    <n v="7201.7100000000009"/>
  </r>
  <r>
    <d v="2022-10-02T00:00:00"/>
    <x v="1"/>
    <x v="1"/>
    <x v="1"/>
    <n v="1942.09"/>
    <n v="1391.25"/>
    <n v="9"/>
    <n v="17478.809999999998"/>
    <n v="12521.25"/>
    <n v="4957.5599999999977"/>
    <n v="0.283632581394271"/>
    <x v="25"/>
    <n v="4957.5599999999977"/>
  </r>
  <r>
    <d v="2023-06-09T00:00:00"/>
    <x v="1"/>
    <x v="1"/>
    <x v="2"/>
    <n v="1750.08"/>
    <n v="1242.3800000000001"/>
    <n v="9"/>
    <n v="15750.72"/>
    <n v="11181.420000000002"/>
    <n v="4569.2999999999975"/>
    <n v="0.29010102395319054"/>
    <x v="0"/>
    <n v="4569.2999999999975"/>
  </r>
  <r>
    <d v="2023-05-05T00:00:00"/>
    <x v="3"/>
    <x v="2"/>
    <x v="3"/>
    <n v="1356.39"/>
    <n v="977.21"/>
    <n v="5"/>
    <n v="6781.9500000000007"/>
    <n v="4886.05"/>
    <n v="1895.9000000000005"/>
    <n v="0.2795508666386512"/>
    <x v="31"/>
    <n v="1895.9000000000005"/>
  </r>
  <r>
    <d v="2023-02-04T00:00:00"/>
    <x v="9"/>
    <x v="3"/>
    <x v="3"/>
    <n v="1136.47"/>
    <n v="932.83"/>
    <n v="5"/>
    <n v="5682.35"/>
    <n v="4664.1500000000005"/>
    <n v="1018.1999999999998"/>
    <n v="0.17918642815032509"/>
    <x v="27"/>
    <n v="1018.1999999999998"/>
  </r>
  <r>
    <d v="2024-02-07T00:00:00"/>
    <x v="6"/>
    <x v="3"/>
    <x v="3"/>
    <n v="1181.3399999999999"/>
    <n v="646.54999999999995"/>
    <n v="10"/>
    <n v="11813.4"/>
    <n v="6465.5"/>
    <n v="5347.9"/>
    <n v="0.4526977838725515"/>
    <x v="34"/>
    <n v="5347.9"/>
  </r>
  <r>
    <d v="2022-03-18T00:00:00"/>
    <x v="6"/>
    <x v="3"/>
    <x v="0"/>
    <n v="1694.96"/>
    <n v="1385.32"/>
    <n v="10"/>
    <n v="16949.599999999999"/>
    <n v="13853.199999999999"/>
    <n v="3096.3999999999996"/>
    <n v="0.18268277717468259"/>
    <x v="7"/>
    <n v="3096.3999999999996"/>
  </r>
  <r>
    <d v="2023-04-20T00:00:00"/>
    <x v="3"/>
    <x v="2"/>
    <x v="0"/>
    <n v="1069.8"/>
    <n v="570.5"/>
    <n v="5"/>
    <n v="5349"/>
    <n v="2852.5"/>
    <n v="2496.5"/>
    <n v="0.46672275191624601"/>
    <x v="6"/>
    <n v="2496.5"/>
  </r>
  <r>
    <d v="2022-01-23T00:00:00"/>
    <x v="4"/>
    <x v="2"/>
    <x v="3"/>
    <n v="928.25"/>
    <n v="586.07000000000005"/>
    <n v="5"/>
    <n v="4641.25"/>
    <n v="2930.3500000000004"/>
    <n v="1710.8999999999996"/>
    <n v="0.36862914085645021"/>
    <x v="9"/>
    <n v="1710.8999999999996"/>
  </r>
  <r>
    <d v="2022-07-30T00:00:00"/>
    <x v="4"/>
    <x v="2"/>
    <x v="1"/>
    <n v="1731.04"/>
    <n v="1174.29"/>
    <n v="8"/>
    <n v="13848.32"/>
    <n v="9394.32"/>
    <n v="4454"/>
    <n v="0.32162746094833167"/>
    <x v="8"/>
    <n v="4454"/>
  </r>
  <r>
    <d v="2024-11-15T00:00:00"/>
    <x v="6"/>
    <x v="3"/>
    <x v="2"/>
    <n v="918.82"/>
    <n v="566.97"/>
    <n v="9"/>
    <n v="8269.380000000001"/>
    <n v="5102.7300000000005"/>
    <n v="3166.6500000000005"/>
    <n v="0.38293681025663351"/>
    <x v="2"/>
    <n v="3166.6500000000005"/>
  </r>
  <r>
    <d v="2023-12-14T00:00:00"/>
    <x v="7"/>
    <x v="0"/>
    <x v="0"/>
    <n v="349.9"/>
    <n v="280.93"/>
    <n v="9"/>
    <n v="3149.1"/>
    <n v="2528.37"/>
    <n v="620.73"/>
    <n v="0.19711346098885396"/>
    <x v="30"/>
    <n v="620.73"/>
  </r>
  <r>
    <d v="2023-06-06T00:00:00"/>
    <x v="5"/>
    <x v="3"/>
    <x v="0"/>
    <n v="1363.8"/>
    <n v="1128.9100000000001"/>
    <n v="1"/>
    <n v="1363.8"/>
    <n v="1128.9100000000001"/>
    <n v="234.88999999999987"/>
    <n v="0.17223199882680737"/>
    <x v="0"/>
    <n v="234.88999999999987"/>
  </r>
  <r>
    <d v="2024-02-09T00:00:00"/>
    <x v="2"/>
    <x v="0"/>
    <x v="0"/>
    <n v="1086.1400000000001"/>
    <n v="898.14"/>
    <n v="7"/>
    <n v="7602.9800000000005"/>
    <n v="6286.98"/>
    <n v="1316.0000000000009"/>
    <n v="0.17309002522695061"/>
    <x v="34"/>
    <n v="1316.0000000000009"/>
  </r>
  <r>
    <d v="2022-07-27T00:00:00"/>
    <x v="1"/>
    <x v="1"/>
    <x v="2"/>
    <n v="177.83"/>
    <n v="143.85"/>
    <n v="10"/>
    <n v="1778.3000000000002"/>
    <n v="1438.5"/>
    <n v="339.80000000000018"/>
    <n v="0.19108136984760735"/>
    <x v="8"/>
    <n v="339.80000000000018"/>
  </r>
  <r>
    <d v="2023-11-09T00:00:00"/>
    <x v="6"/>
    <x v="3"/>
    <x v="3"/>
    <n v="1569.13"/>
    <n v="792.65"/>
    <n v="1"/>
    <n v="1569.13"/>
    <n v="792.65"/>
    <n v="776.48000000000013"/>
    <n v="0.49484746324396328"/>
    <x v="10"/>
    <n v="776.48000000000013"/>
  </r>
  <r>
    <d v="2023-02-01T00:00:00"/>
    <x v="0"/>
    <x v="0"/>
    <x v="0"/>
    <n v="773"/>
    <n v="649.45000000000005"/>
    <n v="6"/>
    <n v="4638"/>
    <n v="3896.7000000000003"/>
    <n v="741.29999999999973"/>
    <n v="0.15983182406209567"/>
    <x v="27"/>
    <n v="741.29999999999973"/>
  </r>
  <r>
    <d v="2023-05-23T00:00:00"/>
    <x v="3"/>
    <x v="2"/>
    <x v="3"/>
    <n v="1893.16"/>
    <n v="1107.47"/>
    <n v="1"/>
    <n v="1893.16"/>
    <n v="1107.47"/>
    <n v="785.69"/>
    <n v="0.41501510701683958"/>
    <x v="31"/>
    <n v="785.69"/>
  </r>
  <r>
    <d v="2022-09-29T00:00:00"/>
    <x v="9"/>
    <x v="3"/>
    <x v="1"/>
    <n v="349.65"/>
    <n v="313.87"/>
    <n v="7"/>
    <n v="2447.5499999999997"/>
    <n v="2197.09"/>
    <n v="250.45999999999958"/>
    <n v="0.10233090233090217"/>
    <x v="12"/>
    <n v="250.45999999999958"/>
  </r>
  <r>
    <d v="2022-02-15T00:00:00"/>
    <x v="2"/>
    <x v="0"/>
    <x v="2"/>
    <n v="996.77"/>
    <n v="762.07"/>
    <n v="2"/>
    <n v="1993.54"/>
    <n v="1524.14"/>
    <n v="469.39999999999986"/>
    <n v="0.23546053753624199"/>
    <x v="20"/>
    <n v="469.39999999999986"/>
  </r>
  <r>
    <d v="2023-11-21T00:00:00"/>
    <x v="7"/>
    <x v="0"/>
    <x v="2"/>
    <n v="1828.4"/>
    <n v="1156.74"/>
    <n v="2"/>
    <n v="3656.8"/>
    <n v="2313.48"/>
    <n v="1343.3200000000002"/>
    <n v="0.36734850142200837"/>
    <x v="10"/>
    <n v="1343.3200000000002"/>
  </r>
  <r>
    <d v="2022-10-27T00:00:00"/>
    <x v="7"/>
    <x v="0"/>
    <x v="1"/>
    <n v="310.33"/>
    <n v="212"/>
    <n v="7"/>
    <n v="2172.31"/>
    <n v="1484"/>
    <n v="688.31"/>
    <n v="0.3168562497986015"/>
    <x v="25"/>
    <n v="688.31"/>
  </r>
  <r>
    <d v="2024-05-01T00:00:00"/>
    <x v="7"/>
    <x v="0"/>
    <x v="2"/>
    <n v="1674.06"/>
    <n v="1424.73"/>
    <n v="3"/>
    <n v="5022.18"/>
    <n v="4274.1900000000005"/>
    <n v="747.98999999999978"/>
    <n v="0.14893731407476429"/>
    <x v="3"/>
    <n v="747.98999999999978"/>
  </r>
  <r>
    <d v="2024-03-20T00:00:00"/>
    <x v="4"/>
    <x v="2"/>
    <x v="1"/>
    <n v="504.35"/>
    <n v="343.87"/>
    <n v="7"/>
    <n v="3530.4500000000003"/>
    <n v="2407.09"/>
    <n v="1123.3600000000001"/>
    <n v="0.31819173193218997"/>
    <x v="29"/>
    <n v="1123.3600000000001"/>
  </r>
  <r>
    <d v="2022-09-14T00:00:00"/>
    <x v="2"/>
    <x v="0"/>
    <x v="1"/>
    <n v="1930.7"/>
    <n v="1619.73"/>
    <n v="1"/>
    <n v="1930.7"/>
    <n v="1619.73"/>
    <n v="310.97000000000003"/>
    <n v="0.16106593463510646"/>
    <x v="12"/>
    <n v="310.97000000000003"/>
  </r>
  <r>
    <d v="2024-12-27T00:00:00"/>
    <x v="8"/>
    <x v="1"/>
    <x v="3"/>
    <n v="1838.17"/>
    <n v="1352.8"/>
    <n v="1"/>
    <n v="1838.17"/>
    <n v="1352.8"/>
    <n v="485.37000000000012"/>
    <n v="0.26405065907941055"/>
    <x v="23"/>
    <n v="485.37000000000012"/>
  </r>
  <r>
    <d v="2022-04-29T00:00:00"/>
    <x v="1"/>
    <x v="1"/>
    <x v="2"/>
    <n v="131.12"/>
    <n v="68.09"/>
    <n v="2"/>
    <n v="262.24"/>
    <n v="136.18"/>
    <n v="126.06"/>
    <n v="0.48070469798657717"/>
    <x v="32"/>
    <n v="126.06"/>
  </r>
  <r>
    <d v="2023-01-09T00:00:00"/>
    <x v="10"/>
    <x v="2"/>
    <x v="1"/>
    <n v="1672.79"/>
    <n v="1285.73"/>
    <n v="10"/>
    <n v="16727.900000000001"/>
    <n v="12857.3"/>
    <n v="3870.6000000000022"/>
    <n v="0.23138588824658216"/>
    <x v="13"/>
    <n v="3870.6000000000022"/>
  </r>
  <r>
    <d v="2023-06-05T00:00:00"/>
    <x v="4"/>
    <x v="2"/>
    <x v="2"/>
    <n v="815.93"/>
    <n v="565.45000000000005"/>
    <n v="9"/>
    <n v="7343.37"/>
    <n v="5089.05"/>
    <n v="2254.3199999999997"/>
    <n v="0.30698711899305087"/>
    <x v="0"/>
    <n v="2254.3199999999997"/>
  </r>
  <r>
    <d v="2022-11-21T00:00:00"/>
    <x v="5"/>
    <x v="3"/>
    <x v="0"/>
    <n v="1474.52"/>
    <n v="754.31"/>
    <n v="5"/>
    <n v="7372.6"/>
    <n v="3771.5499999999997"/>
    <n v="3601.0500000000006"/>
    <n v="0.48843691506388526"/>
    <x v="1"/>
    <n v="3601.0500000000006"/>
  </r>
  <r>
    <d v="2022-10-18T00:00:00"/>
    <x v="8"/>
    <x v="1"/>
    <x v="1"/>
    <n v="61.49"/>
    <n v="43.01"/>
    <n v="1"/>
    <n v="61.49"/>
    <n v="43.01"/>
    <n v="18.480000000000004"/>
    <n v="0.30053667262969597"/>
    <x v="25"/>
    <n v="18.480000000000004"/>
  </r>
  <r>
    <d v="2022-09-02T00:00:00"/>
    <x v="6"/>
    <x v="3"/>
    <x v="0"/>
    <n v="1262.19"/>
    <n v="631.75"/>
    <n v="2"/>
    <n v="2524.38"/>
    <n v="1263.5"/>
    <n v="1260.8800000000001"/>
    <n v="0.49948106069609172"/>
    <x v="12"/>
    <n v="1260.8800000000001"/>
  </r>
  <r>
    <d v="2024-05-26T00:00:00"/>
    <x v="4"/>
    <x v="2"/>
    <x v="0"/>
    <n v="1877.86"/>
    <n v="1428.12"/>
    <n v="7"/>
    <n v="13145.019999999999"/>
    <n v="9996.84"/>
    <n v="3148.1799999999985"/>
    <n v="0.23949602206767268"/>
    <x v="3"/>
    <n v="3148.1799999999985"/>
  </r>
  <r>
    <d v="2023-09-03T00:00:00"/>
    <x v="2"/>
    <x v="0"/>
    <x v="3"/>
    <n v="1038.4100000000001"/>
    <n v="741.9"/>
    <n v="7"/>
    <n v="7268.8700000000008"/>
    <n v="5193.3"/>
    <n v="2075.5700000000006"/>
    <n v="0.28554231950770897"/>
    <x v="24"/>
    <n v="2075.5700000000006"/>
  </r>
  <r>
    <d v="2023-12-02T00:00:00"/>
    <x v="1"/>
    <x v="1"/>
    <x v="3"/>
    <n v="82.63"/>
    <n v="71.41"/>
    <n v="8"/>
    <n v="661.04"/>
    <n v="571.28"/>
    <n v="89.759999999999991"/>
    <n v="0.13578603412804066"/>
    <x v="30"/>
    <n v="89.759999999999991"/>
  </r>
  <r>
    <d v="2023-07-03T00:00:00"/>
    <x v="9"/>
    <x v="3"/>
    <x v="1"/>
    <n v="478.65"/>
    <n v="420.93"/>
    <n v="4"/>
    <n v="1914.6"/>
    <n v="1683.72"/>
    <n v="230.87999999999988"/>
    <n v="0.1205891570040739"/>
    <x v="11"/>
    <n v="230.87999999999988"/>
  </r>
  <r>
    <d v="2023-07-31T00:00:00"/>
    <x v="0"/>
    <x v="0"/>
    <x v="1"/>
    <n v="1188.05"/>
    <n v="1006.8"/>
    <n v="4"/>
    <n v="4752.2"/>
    <n v="4027.2"/>
    <n v="725"/>
    <n v="0.1525609191532343"/>
    <x v="11"/>
    <n v="725"/>
  </r>
  <r>
    <d v="2022-02-14T00:00:00"/>
    <x v="2"/>
    <x v="0"/>
    <x v="0"/>
    <n v="54.14"/>
    <n v="46.94"/>
    <n v="7"/>
    <n v="378.98"/>
    <n v="328.58"/>
    <n v="50.400000000000034"/>
    <n v="0.13298854820834882"/>
    <x v="20"/>
    <n v="50.400000000000034"/>
  </r>
  <r>
    <d v="2023-08-04T00:00:00"/>
    <x v="0"/>
    <x v="0"/>
    <x v="1"/>
    <n v="722.22"/>
    <n v="492.3"/>
    <n v="2"/>
    <n v="1444.44"/>
    <n v="984.6"/>
    <n v="459.84000000000003"/>
    <n v="0.31835174877461164"/>
    <x v="14"/>
    <n v="459.84000000000003"/>
  </r>
  <r>
    <d v="2024-08-13T00:00:00"/>
    <x v="9"/>
    <x v="3"/>
    <x v="2"/>
    <n v="996.61"/>
    <n v="832.91"/>
    <n v="8"/>
    <n v="7972.88"/>
    <n v="6663.28"/>
    <n v="1309.6000000000004"/>
    <n v="0.16425683065592361"/>
    <x v="21"/>
    <n v="1309.6000000000004"/>
  </r>
  <r>
    <d v="2022-11-01T00:00:00"/>
    <x v="8"/>
    <x v="1"/>
    <x v="2"/>
    <n v="413.11"/>
    <n v="227.12"/>
    <n v="10"/>
    <n v="4131.1000000000004"/>
    <n v="2271.1999999999998"/>
    <n v="1859.9000000000005"/>
    <n v="0.45021906998136096"/>
    <x v="1"/>
    <n v="1859.9000000000005"/>
  </r>
  <r>
    <d v="2024-04-28T00:00:00"/>
    <x v="3"/>
    <x v="2"/>
    <x v="1"/>
    <n v="119.91"/>
    <n v="80.09"/>
    <n v="5"/>
    <n v="599.54999999999995"/>
    <n v="400.45000000000005"/>
    <n v="199.09999999999991"/>
    <n v="0.33208239512968046"/>
    <x v="22"/>
    <n v="199.09999999999991"/>
  </r>
  <r>
    <d v="2023-04-16T00:00:00"/>
    <x v="6"/>
    <x v="3"/>
    <x v="3"/>
    <n v="1537.5"/>
    <n v="974.75"/>
    <n v="9"/>
    <n v="13837.5"/>
    <n v="8772.75"/>
    <n v="5064.75"/>
    <n v="0.36601626016260164"/>
    <x v="6"/>
    <n v="5064.75"/>
  </r>
  <r>
    <d v="2024-03-05T00:00:00"/>
    <x v="4"/>
    <x v="2"/>
    <x v="2"/>
    <n v="1868.03"/>
    <n v="1621.06"/>
    <n v="2"/>
    <n v="3736.06"/>
    <n v="3242.12"/>
    <n v="493.94000000000005"/>
    <n v="0.1322087975032521"/>
    <x v="29"/>
    <n v="493.94000000000005"/>
  </r>
  <r>
    <d v="2024-04-15T00:00:00"/>
    <x v="0"/>
    <x v="0"/>
    <x v="3"/>
    <n v="1473.63"/>
    <n v="808.78"/>
    <n v="7"/>
    <n v="10315.41"/>
    <n v="5661.46"/>
    <n v="4653.95"/>
    <n v="0.45116481070553666"/>
    <x v="22"/>
    <n v="4653.95"/>
  </r>
  <r>
    <d v="2022-02-12T00:00:00"/>
    <x v="6"/>
    <x v="3"/>
    <x v="0"/>
    <n v="121.51"/>
    <n v="103.7"/>
    <n v="5"/>
    <n v="607.55000000000007"/>
    <n v="518.5"/>
    <n v="89.050000000000068"/>
    <n v="0.14657229857624895"/>
    <x v="20"/>
    <n v="89.050000000000068"/>
  </r>
  <r>
    <d v="2023-02-20T00:00:00"/>
    <x v="1"/>
    <x v="1"/>
    <x v="2"/>
    <n v="274.56"/>
    <n v="139.02000000000001"/>
    <n v="10"/>
    <n v="2745.6"/>
    <n v="1390.2"/>
    <n v="1355.3999999999999"/>
    <n v="0.49366258741258739"/>
    <x v="27"/>
    <n v="1355.3999999999999"/>
  </r>
  <r>
    <d v="2024-06-20T00:00:00"/>
    <x v="0"/>
    <x v="0"/>
    <x v="1"/>
    <n v="1988.15"/>
    <n v="1753.59"/>
    <n v="5"/>
    <n v="9940.75"/>
    <n v="8767.9499999999989"/>
    <n v="1172.8000000000011"/>
    <n v="0.11797902572743517"/>
    <x v="4"/>
    <n v="1172.8000000000011"/>
  </r>
  <r>
    <d v="2022-09-23T00:00:00"/>
    <x v="2"/>
    <x v="0"/>
    <x v="1"/>
    <n v="1329.2"/>
    <n v="962.96"/>
    <n v="6"/>
    <n v="7975.2000000000007"/>
    <n v="5777.76"/>
    <n v="2197.4400000000005"/>
    <n v="0.2755341558832381"/>
    <x v="12"/>
    <n v="2197.4400000000005"/>
  </r>
  <r>
    <d v="2023-01-10T00:00:00"/>
    <x v="10"/>
    <x v="2"/>
    <x v="3"/>
    <n v="622.12"/>
    <n v="461.48"/>
    <n v="5"/>
    <n v="3110.6"/>
    <n v="2307.4"/>
    <n v="803.19999999999982"/>
    <n v="0.25821384941811865"/>
    <x v="13"/>
    <n v="803.19999999999982"/>
  </r>
  <r>
    <d v="2023-11-15T00:00:00"/>
    <x v="10"/>
    <x v="2"/>
    <x v="2"/>
    <n v="1662.3"/>
    <n v="1492.49"/>
    <n v="10"/>
    <n v="16623"/>
    <n v="14924.9"/>
    <n v="1698.1000000000004"/>
    <n v="0.1021536425434639"/>
    <x v="10"/>
    <n v="1698.1000000000004"/>
  </r>
  <r>
    <d v="2024-03-16T00:00:00"/>
    <x v="3"/>
    <x v="2"/>
    <x v="0"/>
    <n v="1423.91"/>
    <n v="865.17"/>
    <n v="10"/>
    <n v="14239.1"/>
    <n v="8651.6999999999989"/>
    <n v="5587.4000000000015"/>
    <n v="0.39239839596603726"/>
    <x v="29"/>
    <n v="5587.4000000000015"/>
  </r>
  <r>
    <d v="2022-04-20T00:00:00"/>
    <x v="10"/>
    <x v="2"/>
    <x v="2"/>
    <n v="476.63"/>
    <n v="350.74"/>
    <n v="3"/>
    <n v="1429.8899999999999"/>
    <n v="1052.22"/>
    <n v="377.66999999999985"/>
    <n v="0.264125212428928"/>
    <x v="32"/>
    <n v="377.66999999999985"/>
  </r>
  <r>
    <d v="2024-04-19T00:00:00"/>
    <x v="5"/>
    <x v="3"/>
    <x v="3"/>
    <n v="62.88"/>
    <n v="56.32"/>
    <n v="7"/>
    <n v="440.16"/>
    <n v="394.24"/>
    <n v="45.920000000000016"/>
    <n v="0.1043256997455471"/>
    <x v="22"/>
    <n v="45.920000000000016"/>
  </r>
  <r>
    <d v="2022-09-11T00:00:00"/>
    <x v="9"/>
    <x v="3"/>
    <x v="0"/>
    <n v="1823.31"/>
    <n v="1262.03"/>
    <n v="9"/>
    <n v="16409.79"/>
    <n v="11358.27"/>
    <n v="5051.5200000000004"/>
    <n v="0.30783574926918628"/>
    <x v="12"/>
    <n v="5051.5200000000004"/>
  </r>
  <r>
    <d v="2023-03-29T00:00:00"/>
    <x v="5"/>
    <x v="3"/>
    <x v="1"/>
    <n v="1056.8"/>
    <n v="889.67"/>
    <n v="1"/>
    <n v="1056.8"/>
    <n v="889.67"/>
    <n v="167.13"/>
    <n v="0.15814723694171082"/>
    <x v="19"/>
    <n v="167.13"/>
  </r>
  <r>
    <d v="2024-03-27T00:00:00"/>
    <x v="6"/>
    <x v="3"/>
    <x v="2"/>
    <n v="1299.04"/>
    <n v="680.98"/>
    <n v="2"/>
    <n v="2598.08"/>
    <n v="1361.96"/>
    <n v="1236.1199999999999"/>
    <n v="0.47578211602414089"/>
    <x v="29"/>
    <n v="1236.1199999999999"/>
  </r>
  <r>
    <d v="2022-11-06T00:00:00"/>
    <x v="1"/>
    <x v="1"/>
    <x v="0"/>
    <n v="937.72"/>
    <n v="699.86"/>
    <n v="1"/>
    <n v="937.72"/>
    <n v="699.86"/>
    <n v="237.86"/>
    <n v="0.25365780830098539"/>
    <x v="1"/>
    <n v="237.86"/>
  </r>
  <r>
    <d v="2022-10-31T00:00:00"/>
    <x v="7"/>
    <x v="0"/>
    <x v="0"/>
    <n v="1898.49"/>
    <n v="1144.8699999999999"/>
    <n v="3"/>
    <n v="5695.47"/>
    <n v="3434.6099999999997"/>
    <n v="2260.8600000000006"/>
    <n v="0.39695758207838872"/>
    <x v="25"/>
    <n v="2260.8600000000006"/>
  </r>
  <r>
    <d v="2022-02-24T00:00:00"/>
    <x v="6"/>
    <x v="3"/>
    <x v="1"/>
    <n v="1002.25"/>
    <n v="855.91"/>
    <n v="3"/>
    <n v="3006.75"/>
    <n v="2567.73"/>
    <n v="439.02"/>
    <n v="0.14601147418308805"/>
    <x v="20"/>
    <n v="439.02"/>
  </r>
  <r>
    <d v="2022-10-13T00:00:00"/>
    <x v="0"/>
    <x v="0"/>
    <x v="2"/>
    <n v="392.05"/>
    <n v="223.73"/>
    <n v="5"/>
    <n v="1960.25"/>
    <n v="1118.6499999999999"/>
    <n v="841.60000000000014"/>
    <n v="0.42933299324065816"/>
    <x v="25"/>
    <n v="841.60000000000014"/>
  </r>
  <r>
    <d v="2023-01-09T00:00:00"/>
    <x v="5"/>
    <x v="3"/>
    <x v="0"/>
    <n v="169.14"/>
    <n v="118.05"/>
    <n v="6"/>
    <n v="1014.8399999999999"/>
    <n v="708.3"/>
    <n v="306.53999999999996"/>
    <n v="0.30205746718694571"/>
    <x v="13"/>
    <n v="306.53999999999996"/>
  </r>
  <r>
    <d v="2024-01-29T00:00:00"/>
    <x v="6"/>
    <x v="3"/>
    <x v="3"/>
    <n v="818.78"/>
    <n v="444.44"/>
    <n v="5"/>
    <n v="4093.8999999999996"/>
    <n v="2222.1999999999998"/>
    <n v="1871.6999999999998"/>
    <n v="0.4571924082171035"/>
    <x v="26"/>
    <n v="1871.6999999999998"/>
  </r>
  <r>
    <d v="2022-08-23T00:00:00"/>
    <x v="2"/>
    <x v="0"/>
    <x v="1"/>
    <n v="1771.31"/>
    <n v="900.77"/>
    <n v="1"/>
    <n v="1771.31"/>
    <n v="900.77"/>
    <n v="870.54"/>
    <n v="0.49146676753363328"/>
    <x v="15"/>
    <n v="870.54"/>
  </r>
  <r>
    <d v="2024-09-11T00:00:00"/>
    <x v="8"/>
    <x v="1"/>
    <x v="3"/>
    <n v="1570.83"/>
    <n v="851.99"/>
    <n v="8"/>
    <n v="12566.64"/>
    <n v="6815.92"/>
    <n v="5750.7199999999993"/>
    <n v="0.45761794719988791"/>
    <x v="16"/>
    <n v="5750.7199999999993"/>
  </r>
  <r>
    <d v="2024-03-17T00:00:00"/>
    <x v="6"/>
    <x v="3"/>
    <x v="3"/>
    <n v="1703.8"/>
    <n v="1354.34"/>
    <n v="4"/>
    <n v="6815.2"/>
    <n v="5417.36"/>
    <n v="1397.8400000000001"/>
    <n v="0.20510623312595377"/>
    <x v="29"/>
    <n v="1397.8400000000001"/>
  </r>
  <r>
    <d v="2022-10-03T00:00:00"/>
    <x v="7"/>
    <x v="0"/>
    <x v="2"/>
    <n v="238.22"/>
    <n v="184.37"/>
    <n v="4"/>
    <n v="952.88"/>
    <n v="737.48"/>
    <n v="215.39999999999998"/>
    <n v="0.2260515489883301"/>
    <x v="25"/>
    <n v="215.39999999999998"/>
  </r>
  <r>
    <d v="2023-04-08T00:00:00"/>
    <x v="0"/>
    <x v="0"/>
    <x v="3"/>
    <n v="1335.85"/>
    <n v="1019.52"/>
    <n v="10"/>
    <n v="13358.5"/>
    <n v="10195.200000000001"/>
    <n v="3163.2999999999993"/>
    <n v="0.23680053898267014"/>
    <x v="6"/>
    <n v="3163.2999999999993"/>
  </r>
  <r>
    <d v="2023-08-17T00:00:00"/>
    <x v="4"/>
    <x v="2"/>
    <x v="2"/>
    <n v="1516.14"/>
    <n v="848.21"/>
    <n v="2"/>
    <n v="3032.28"/>
    <n v="1696.42"/>
    <n v="1335.8600000000001"/>
    <n v="0.440546387536771"/>
    <x v="14"/>
    <n v="1335.8600000000001"/>
  </r>
  <r>
    <d v="2022-02-09T00:00:00"/>
    <x v="2"/>
    <x v="0"/>
    <x v="0"/>
    <n v="769.98"/>
    <n v="631.86"/>
    <n v="4"/>
    <n v="3079.92"/>
    <n v="2527.44"/>
    <n v="552.48"/>
    <n v="0.17938128263071768"/>
    <x v="20"/>
    <n v="552.48"/>
  </r>
  <r>
    <d v="2023-10-24T00:00:00"/>
    <x v="3"/>
    <x v="2"/>
    <x v="2"/>
    <n v="1322.07"/>
    <n v="925.81"/>
    <n v="4"/>
    <n v="5288.28"/>
    <n v="3703.24"/>
    <n v="1585.04"/>
    <n v="0.29972694335398276"/>
    <x v="5"/>
    <n v="1585.04"/>
  </r>
  <r>
    <d v="2023-01-13T00:00:00"/>
    <x v="8"/>
    <x v="1"/>
    <x v="2"/>
    <n v="1640.08"/>
    <n v="1203.7"/>
    <n v="2"/>
    <n v="3280.16"/>
    <n v="2407.4"/>
    <n v="872.75999999999976"/>
    <n v="0.26607238671284322"/>
    <x v="13"/>
    <n v="872.75999999999976"/>
  </r>
  <r>
    <d v="2023-11-24T00:00:00"/>
    <x v="9"/>
    <x v="3"/>
    <x v="3"/>
    <n v="41.03"/>
    <n v="30.78"/>
    <n v="6"/>
    <n v="246.18"/>
    <n v="184.68"/>
    <n v="61.5"/>
    <n v="0.24981720692176457"/>
    <x v="10"/>
    <n v="61.5"/>
  </r>
  <r>
    <d v="2022-12-22T00:00:00"/>
    <x v="2"/>
    <x v="0"/>
    <x v="3"/>
    <n v="1554.35"/>
    <n v="949.07"/>
    <n v="4"/>
    <n v="6217.4"/>
    <n v="3796.28"/>
    <n v="2421.1199999999994"/>
    <n v="0.38941036446102867"/>
    <x v="33"/>
    <n v="2421.1199999999994"/>
  </r>
  <r>
    <d v="2022-02-23T00:00:00"/>
    <x v="10"/>
    <x v="2"/>
    <x v="1"/>
    <n v="1166.98"/>
    <n v="696.06"/>
    <n v="5"/>
    <n v="5834.9"/>
    <n v="3480.2999999999997"/>
    <n v="2354.6"/>
    <n v="0.40353733568698691"/>
    <x v="20"/>
    <n v="2354.6"/>
  </r>
  <r>
    <d v="2023-02-15T00:00:00"/>
    <x v="1"/>
    <x v="1"/>
    <x v="0"/>
    <n v="1659.74"/>
    <n v="1156.31"/>
    <n v="6"/>
    <n v="9958.44"/>
    <n v="6937.86"/>
    <n v="3020.5800000000008"/>
    <n v="0.30331859206863732"/>
    <x v="27"/>
    <n v="3020.5800000000008"/>
  </r>
  <r>
    <d v="2024-11-18T00:00:00"/>
    <x v="6"/>
    <x v="3"/>
    <x v="1"/>
    <n v="1501.34"/>
    <n v="824.8"/>
    <n v="10"/>
    <n v="15013.4"/>
    <n v="8248"/>
    <n v="6765.4"/>
    <n v="0.45062410912917794"/>
    <x v="2"/>
    <n v="6765.4"/>
  </r>
  <r>
    <d v="2022-05-13T00:00:00"/>
    <x v="5"/>
    <x v="3"/>
    <x v="2"/>
    <n v="36"/>
    <n v="26.07"/>
    <n v="6"/>
    <n v="216"/>
    <n v="156.42000000000002"/>
    <n v="59.579999999999984"/>
    <n v="0.27583333333333326"/>
    <x v="35"/>
    <n v="59.579999999999984"/>
  </r>
  <r>
    <d v="2022-11-10T00:00:00"/>
    <x v="0"/>
    <x v="0"/>
    <x v="3"/>
    <n v="620.13"/>
    <n v="362.15"/>
    <n v="5"/>
    <n v="3100.65"/>
    <n v="1810.75"/>
    <n v="1289.9000000000001"/>
    <n v="0.4160095463854353"/>
    <x v="1"/>
    <n v="1289.9000000000001"/>
  </r>
  <r>
    <d v="2024-02-12T00:00:00"/>
    <x v="3"/>
    <x v="2"/>
    <x v="1"/>
    <n v="1075.49"/>
    <n v="593.32000000000005"/>
    <n v="8"/>
    <n v="8603.92"/>
    <n v="4746.5600000000004"/>
    <n v="3857.3599999999997"/>
    <n v="0.44832587936661422"/>
    <x v="34"/>
    <n v="3857.3599999999997"/>
  </r>
  <r>
    <d v="2023-02-21T00:00:00"/>
    <x v="3"/>
    <x v="2"/>
    <x v="0"/>
    <n v="467.37"/>
    <n v="401.66"/>
    <n v="4"/>
    <n v="1869.48"/>
    <n v="1606.64"/>
    <n v="262.83999999999992"/>
    <n v="0.14059524573678236"/>
    <x v="27"/>
    <n v="262.83999999999992"/>
  </r>
  <r>
    <d v="2022-11-02T00:00:00"/>
    <x v="4"/>
    <x v="2"/>
    <x v="0"/>
    <n v="1182.97"/>
    <n v="1034.69"/>
    <n v="7"/>
    <n v="8280.7900000000009"/>
    <n v="7242.83"/>
    <n v="1037.9600000000009"/>
    <n v="0.12534552862709969"/>
    <x v="1"/>
    <n v="1037.9600000000009"/>
  </r>
  <r>
    <d v="2024-04-18T00:00:00"/>
    <x v="4"/>
    <x v="2"/>
    <x v="2"/>
    <n v="1366.83"/>
    <n v="1031.07"/>
    <n v="3"/>
    <n v="4100.49"/>
    <n v="3093.21"/>
    <n v="1007.2799999999997"/>
    <n v="0.24564869076622545"/>
    <x v="22"/>
    <n v="1007.2799999999997"/>
  </r>
  <r>
    <d v="2022-04-10T00:00:00"/>
    <x v="8"/>
    <x v="1"/>
    <x v="0"/>
    <n v="748.69"/>
    <n v="660.06"/>
    <n v="8"/>
    <n v="5989.52"/>
    <n v="5280.48"/>
    <n v="709.04000000000087"/>
    <n v="0.11838010391483805"/>
    <x v="32"/>
    <n v="709.04000000000087"/>
  </r>
  <r>
    <d v="2024-11-23T00:00:00"/>
    <x v="6"/>
    <x v="3"/>
    <x v="1"/>
    <n v="654.45000000000005"/>
    <n v="418.41"/>
    <n v="8"/>
    <n v="5235.6000000000004"/>
    <n v="3347.28"/>
    <n v="1888.3200000000002"/>
    <n v="0.36066926426770574"/>
    <x v="2"/>
    <n v="1888.3200000000002"/>
  </r>
  <r>
    <d v="2024-04-28T00:00:00"/>
    <x v="3"/>
    <x v="2"/>
    <x v="1"/>
    <n v="582.80999999999995"/>
    <n v="418.75"/>
    <n v="5"/>
    <n v="2914.0499999999997"/>
    <n v="2093.75"/>
    <n v="820.29999999999973"/>
    <n v="0.28149825843756965"/>
    <x v="22"/>
    <n v="820.29999999999973"/>
  </r>
  <r>
    <d v="2023-08-04T00:00:00"/>
    <x v="8"/>
    <x v="1"/>
    <x v="1"/>
    <n v="1234.3599999999999"/>
    <n v="791.5"/>
    <n v="7"/>
    <n v="8640.5199999999986"/>
    <n v="5540.5"/>
    <n v="3100.0199999999986"/>
    <n v="0.35877701804983947"/>
    <x v="14"/>
    <n v="3100.0199999999986"/>
  </r>
  <r>
    <d v="2024-08-01T00:00:00"/>
    <x v="10"/>
    <x v="2"/>
    <x v="2"/>
    <n v="503.26"/>
    <n v="367.18"/>
    <n v="3"/>
    <n v="1509.78"/>
    <n v="1101.54"/>
    <n v="408.24"/>
    <n v="0.27039701148511702"/>
    <x v="21"/>
    <n v="408.24"/>
  </r>
  <r>
    <d v="2024-11-01T00:00:00"/>
    <x v="9"/>
    <x v="3"/>
    <x v="1"/>
    <n v="369.86"/>
    <n v="296.70999999999998"/>
    <n v="6"/>
    <n v="2219.16"/>
    <n v="1780.2599999999998"/>
    <n v="438.90000000000009"/>
    <n v="0.19777753744660148"/>
    <x v="2"/>
    <n v="438.90000000000009"/>
  </r>
  <r>
    <d v="2023-04-30T00:00:00"/>
    <x v="10"/>
    <x v="2"/>
    <x v="2"/>
    <n v="998.67"/>
    <n v="512.55999999999995"/>
    <n v="2"/>
    <n v="1997.34"/>
    <n v="1025.1199999999999"/>
    <n v="972.22"/>
    <n v="0.48675738732514245"/>
    <x v="6"/>
    <n v="972.22"/>
  </r>
  <r>
    <d v="2023-08-09T00:00:00"/>
    <x v="10"/>
    <x v="2"/>
    <x v="0"/>
    <n v="1671.94"/>
    <n v="1139.5899999999999"/>
    <n v="7"/>
    <n v="11703.58"/>
    <n v="7977.1299999999992"/>
    <n v="3726.4500000000007"/>
    <n v="0.31840257425505708"/>
    <x v="14"/>
    <n v="3726.4500000000007"/>
  </r>
  <r>
    <d v="2023-12-01T00:00:00"/>
    <x v="0"/>
    <x v="0"/>
    <x v="2"/>
    <n v="1905.18"/>
    <n v="1170.8599999999999"/>
    <n v="1"/>
    <n v="1905.18"/>
    <n v="1170.8599999999999"/>
    <n v="734.32000000000016"/>
    <n v="0.38543339736927751"/>
    <x v="30"/>
    <n v="734.32000000000016"/>
  </r>
  <r>
    <d v="2023-10-28T00:00:00"/>
    <x v="9"/>
    <x v="3"/>
    <x v="2"/>
    <n v="1251.8499999999999"/>
    <n v="1043.8399999999999"/>
    <n v="2"/>
    <n v="2503.6999999999998"/>
    <n v="2087.6799999999998"/>
    <n v="416.02"/>
    <n v="0.16616208012142031"/>
    <x v="5"/>
    <n v="416.02"/>
  </r>
  <r>
    <d v="2023-01-12T00:00:00"/>
    <x v="2"/>
    <x v="0"/>
    <x v="0"/>
    <n v="1476.48"/>
    <n v="805.95"/>
    <n v="4"/>
    <n v="5905.92"/>
    <n v="3223.8"/>
    <n v="2682.12"/>
    <n v="0.45414092977893367"/>
    <x v="13"/>
    <n v="2682.12"/>
  </r>
  <r>
    <d v="2023-05-14T00:00:00"/>
    <x v="3"/>
    <x v="2"/>
    <x v="2"/>
    <n v="323.56"/>
    <n v="230.42"/>
    <n v="8"/>
    <n v="2588.48"/>
    <n v="1843.36"/>
    <n v="745.12000000000012"/>
    <n v="0.28786005686735078"/>
    <x v="31"/>
    <n v="745.12000000000012"/>
  </r>
  <r>
    <d v="2023-01-11T00:00:00"/>
    <x v="1"/>
    <x v="1"/>
    <x v="1"/>
    <n v="646.47"/>
    <n v="334.58"/>
    <n v="7"/>
    <n v="4525.29"/>
    <n v="2342.06"/>
    <n v="2183.23"/>
    <n v="0.48245084845391123"/>
    <x v="13"/>
    <n v="2183.23"/>
  </r>
  <r>
    <d v="2024-05-14T00:00:00"/>
    <x v="0"/>
    <x v="0"/>
    <x v="1"/>
    <n v="1041.7"/>
    <n v="919.32"/>
    <n v="5"/>
    <n v="5208.5"/>
    <n v="4596.6000000000004"/>
    <n v="611.89999999999964"/>
    <n v="0.11748104060670052"/>
    <x v="3"/>
    <n v="611.89999999999964"/>
  </r>
  <r>
    <d v="2024-03-30T00:00:00"/>
    <x v="4"/>
    <x v="2"/>
    <x v="0"/>
    <n v="1376.42"/>
    <n v="720.42"/>
    <n v="5"/>
    <n v="6882.1"/>
    <n v="3602.1"/>
    <n v="3280.0000000000005"/>
    <n v="0.47659871260225806"/>
    <x v="29"/>
    <n v="3280.0000000000005"/>
  </r>
  <r>
    <d v="2023-09-26T00:00:00"/>
    <x v="4"/>
    <x v="2"/>
    <x v="3"/>
    <n v="1176.1199999999999"/>
    <n v="841.12"/>
    <n v="9"/>
    <n v="10585.079999999998"/>
    <n v="7570.08"/>
    <n v="3014.9999999999982"/>
    <n v="0.28483488079447661"/>
    <x v="24"/>
    <n v="3014.9999999999982"/>
  </r>
  <r>
    <d v="2023-07-12T00:00:00"/>
    <x v="2"/>
    <x v="0"/>
    <x v="0"/>
    <n v="24.18"/>
    <n v="14.33"/>
    <n v="8"/>
    <n v="193.44"/>
    <n v="114.64"/>
    <n v="78.8"/>
    <n v="0.40736145574855254"/>
    <x v="11"/>
    <n v="78.8"/>
  </r>
  <r>
    <d v="2022-01-17T00:00:00"/>
    <x v="0"/>
    <x v="0"/>
    <x v="2"/>
    <n v="474.5"/>
    <n v="414.53"/>
    <n v="6"/>
    <n v="2847"/>
    <n v="2487.1799999999998"/>
    <n v="359.82000000000016"/>
    <n v="0.1263856691253952"/>
    <x v="9"/>
    <n v="359.82000000000016"/>
  </r>
  <r>
    <d v="2024-03-02T00:00:00"/>
    <x v="2"/>
    <x v="0"/>
    <x v="3"/>
    <n v="1288.21"/>
    <n v="964.97"/>
    <n v="3"/>
    <n v="3864.63"/>
    <n v="2894.91"/>
    <n v="969.72000000000025"/>
    <n v="0.25092182175266459"/>
    <x v="29"/>
    <n v="969.72000000000025"/>
  </r>
  <r>
    <d v="2022-02-25T00:00:00"/>
    <x v="9"/>
    <x v="3"/>
    <x v="0"/>
    <n v="229.74"/>
    <n v="197.66"/>
    <n v="10"/>
    <n v="2297.4"/>
    <n v="1976.6"/>
    <n v="320.80000000000018"/>
    <n v="0.13963611038565343"/>
    <x v="20"/>
    <n v="320.80000000000018"/>
  </r>
  <r>
    <d v="2022-12-05T00:00:00"/>
    <x v="10"/>
    <x v="2"/>
    <x v="1"/>
    <n v="1561.08"/>
    <n v="1124.4000000000001"/>
    <n v="4"/>
    <n v="6244.32"/>
    <n v="4497.6000000000004"/>
    <n v="1746.7199999999993"/>
    <n v="0.27972941809516477"/>
    <x v="33"/>
    <n v="1746.7199999999993"/>
  </r>
  <r>
    <d v="2024-09-30T00:00:00"/>
    <x v="2"/>
    <x v="0"/>
    <x v="2"/>
    <n v="1838.73"/>
    <n v="1476.45"/>
    <n v="9"/>
    <n v="16548.57"/>
    <n v="13288.050000000001"/>
    <n v="3260.5199999999986"/>
    <n v="0.1970272960140966"/>
    <x v="16"/>
    <n v="3260.5199999999986"/>
  </r>
  <r>
    <d v="2022-02-23T00:00:00"/>
    <x v="7"/>
    <x v="0"/>
    <x v="2"/>
    <n v="599.75"/>
    <n v="529.79"/>
    <n v="8"/>
    <n v="4798"/>
    <n v="4238.32"/>
    <n v="559.68000000000029"/>
    <n v="0.11664860358482707"/>
    <x v="20"/>
    <n v="559.68000000000029"/>
  </r>
  <r>
    <d v="2023-04-22T00:00:00"/>
    <x v="8"/>
    <x v="1"/>
    <x v="3"/>
    <n v="131.28"/>
    <n v="90.34"/>
    <n v="10"/>
    <n v="1312.8"/>
    <n v="903.40000000000009"/>
    <n v="409.39999999999986"/>
    <n v="0.31185252894576471"/>
    <x v="6"/>
    <n v="409.39999999999986"/>
  </r>
  <r>
    <d v="2024-12-18T00:00:00"/>
    <x v="8"/>
    <x v="1"/>
    <x v="1"/>
    <n v="296.66000000000003"/>
    <n v="205.99"/>
    <n v="8"/>
    <n v="2373.2800000000002"/>
    <n v="1647.92"/>
    <n v="725.36000000000013"/>
    <n v="0.30563608170970136"/>
    <x v="23"/>
    <n v="725.36000000000013"/>
  </r>
  <r>
    <d v="2022-12-22T00:00:00"/>
    <x v="10"/>
    <x v="2"/>
    <x v="3"/>
    <n v="1687.21"/>
    <n v="1145.6400000000001"/>
    <n v="2"/>
    <n v="3374.42"/>
    <n v="2291.2800000000002"/>
    <n v="1083.1399999999999"/>
    <n v="0.32098553232851862"/>
    <x v="33"/>
    <n v="1083.1399999999999"/>
  </r>
  <r>
    <d v="2023-09-14T00:00:00"/>
    <x v="5"/>
    <x v="3"/>
    <x v="2"/>
    <n v="1680.97"/>
    <n v="1338.78"/>
    <n v="5"/>
    <n v="8404.85"/>
    <n v="6693.9"/>
    <n v="1710.9500000000007"/>
    <n v="0.20356698810805673"/>
    <x v="24"/>
    <n v="1710.9500000000007"/>
  </r>
  <r>
    <d v="2023-10-04T00:00:00"/>
    <x v="10"/>
    <x v="2"/>
    <x v="0"/>
    <n v="1145.79"/>
    <n v="813.08"/>
    <n v="2"/>
    <n v="2291.58"/>
    <n v="1626.16"/>
    <n v="665.41999999999985"/>
    <n v="0.29037607240419266"/>
    <x v="5"/>
    <n v="665.41999999999985"/>
  </r>
  <r>
    <d v="2022-04-22T00:00:00"/>
    <x v="10"/>
    <x v="2"/>
    <x v="2"/>
    <n v="1758.11"/>
    <n v="1309.08"/>
    <n v="1"/>
    <n v="1758.11"/>
    <n v="1309.08"/>
    <n v="449.03"/>
    <n v="0.25540495190858364"/>
    <x v="32"/>
    <n v="449.03"/>
  </r>
  <r>
    <d v="2022-01-07T00:00:00"/>
    <x v="9"/>
    <x v="3"/>
    <x v="3"/>
    <n v="1490.46"/>
    <n v="961.1"/>
    <n v="9"/>
    <n v="13414.14"/>
    <n v="8649.9"/>
    <n v="4764.24"/>
    <n v="0.35516551936985896"/>
    <x v="9"/>
    <n v="4764.24"/>
  </r>
  <r>
    <d v="2023-04-14T00:00:00"/>
    <x v="9"/>
    <x v="3"/>
    <x v="1"/>
    <n v="1922.17"/>
    <n v="1099.51"/>
    <n v="7"/>
    <n v="13455.19"/>
    <n v="7696.57"/>
    <n v="5758.6200000000008"/>
    <n v="0.42798503774380003"/>
    <x v="6"/>
    <n v="5758.6200000000008"/>
  </r>
  <r>
    <d v="2024-03-05T00:00:00"/>
    <x v="7"/>
    <x v="0"/>
    <x v="1"/>
    <n v="990.64"/>
    <n v="870.85"/>
    <n v="1"/>
    <n v="990.64"/>
    <n v="870.85"/>
    <n v="119.78999999999996"/>
    <n v="0.12092182831300974"/>
    <x v="29"/>
    <n v="119.78999999999996"/>
  </r>
  <r>
    <d v="2023-11-25T00:00:00"/>
    <x v="3"/>
    <x v="2"/>
    <x v="2"/>
    <n v="211.27"/>
    <n v="188.33"/>
    <n v="10"/>
    <n v="2112.7000000000003"/>
    <n v="1883.3000000000002"/>
    <n v="229.40000000000009"/>
    <n v="0.10858143607705782"/>
    <x v="10"/>
    <n v="229.40000000000009"/>
  </r>
  <r>
    <d v="2024-02-02T00:00:00"/>
    <x v="4"/>
    <x v="2"/>
    <x v="0"/>
    <n v="1600.69"/>
    <n v="1351.16"/>
    <n v="8"/>
    <n v="12805.52"/>
    <n v="10809.28"/>
    <n v="1996.2399999999998"/>
    <n v="0.15588902285889208"/>
    <x v="34"/>
    <n v="1996.2399999999998"/>
  </r>
  <r>
    <d v="2023-08-12T00:00:00"/>
    <x v="0"/>
    <x v="0"/>
    <x v="1"/>
    <n v="1605.89"/>
    <n v="1012.23"/>
    <n v="10"/>
    <n v="16058.900000000001"/>
    <n v="10122.299999999999"/>
    <n v="5936.6000000000022"/>
    <n v="0.36967662791349354"/>
    <x v="14"/>
    <n v="5936.6000000000022"/>
  </r>
  <r>
    <d v="2022-05-18T00:00:00"/>
    <x v="2"/>
    <x v="0"/>
    <x v="3"/>
    <n v="480.7"/>
    <n v="282.51"/>
    <n v="2"/>
    <n v="961.4"/>
    <n v="565.02"/>
    <n v="396.38"/>
    <n v="0.41229457041814022"/>
    <x v="35"/>
    <n v="396.38"/>
  </r>
  <r>
    <d v="2022-07-25T00:00:00"/>
    <x v="8"/>
    <x v="1"/>
    <x v="0"/>
    <n v="1011.66"/>
    <n v="753.17"/>
    <n v="1"/>
    <n v="1011.66"/>
    <n v="753.17"/>
    <n v="258.49"/>
    <n v="0.2555107447166044"/>
    <x v="8"/>
    <n v="258.49"/>
  </r>
  <r>
    <d v="2022-01-09T00:00:00"/>
    <x v="10"/>
    <x v="2"/>
    <x v="2"/>
    <n v="28.03"/>
    <n v="19.739999999999998"/>
    <n v="2"/>
    <n v="56.06"/>
    <n v="39.479999999999997"/>
    <n v="16.580000000000005"/>
    <n v="0.29575454869782386"/>
    <x v="9"/>
    <n v="16.580000000000005"/>
  </r>
  <r>
    <d v="2023-08-14T00:00:00"/>
    <x v="3"/>
    <x v="2"/>
    <x v="0"/>
    <n v="1008.67"/>
    <n v="591.71"/>
    <n v="8"/>
    <n v="8069.36"/>
    <n v="4733.68"/>
    <n v="3335.6799999999994"/>
    <n v="0.413376029821448"/>
    <x v="14"/>
    <n v="3335.6799999999994"/>
  </r>
  <r>
    <d v="2024-05-28T00:00:00"/>
    <x v="7"/>
    <x v="0"/>
    <x v="3"/>
    <n v="1306.26"/>
    <n v="925.33"/>
    <n v="2"/>
    <n v="2612.52"/>
    <n v="1850.66"/>
    <n v="761.8599999999999"/>
    <n v="0.29161882014300367"/>
    <x v="3"/>
    <n v="761.8599999999999"/>
  </r>
  <r>
    <d v="2023-09-15T00:00:00"/>
    <x v="1"/>
    <x v="1"/>
    <x v="1"/>
    <n v="253.82"/>
    <n v="190.27"/>
    <n v="2"/>
    <n v="507.64"/>
    <n v="380.54"/>
    <n v="127.09999999999997"/>
    <n v="0.25037428098652581"/>
    <x v="24"/>
    <n v="127.09999999999997"/>
  </r>
  <r>
    <d v="2024-07-17T00:00:00"/>
    <x v="7"/>
    <x v="0"/>
    <x v="1"/>
    <n v="669.23"/>
    <n v="414.09"/>
    <n v="1"/>
    <n v="669.23"/>
    <n v="414.09"/>
    <n v="255.14000000000004"/>
    <n v="0.38124411637254763"/>
    <x v="28"/>
    <n v="255.14000000000004"/>
  </r>
  <r>
    <d v="2023-02-18T00:00:00"/>
    <x v="6"/>
    <x v="3"/>
    <x v="2"/>
    <n v="1054.8900000000001"/>
    <n v="821.88"/>
    <n v="8"/>
    <n v="8439.1200000000008"/>
    <n v="6575.04"/>
    <n v="1864.0800000000008"/>
    <n v="0.22088558996672647"/>
    <x v="27"/>
    <n v="1864.0800000000008"/>
  </r>
  <r>
    <d v="2023-11-06T00:00:00"/>
    <x v="7"/>
    <x v="0"/>
    <x v="2"/>
    <n v="724.86"/>
    <n v="630.79"/>
    <n v="8"/>
    <n v="5798.88"/>
    <n v="5046.32"/>
    <n v="752.5600000000004"/>
    <n v="0.12977678448252083"/>
    <x v="10"/>
    <n v="752.5600000000004"/>
  </r>
  <r>
    <d v="2024-01-31T00:00:00"/>
    <x v="6"/>
    <x v="3"/>
    <x v="3"/>
    <n v="76.599999999999994"/>
    <n v="52.67"/>
    <n v="6"/>
    <n v="459.59999999999997"/>
    <n v="316.02"/>
    <n v="143.57999999999998"/>
    <n v="0.31240208877284592"/>
    <x v="26"/>
    <n v="143.57999999999998"/>
  </r>
  <r>
    <d v="2024-04-07T00:00:00"/>
    <x v="4"/>
    <x v="2"/>
    <x v="0"/>
    <n v="887.12"/>
    <n v="642.37"/>
    <n v="9"/>
    <n v="7984.08"/>
    <n v="5781.33"/>
    <n v="2202.75"/>
    <n v="0.27589277662548473"/>
    <x v="22"/>
    <n v="2202.75"/>
  </r>
  <r>
    <d v="2023-04-08T00:00:00"/>
    <x v="3"/>
    <x v="2"/>
    <x v="3"/>
    <n v="1530.52"/>
    <n v="1040.6400000000001"/>
    <n v="9"/>
    <n v="13774.68"/>
    <n v="9365.76"/>
    <n v="4408.92"/>
    <n v="0.3200742231398479"/>
    <x v="6"/>
    <n v="4408.92"/>
  </r>
  <r>
    <d v="2022-12-13T00:00:00"/>
    <x v="10"/>
    <x v="2"/>
    <x v="2"/>
    <n v="1737.04"/>
    <n v="1114.3699999999999"/>
    <n v="6"/>
    <n v="10422.24"/>
    <n v="6686.2199999999993"/>
    <n v="3736.0200000000004"/>
    <n v="0.35846612628379315"/>
    <x v="33"/>
    <n v="3736.0200000000004"/>
  </r>
  <r>
    <d v="2023-06-05T00:00:00"/>
    <x v="6"/>
    <x v="3"/>
    <x v="3"/>
    <n v="95.26"/>
    <n v="63.46"/>
    <n v="5"/>
    <n v="476.3"/>
    <n v="317.3"/>
    <n v="159"/>
    <n v="0.33382322065924835"/>
    <x v="0"/>
    <n v="159"/>
  </r>
  <r>
    <d v="2023-10-13T00:00:00"/>
    <x v="1"/>
    <x v="1"/>
    <x v="1"/>
    <n v="790.37"/>
    <n v="513.29999999999995"/>
    <n v="4"/>
    <n v="3161.48"/>
    <n v="2053.1999999999998"/>
    <n v="1108.2800000000002"/>
    <n v="0.35055733390690441"/>
    <x v="5"/>
    <n v="1108.2800000000002"/>
  </r>
  <r>
    <d v="2022-07-02T00:00:00"/>
    <x v="0"/>
    <x v="0"/>
    <x v="3"/>
    <n v="108.36"/>
    <n v="88.17"/>
    <n v="8"/>
    <n v="866.88"/>
    <n v="705.36"/>
    <n v="161.51999999999998"/>
    <n v="0.18632336655592469"/>
    <x v="8"/>
    <n v="161.51999999999998"/>
  </r>
  <r>
    <d v="2023-08-23T00:00:00"/>
    <x v="6"/>
    <x v="3"/>
    <x v="2"/>
    <n v="673.89"/>
    <n v="402.92"/>
    <n v="6"/>
    <n v="4043.34"/>
    <n v="2417.52"/>
    <n v="1625.8200000000002"/>
    <n v="0.40209826529552306"/>
    <x v="14"/>
    <n v="1625.8200000000002"/>
  </r>
  <r>
    <d v="2024-12-14T00:00:00"/>
    <x v="0"/>
    <x v="0"/>
    <x v="0"/>
    <n v="287.62"/>
    <n v="144.69999999999999"/>
    <n v="3"/>
    <n v="862.86"/>
    <n v="434.09999999999997"/>
    <n v="428.76000000000005"/>
    <n v="0.49690563938530008"/>
    <x v="23"/>
    <n v="428.76000000000005"/>
  </r>
  <r>
    <d v="2022-07-29T00:00:00"/>
    <x v="4"/>
    <x v="2"/>
    <x v="3"/>
    <n v="1703.56"/>
    <n v="1377.62"/>
    <n v="5"/>
    <n v="8517.7999999999993"/>
    <n v="6888.0999999999995"/>
    <n v="1629.6999999999998"/>
    <n v="0.1913287468595177"/>
    <x v="8"/>
    <n v="1629.6999999999998"/>
  </r>
  <r>
    <d v="2022-03-27T00:00:00"/>
    <x v="7"/>
    <x v="0"/>
    <x v="1"/>
    <n v="660.75"/>
    <n v="587.88"/>
    <n v="3"/>
    <n v="1982.25"/>
    <n v="1763.6399999999999"/>
    <n v="218.61000000000013"/>
    <n v="0.11028376844494898"/>
    <x v="7"/>
    <n v="218.61000000000013"/>
  </r>
  <r>
    <d v="2024-06-22T00:00:00"/>
    <x v="1"/>
    <x v="1"/>
    <x v="2"/>
    <n v="572.75"/>
    <n v="305.81"/>
    <n v="5"/>
    <n v="2863.75"/>
    <n v="1529.05"/>
    <n v="1334.7"/>
    <n v="0.46606721955477959"/>
    <x v="4"/>
    <n v="1334.7"/>
  </r>
  <r>
    <d v="2024-07-13T00:00:00"/>
    <x v="5"/>
    <x v="3"/>
    <x v="0"/>
    <n v="1469.54"/>
    <n v="1139.33"/>
    <n v="5"/>
    <n v="7347.7"/>
    <n v="5696.65"/>
    <n v="1651.0500000000002"/>
    <n v="0.22470296827578701"/>
    <x v="28"/>
    <n v="1651.0500000000002"/>
  </r>
  <r>
    <d v="2023-11-24T00:00:00"/>
    <x v="10"/>
    <x v="2"/>
    <x v="3"/>
    <n v="371.35"/>
    <n v="321.42"/>
    <n v="4"/>
    <n v="1485.4"/>
    <n v="1285.68"/>
    <n v="199.72000000000003"/>
    <n v="0.13445536555809884"/>
    <x v="10"/>
    <n v="199.72000000000003"/>
  </r>
  <r>
    <d v="2024-09-26T00:00:00"/>
    <x v="1"/>
    <x v="1"/>
    <x v="0"/>
    <n v="1225.5899999999999"/>
    <n v="926.96"/>
    <n v="3"/>
    <n v="3676.7699999999995"/>
    <n v="2780.88"/>
    <n v="895.88999999999942"/>
    <n v="0.24366223614748803"/>
    <x v="16"/>
    <n v="895.88999999999942"/>
  </r>
  <r>
    <d v="2024-08-05T00:00:00"/>
    <x v="4"/>
    <x v="2"/>
    <x v="1"/>
    <n v="640.45000000000005"/>
    <n v="455.39"/>
    <n v="8"/>
    <n v="5123.6000000000004"/>
    <n v="3643.12"/>
    <n v="1480.4800000000005"/>
    <n v="0.2889530798657195"/>
    <x v="21"/>
    <n v="1480.4800000000005"/>
  </r>
  <r>
    <d v="2024-06-20T00:00:00"/>
    <x v="6"/>
    <x v="3"/>
    <x v="0"/>
    <n v="1950.86"/>
    <n v="1583.78"/>
    <n v="4"/>
    <n v="7803.44"/>
    <n v="6335.12"/>
    <n v="1468.3199999999997"/>
    <n v="0.18816316906389999"/>
    <x v="4"/>
    <n v="1468.3199999999997"/>
  </r>
  <r>
    <d v="2022-11-25T00:00:00"/>
    <x v="6"/>
    <x v="3"/>
    <x v="1"/>
    <n v="1668.94"/>
    <n v="1009.24"/>
    <n v="6"/>
    <n v="10013.64"/>
    <n v="6055.4400000000005"/>
    <n v="3958.1999999999989"/>
    <n v="0.39528083693841592"/>
    <x v="1"/>
    <n v="3958.1999999999989"/>
  </r>
  <r>
    <d v="2023-04-07T00:00:00"/>
    <x v="2"/>
    <x v="0"/>
    <x v="2"/>
    <n v="870.56"/>
    <n v="647"/>
    <n v="8"/>
    <n v="6964.48"/>
    <n v="5176"/>
    <n v="1788.4799999999996"/>
    <n v="0.25680022054769341"/>
    <x v="6"/>
    <n v="1788.4799999999996"/>
  </r>
  <r>
    <d v="2023-04-26T00:00:00"/>
    <x v="9"/>
    <x v="3"/>
    <x v="2"/>
    <n v="1683.06"/>
    <n v="1475.59"/>
    <n v="9"/>
    <n v="15147.539999999999"/>
    <n v="13280.31"/>
    <n v="1867.2299999999996"/>
    <n v="0.12326952099152731"/>
    <x v="6"/>
    <n v="1867.2299999999996"/>
  </r>
  <r>
    <d v="2022-08-18T00:00:00"/>
    <x v="10"/>
    <x v="2"/>
    <x v="2"/>
    <n v="1833.44"/>
    <n v="1497.04"/>
    <n v="7"/>
    <n v="12834.08"/>
    <n v="10479.279999999999"/>
    <n v="2354.8000000000011"/>
    <n v="0.18348023387730178"/>
    <x v="15"/>
    <n v="2354.8000000000011"/>
  </r>
  <r>
    <d v="2022-06-01T00:00:00"/>
    <x v="9"/>
    <x v="3"/>
    <x v="3"/>
    <n v="1595.51"/>
    <n v="1228.83"/>
    <n v="7"/>
    <n v="11168.57"/>
    <n v="8601.81"/>
    <n v="2566.7600000000002"/>
    <n v="0.22981993218469332"/>
    <x v="18"/>
    <n v="2566.7600000000002"/>
  </r>
  <r>
    <d v="2023-11-07T00:00:00"/>
    <x v="2"/>
    <x v="0"/>
    <x v="3"/>
    <n v="1081.94"/>
    <n v="788.28"/>
    <n v="1"/>
    <n v="1081.94"/>
    <n v="788.28"/>
    <n v="293.66000000000008"/>
    <n v="0.27141985692367421"/>
    <x v="10"/>
    <n v="293.66000000000008"/>
  </r>
  <r>
    <d v="2022-05-24T00:00:00"/>
    <x v="0"/>
    <x v="0"/>
    <x v="3"/>
    <n v="228.08"/>
    <n v="181.28"/>
    <n v="3"/>
    <n v="684.24"/>
    <n v="543.84"/>
    <n v="140.39999999999998"/>
    <n v="0.20519116099614168"/>
    <x v="35"/>
    <n v="140.39999999999998"/>
  </r>
  <r>
    <d v="2023-10-12T00:00:00"/>
    <x v="8"/>
    <x v="1"/>
    <x v="3"/>
    <n v="1395.03"/>
    <n v="1043.8900000000001"/>
    <n v="6"/>
    <n v="8370.18"/>
    <n v="6263.34"/>
    <n v="2106.84"/>
    <n v="0.25170784857673312"/>
    <x v="5"/>
    <n v="2106.84"/>
  </r>
  <r>
    <d v="2023-03-16T00:00:00"/>
    <x v="2"/>
    <x v="0"/>
    <x v="1"/>
    <n v="220.24"/>
    <n v="181.23"/>
    <n v="2"/>
    <n v="440.48"/>
    <n v="362.46"/>
    <n v="78.020000000000039"/>
    <n v="0.17712495459498737"/>
    <x v="19"/>
    <n v="78.020000000000039"/>
  </r>
  <r>
    <d v="2022-01-29T00:00:00"/>
    <x v="0"/>
    <x v="0"/>
    <x v="3"/>
    <n v="1546.98"/>
    <n v="1034.73"/>
    <n v="10"/>
    <n v="15469.8"/>
    <n v="10347.299999999999"/>
    <n v="5122.5"/>
    <n v="0.33112903851374936"/>
    <x v="9"/>
    <n v="5122.5"/>
  </r>
  <r>
    <d v="2022-09-21T00:00:00"/>
    <x v="6"/>
    <x v="3"/>
    <x v="1"/>
    <n v="1726.63"/>
    <n v="1226.56"/>
    <n v="5"/>
    <n v="8633.1500000000015"/>
    <n v="6132.7999999999993"/>
    <n v="2500.3500000000022"/>
    <n v="0.28962198038954517"/>
    <x v="12"/>
    <n v="2500.3500000000022"/>
  </r>
  <r>
    <d v="2023-04-26T00:00:00"/>
    <x v="9"/>
    <x v="3"/>
    <x v="3"/>
    <n v="1872.24"/>
    <n v="1637.72"/>
    <n v="6"/>
    <n v="11233.44"/>
    <n v="9826.32"/>
    <n v="1407.1200000000008"/>
    <n v="0.12526171858308771"/>
    <x v="6"/>
    <n v="1407.1200000000008"/>
  </r>
  <r>
    <d v="2023-06-07T00:00:00"/>
    <x v="8"/>
    <x v="1"/>
    <x v="3"/>
    <n v="1430.45"/>
    <n v="1083.67"/>
    <n v="3"/>
    <n v="4291.3500000000004"/>
    <n v="3251.01"/>
    <n v="1040.3400000000001"/>
    <n v="0.24242720822118916"/>
    <x v="0"/>
    <n v="1040.3400000000001"/>
  </r>
  <r>
    <d v="2023-10-05T00:00:00"/>
    <x v="0"/>
    <x v="0"/>
    <x v="1"/>
    <n v="863.82"/>
    <n v="504.94"/>
    <n v="6"/>
    <n v="5182.92"/>
    <n v="3029.64"/>
    <n v="2153.2800000000002"/>
    <n v="0.41545692389618211"/>
    <x v="5"/>
    <n v="2153.2800000000002"/>
  </r>
  <r>
    <d v="2022-10-21T00:00:00"/>
    <x v="9"/>
    <x v="3"/>
    <x v="0"/>
    <n v="40.79"/>
    <n v="24.18"/>
    <n v="9"/>
    <n v="367.11"/>
    <n v="217.62"/>
    <n v="149.49"/>
    <n v="0.40720764893356215"/>
    <x v="25"/>
    <n v="149.49"/>
  </r>
  <r>
    <d v="2024-12-12T00:00:00"/>
    <x v="2"/>
    <x v="0"/>
    <x v="3"/>
    <n v="834.6"/>
    <n v="741.94"/>
    <n v="1"/>
    <n v="834.6"/>
    <n v="741.94"/>
    <n v="92.659999999999968"/>
    <n v="0.11102324466810444"/>
    <x v="23"/>
    <n v="92.659999999999968"/>
  </r>
  <r>
    <d v="2023-05-03T00:00:00"/>
    <x v="10"/>
    <x v="2"/>
    <x v="2"/>
    <n v="1672.96"/>
    <n v="1106.3800000000001"/>
    <n v="9"/>
    <n v="15056.64"/>
    <n v="9957.4200000000019"/>
    <n v="5099.2199999999975"/>
    <n v="0.33866918515684757"/>
    <x v="31"/>
    <n v="5099.2199999999975"/>
  </r>
  <r>
    <d v="2022-12-24T00:00:00"/>
    <x v="3"/>
    <x v="2"/>
    <x v="3"/>
    <n v="1928.91"/>
    <n v="1183.69"/>
    <n v="7"/>
    <n v="13502.37"/>
    <n v="8285.83"/>
    <n v="5216.5400000000009"/>
    <n v="0.38634254579010946"/>
    <x v="33"/>
    <n v="5216.5400000000009"/>
  </r>
  <r>
    <d v="2023-10-16T00:00:00"/>
    <x v="9"/>
    <x v="3"/>
    <x v="1"/>
    <n v="1895.32"/>
    <n v="1645.33"/>
    <n v="3"/>
    <n v="5685.96"/>
    <n v="4935.99"/>
    <n v="749.97000000000025"/>
    <n v="0.13189857121752532"/>
    <x v="5"/>
    <n v="749.97000000000025"/>
  </r>
  <r>
    <d v="2023-06-13T00:00:00"/>
    <x v="5"/>
    <x v="3"/>
    <x v="3"/>
    <n v="1971.12"/>
    <n v="1076.1199999999999"/>
    <n v="7"/>
    <n v="13797.84"/>
    <n v="7532.8399999999992"/>
    <n v="6265.0000000000009"/>
    <n v="0.45405657697146806"/>
    <x v="0"/>
    <n v="6265.0000000000009"/>
  </r>
  <r>
    <d v="2022-10-22T00:00:00"/>
    <x v="10"/>
    <x v="2"/>
    <x v="3"/>
    <n v="1498.56"/>
    <n v="847.61"/>
    <n v="8"/>
    <n v="11988.48"/>
    <n v="6780.88"/>
    <n v="5207.5999999999995"/>
    <n v="0.43438367499466152"/>
    <x v="25"/>
    <n v="5207.5999999999995"/>
  </r>
  <r>
    <d v="2024-11-09T00:00:00"/>
    <x v="4"/>
    <x v="2"/>
    <x v="0"/>
    <n v="787.7"/>
    <n v="529.76"/>
    <n v="5"/>
    <n v="3938.5"/>
    <n v="2648.8"/>
    <n v="1289.6999999999998"/>
    <n v="0.32745969277643766"/>
    <x v="2"/>
    <n v="1289.6999999999998"/>
  </r>
  <r>
    <d v="2022-07-12T00:00:00"/>
    <x v="10"/>
    <x v="2"/>
    <x v="1"/>
    <n v="989.34"/>
    <n v="498.9"/>
    <n v="1"/>
    <n v="989.34"/>
    <n v="498.9"/>
    <n v="490.44000000000005"/>
    <n v="0.49572442234216757"/>
    <x v="8"/>
    <n v="490.44000000000005"/>
  </r>
  <r>
    <d v="2022-02-08T00:00:00"/>
    <x v="3"/>
    <x v="2"/>
    <x v="2"/>
    <n v="1804.66"/>
    <n v="1143.98"/>
    <n v="4"/>
    <n v="7218.64"/>
    <n v="4575.92"/>
    <n v="2642.7200000000003"/>
    <n v="0.36609666086686693"/>
    <x v="20"/>
    <n v="2642.7200000000003"/>
  </r>
  <r>
    <d v="2023-01-12T00:00:00"/>
    <x v="6"/>
    <x v="3"/>
    <x v="0"/>
    <n v="176.09"/>
    <n v="145.4"/>
    <n v="6"/>
    <n v="1056.54"/>
    <n v="872.40000000000009"/>
    <n v="184.13999999999987"/>
    <n v="0.17428587654040537"/>
    <x v="13"/>
    <n v="184.13999999999987"/>
  </r>
  <r>
    <d v="2023-09-08T00:00:00"/>
    <x v="2"/>
    <x v="0"/>
    <x v="2"/>
    <n v="982.46"/>
    <n v="815.63"/>
    <n v="7"/>
    <n v="6877.22"/>
    <n v="5709.41"/>
    <n v="1167.8100000000004"/>
    <n v="0.16980844003827134"/>
    <x v="24"/>
    <n v="1167.8100000000004"/>
  </r>
  <r>
    <d v="2022-12-09T00:00:00"/>
    <x v="6"/>
    <x v="3"/>
    <x v="2"/>
    <n v="1535.03"/>
    <n v="1271.44"/>
    <n v="10"/>
    <n v="15350.3"/>
    <n v="12714.400000000001"/>
    <n v="2635.8999999999978"/>
    <n v="0.17171651368377153"/>
    <x v="33"/>
    <n v="2635.8999999999978"/>
  </r>
  <r>
    <d v="2022-01-31T00:00:00"/>
    <x v="9"/>
    <x v="3"/>
    <x v="3"/>
    <n v="249.26"/>
    <n v="183.82"/>
    <n v="3"/>
    <n v="747.78"/>
    <n v="551.46"/>
    <n v="196.31999999999994"/>
    <n v="0.26253710984514156"/>
    <x v="9"/>
    <n v="196.31999999999994"/>
  </r>
  <r>
    <d v="2024-08-27T00:00:00"/>
    <x v="2"/>
    <x v="0"/>
    <x v="2"/>
    <n v="1641.43"/>
    <n v="1301.99"/>
    <n v="9"/>
    <n v="14772.87"/>
    <n v="11717.91"/>
    <n v="3054.9600000000009"/>
    <n v="0.20679529434700236"/>
    <x v="21"/>
    <n v="3054.9600000000009"/>
  </r>
  <r>
    <d v="2024-06-05T00:00:00"/>
    <x v="6"/>
    <x v="3"/>
    <x v="2"/>
    <n v="1923.3"/>
    <n v="1254.73"/>
    <n v="7"/>
    <n v="13463.1"/>
    <n v="8783.11"/>
    <n v="4679.99"/>
    <n v="0.34761607653512189"/>
    <x v="4"/>
    <n v="4679.99"/>
  </r>
  <r>
    <d v="2024-06-22T00:00:00"/>
    <x v="7"/>
    <x v="0"/>
    <x v="1"/>
    <n v="445.09"/>
    <n v="346.71"/>
    <n v="10"/>
    <n v="4450.8999999999996"/>
    <n v="3467.1"/>
    <n v="983.79999999999973"/>
    <n v="0.22103394819025363"/>
    <x v="4"/>
    <n v="983.79999999999973"/>
  </r>
  <r>
    <d v="2022-08-30T00:00:00"/>
    <x v="3"/>
    <x v="2"/>
    <x v="0"/>
    <n v="329.69"/>
    <n v="269.77"/>
    <n v="4"/>
    <n v="1318.76"/>
    <n v="1079.08"/>
    <n v="239.68000000000006"/>
    <n v="0.18174648912614885"/>
    <x v="15"/>
    <n v="239.68000000000006"/>
  </r>
  <r>
    <d v="2023-12-16T00:00:00"/>
    <x v="8"/>
    <x v="1"/>
    <x v="2"/>
    <n v="112.52"/>
    <n v="90.71"/>
    <n v="1"/>
    <n v="112.52"/>
    <n v="90.71"/>
    <n v="21.810000000000002"/>
    <n v="0.19383220760753647"/>
    <x v="30"/>
    <n v="21.810000000000002"/>
  </r>
  <r>
    <d v="2022-02-05T00:00:00"/>
    <x v="9"/>
    <x v="3"/>
    <x v="2"/>
    <n v="1725.32"/>
    <n v="1397.32"/>
    <n v="4"/>
    <n v="6901.28"/>
    <n v="5589.28"/>
    <n v="1312"/>
    <n v="0.19010966081654418"/>
    <x v="20"/>
    <n v="1312"/>
  </r>
  <r>
    <d v="2022-04-11T00:00:00"/>
    <x v="7"/>
    <x v="0"/>
    <x v="0"/>
    <n v="1195.8399999999999"/>
    <n v="807.03"/>
    <n v="4"/>
    <n v="4783.3599999999997"/>
    <n v="3228.12"/>
    <n v="1555.2399999999998"/>
    <n v="0.32513546962804385"/>
    <x v="32"/>
    <n v="1555.2399999999998"/>
  </r>
  <r>
    <d v="2022-05-29T00:00:00"/>
    <x v="7"/>
    <x v="0"/>
    <x v="2"/>
    <n v="1028.3599999999999"/>
    <n v="832.99"/>
    <n v="7"/>
    <n v="7198.5199999999995"/>
    <n v="5830.93"/>
    <n v="1367.5899999999992"/>
    <n v="0.18998210743319452"/>
    <x v="35"/>
    <n v="1367.5899999999992"/>
  </r>
  <r>
    <d v="2023-10-15T00:00:00"/>
    <x v="5"/>
    <x v="3"/>
    <x v="1"/>
    <n v="190.87"/>
    <n v="95.5"/>
    <n v="2"/>
    <n v="381.74"/>
    <n v="191"/>
    <n v="190.74"/>
    <n v="0.49965945407869233"/>
    <x v="5"/>
    <n v="190.74"/>
  </r>
  <r>
    <d v="2023-03-19T00:00:00"/>
    <x v="8"/>
    <x v="1"/>
    <x v="0"/>
    <n v="295.20999999999998"/>
    <n v="246.92"/>
    <n v="2"/>
    <n v="590.41999999999996"/>
    <n v="493.84"/>
    <n v="96.579999999999984"/>
    <n v="0.16357846956403915"/>
    <x v="19"/>
    <n v="96.579999999999984"/>
  </r>
  <r>
    <d v="2024-09-18T00:00:00"/>
    <x v="2"/>
    <x v="0"/>
    <x v="1"/>
    <n v="1069.76"/>
    <n v="616.23"/>
    <n v="8"/>
    <n v="8558.08"/>
    <n v="4929.84"/>
    <n v="3628.24"/>
    <n v="0.42395490577325751"/>
    <x v="16"/>
    <n v="3628.24"/>
  </r>
  <r>
    <d v="2023-01-11T00:00:00"/>
    <x v="0"/>
    <x v="0"/>
    <x v="2"/>
    <n v="1234.8"/>
    <n v="987.9"/>
    <n v="4"/>
    <n v="4939.2"/>
    <n v="3951.6"/>
    <n v="987.59999999999991"/>
    <n v="0.19995140913508258"/>
    <x v="13"/>
    <n v="987.59999999999991"/>
  </r>
  <r>
    <d v="2023-08-08T00:00:00"/>
    <x v="7"/>
    <x v="0"/>
    <x v="0"/>
    <n v="639.42999999999995"/>
    <n v="427.71"/>
    <n v="5"/>
    <n v="3197.1499999999996"/>
    <n v="2138.5499999999997"/>
    <n v="1058.5999999999999"/>
    <n v="0.33110739252146443"/>
    <x v="14"/>
    <n v="1058.5999999999999"/>
  </r>
  <r>
    <d v="2024-01-07T00:00:00"/>
    <x v="0"/>
    <x v="0"/>
    <x v="1"/>
    <n v="1162.22"/>
    <n v="867"/>
    <n v="3"/>
    <n v="3486.66"/>
    <n v="2601"/>
    <n v="885.65999999999985"/>
    <n v="0.25401387000739961"/>
    <x v="26"/>
    <n v="885.65999999999985"/>
  </r>
  <r>
    <d v="2023-03-05T00:00:00"/>
    <x v="9"/>
    <x v="3"/>
    <x v="1"/>
    <n v="490.64"/>
    <n v="312.19"/>
    <n v="3"/>
    <n v="1471.92"/>
    <n v="936.56999999999994"/>
    <n v="535.35000000000014"/>
    <n v="0.36370862546877553"/>
    <x v="19"/>
    <n v="535.35000000000014"/>
  </r>
  <r>
    <d v="2022-02-18T00:00:00"/>
    <x v="8"/>
    <x v="1"/>
    <x v="0"/>
    <n v="1222.81"/>
    <n v="932.78"/>
    <n v="3"/>
    <n v="3668.43"/>
    <n v="2798.34"/>
    <n v="870.08999999999969"/>
    <n v="0.23718320916577385"/>
    <x v="20"/>
    <n v="870.08999999999969"/>
  </r>
  <r>
    <d v="2022-01-04T00:00:00"/>
    <x v="6"/>
    <x v="3"/>
    <x v="1"/>
    <n v="705.93"/>
    <n v="595.04999999999995"/>
    <n v="3"/>
    <n v="2117.79"/>
    <n v="1785.1499999999999"/>
    <n v="332.6400000000001"/>
    <n v="0.15706939781564749"/>
    <x v="9"/>
    <n v="332.6400000000001"/>
  </r>
  <r>
    <d v="2024-10-15T00:00:00"/>
    <x v="10"/>
    <x v="2"/>
    <x v="0"/>
    <n v="283.97000000000003"/>
    <n v="173.98"/>
    <n v="3"/>
    <n v="851.91000000000008"/>
    <n v="521.93999999999994"/>
    <n v="329.97000000000014"/>
    <n v="0.38732964749797527"/>
    <x v="17"/>
    <n v="329.97000000000014"/>
  </r>
  <r>
    <d v="2023-08-25T00:00:00"/>
    <x v="5"/>
    <x v="3"/>
    <x v="2"/>
    <n v="1564.42"/>
    <n v="1016.3"/>
    <n v="10"/>
    <n v="15644.2"/>
    <n v="10163"/>
    <n v="5481.2000000000007"/>
    <n v="0.35036626992751313"/>
    <x v="14"/>
    <n v="5481.2000000000007"/>
  </r>
  <r>
    <d v="2022-02-03T00:00:00"/>
    <x v="0"/>
    <x v="0"/>
    <x v="0"/>
    <n v="1157.67"/>
    <n v="1018.18"/>
    <n v="8"/>
    <n v="9261.36"/>
    <n v="8145.44"/>
    <n v="1115.920000000001"/>
    <n v="0.12049202276987407"/>
    <x v="20"/>
    <n v="1115.920000000001"/>
  </r>
  <r>
    <d v="2024-07-18T00:00:00"/>
    <x v="4"/>
    <x v="2"/>
    <x v="1"/>
    <n v="996.2"/>
    <n v="703.82"/>
    <n v="5"/>
    <n v="4981"/>
    <n v="3519.1000000000004"/>
    <n v="1461.8999999999996"/>
    <n v="0.29349528207187303"/>
    <x v="28"/>
    <n v="1461.8999999999996"/>
  </r>
  <r>
    <d v="2022-01-27T00:00:00"/>
    <x v="3"/>
    <x v="2"/>
    <x v="3"/>
    <n v="1863.08"/>
    <n v="1476.27"/>
    <n v="3"/>
    <n v="5589.24"/>
    <n v="4428.8099999999995"/>
    <n v="1160.4300000000003"/>
    <n v="0.20761856710393548"/>
    <x v="9"/>
    <n v="1160.4300000000003"/>
  </r>
  <r>
    <d v="2023-01-23T00:00:00"/>
    <x v="2"/>
    <x v="0"/>
    <x v="3"/>
    <n v="1809.68"/>
    <n v="1078.95"/>
    <n v="2"/>
    <n v="3619.36"/>
    <n v="2157.9"/>
    <n v="1461.46"/>
    <n v="0.40378962026435611"/>
    <x v="13"/>
    <n v="1461.46"/>
  </r>
  <r>
    <d v="2022-11-07T00:00:00"/>
    <x v="5"/>
    <x v="3"/>
    <x v="1"/>
    <n v="1491.72"/>
    <n v="881.54"/>
    <n v="1"/>
    <n v="1491.72"/>
    <n v="881.54"/>
    <n v="610.18000000000006"/>
    <n v="0.40904459281902772"/>
    <x v="1"/>
    <n v="610.18000000000006"/>
  </r>
  <r>
    <d v="2023-10-03T00:00:00"/>
    <x v="2"/>
    <x v="0"/>
    <x v="0"/>
    <n v="73.69"/>
    <n v="44.83"/>
    <n v="8"/>
    <n v="589.52"/>
    <n v="358.64"/>
    <n v="230.88"/>
    <n v="0.39164065680553672"/>
    <x v="5"/>
    <n v="230.88"/>
  </r>
  <r>
    <d v="2023-02-12T00:00:00"/>
    <x v="5"/>
    <x v="3"/>
    <x v="2"/>
    <n v="925.26"/>
    <n v="501.72"/>
    <n v="5"/>
    <n v="4626.3"/>
    <n v="2508.6000000000004"/>
    <n v="2117.6999999999998"/>
    <n v="0.45775241553725432"/>
    <x v="27"/>
    <n v="2117.6999999999998"/>
  </r>
  <r>
    <d v="2022-04-29T00:00:00"/>
    <x v="10"/>
    <x v="2"/>
    <x v="0"/>
    <n v="223.03"/>
    <n v="189.7"/>
    <n v="3"/>
    <n v="669.09"/>
    <n v="569.09999999999991"/>
    <n v="99.990000000000123"/>
    <n v="0.14944177913285225"/>
    <x v="32"/>
    <n v="99.990000000000123"/>
  </r>
  <r>
    <d v="2024-06-01T00:00:00"/>
    <x v="3"/>
    <x v="2"/>
    <x v="0"/>
    <n v="1301.51"/>
    <n v="832.52"/>
    <n v="10"/>
    <n v="13015.1"/>
    <n v="8325.2000000000007"/>
    <n v="4689.8999999999996"/>
    <n v="0.36034298622369398"/>
    <x v="4"/>
    <n v="4689.8999999999996"/>
  </r>
  <r>
    <d v="2023-05-25T00:00:00"/>
    <x v="8"/>
    <x v="1"/>
    <x v="0"/>
    <n v="1296.04"/>
    <n v="747.07"/>
    <n v="10"/>
    <n v="12960.4"/>
    <n v="7470.7000000000007"/>
    <n v="5489.6999999999989"/>
    <n v="0.42357488966389917"/>
    <x v="31"/>
    <n v="5489.6999999999989"/>
  </r>
  <r>
    <d v="2022-03-30T00:00:00"/>
    <x v="7"/>
    <x v="0"/>
    <x v="3"/>
    <n v="130.91"/>
    <n v="84.89"/>
    <n v="2"/>
    <n v="261.82"/>
    <n v="169.78"/>
    <n v="92.039999999999992"/>
    <n v="0.35153922542204563"/>
    <x v="7"/>
    <n v="92.039999999999992"/>
  </r>
  <r>
    <d v="2024-10-20T00:00:00"/>
    <x v="0"/>
    <x v="0"/>
    <x v="1"/>
    <n v="1476.78"/>
    <n v="1172.7"/>
    <n v="2"/>
    <n v="2953.56"/>
    <n v="2345.4"/>
    <n v="608.15999999999985"/>
    <n v="0.20590744728395557"/>
    <x v="17"/>
    <n v="608.15999999999985"/>
  </r>
  <r>
    <d v="2023-08-09T00:00:00"/>
    <x v="8"/>
    <x v="1"/>
    <x v="2"/>
    <n v="1625.4"/>
    <n v="1029.9100000000001"/>
    <n v="2"/>
    <n v="3250.8"/>
    <n v="2059.8200000000002"/>
    <n v="1190.98"/>
    <n v="0.366365202411714"/>
    <x v="14"/>
    <n v="1190.98"/>
  </r>
  <r>
    <d v="2022-01-30T00:00:00"/>
    <x v="6"/>
    <x v="3"/>
    <x v="1"/>
    <n v="1909.91"/>
    <n v="1367.49"/>
    <n v="6"/>
    <n v="11459.460000000001"/>
    <n v="8204.94"/>
    <n v="3254.5200000000004"/>
    <n v="0.28400291113193815"/>
    <x v="9"/>
    <n v="3254.5200000000004"/>
  </r>
  <r>
    <d v="2024-03-10T00:00:00"/>
    <x v="4"/>
    <x v="2"/>
    <x v="0"/>
    <n v="1424.83"/>
    <n v="914.34"/>
    <n v="10"/>
    <n v="14248.3"/>
    <n v="9143.4"/>
    <n v="5104.8999999999996"/>
    <n v="0.3582813388263863"/>
    <x v="29"/>
    <n v="5104.8999999999996"/>
  </r>
  <r>
    <d v="2022-02-03T00:00:00"/>
    <x v="0"/>
    <x v="0"/>
    <x v="3"/>
    <n v="910.35"/>
    <n v="646.20000000000005"/>
    <n v="1"/>
    <n v="910.35"/>
    <n v="646.20000000000005"/>
    <n v="264.14999999999998"/>
    <n v="0.29016312407315864"/>
    <x v="20"/>
    <n v="264.14999999999998"/>
  </r>
  <r>
    <d v="2023-11-04T00:00:00"/>
    <x v="3"/>
    <x v="2"/>
    <x v="3"/>
    <n v="590.64"/>
    <n v="327.42"/>
    <n v="4"/>
    <n v="2362.56"/>
    <n v="1309.68"/>
    <n v="1052.8799999999999"/>
    <n v="0.44565217391304346"/>
    <x v="10"/>
    <n v="1052.8799999999999"/>
  </r>
  <r>
    <d v="2022-04-20T00:00:00"/>
    <x v="6"/>
    <x v="3"/>
    <x v="1"/>
    <n v="1645.96"/>
    <n v="1142.53"/>
    <n v="10"/>
    <n v="16459.599999999999"/>
    <n v="11425.3"/>
    <n v="5034.2999999999993"/>
    <n v="0.30585797953777732"/>
    <x v="32"/>
    <n v="5034.2999999999993"/>
  </r>
  <r>
    <d v="2023-02-18T00:00:00"/>
    <x v="0"/>
    <x v="0"/>
    <x v="0"/>
    <n v="543.36"/>
    <n v="298.69"/>
    <n v="7"/>
    <n v="3803.52"/>
    <n v="2090.83"/>
    <n v="1712.69"/>
    <n v="0.45029078327444055"/>
    <x v="27"/>
    <n v="1712.69"/>
  </r>
  <r>
    <d v="2024-02-03T00:00:00"/>
    <x v="2"/>
    <x v="0"/>
    <x v="3"/>
    <n v="910.44"/>
    <n v="803.83"/>
    <n v="6"/>
    <n v="5462.64"/>
    <n v="4822.9800000000005"/>
    <n v="639.65999999999985"/>
    <n v="0.11709722771407229"/>
    <x v="34"/>
    <n v="639.65999999999985"/>
  </r>
  <r>
    <d v="2023-03-27T00:00:00"/>
    <x v="1"/>
    <x v="1"/>
    <x v="0"/>
    <n v="699.54"/>
    <n v="431.9"/>
    <n v="1"/>
    <n v="699.54"/>
    <n v="431.9"/>
    <n v="267.64"/>
    <n v="0.38259427623867115"/>
    <x v="19"/>
    <n v="267.64"/>
  </r>
  <r>
    <d v="2022-01-27T00:00:00"/>
    <x v="0"/>
    <x v="0"/>
    <x v="0"/>
    <n v="899.04"/>
    <n v="602.67999999999995"/>
    <n v="1"/>
    <n v="899.04"/>
    <n v="602.67999999999995"/>
    <n v="296.36"/>
    <n v="0.32964050542801215"/>
    <x v="9"/>
    <n v="296.36"/>
  </r>
  <r>
    <d v="2022-01-15T00:00:00"/>
    <x v="3"/>
    <x v="2"/>
    <x v="2"/>
    <n v="1967.6"/>
    <n v="1703.99"/>
    <n v="10"/>
    <n v="19676"/>
    <n v="17039.900000000001"/>
    <n v="2636.0999999999985"/>
    <n v="0.13397540150437073"/>
    <x v="9"/>
    <n v="2636.0999999999985"/>
  </r>
  <r>
    <d v="2022-12-13T00:00:00"/>
    <x v="2"/>
    <x v="0"/>
    <x v="2"/>
    <n v="1494.1"/>
    <n v="1098.3399999999999"/>
    <n v="6"/>
    <n v="8964.5999999999985"/>
    <n v="6590.0399999999991"/>
    <n v="2374.5599999999995"/>
    <n v="0.2648818686834884"/>
    <x v="33"/>
    <n v="2374.5599999999995"/>
  </r>
  <r>
    <d v="2022-12-05T00:00:00"/>
    <x v="3"/>
    <x v="2"/>
    <x v="1"/>
    <n v="1080.3900000000001"/>
    <n v="970.78"/>
    <n v="7"/>
    <n v="7562.7300000000005"/>
    <n v="6795.46"/>
    <n v="767.27000000000044"/>
    <n v="0.10145410453632489"/>
    <x v="33"/>
    <n v="767.27000000000044"/>
  </r>
  <r>
    <d v="2022-01-10T00:00:00"/>
    <x v="0"/>
    <x v="0"/>
    <x v="3"/>
    <n v="66.58"/>
    <n v="34.729999999999997"/>
    <n v="4"/>
    <n v="266.32"/>
    <n v="138.91999999999999"/>
    <n v="127.4"/>
    <n v="0.47837188344848308"/>
    <x v="9"/>
    <n v="127.4"/>
  </r>
  <r>
    <d v="2022-11-29T00:00:00"/>
    <x v="5"/>
    <x v="3"/>
    <x v="2"/>
    <n v="1578.35"/>
    <n v="1122.3499999999999"/>
    <n v="5"/>
    <n v="7891.75"/>
    <n v="5611.75"/>
    <n v="2280"/>
    <n v="0.28890930402002091"/>
    <x v="1"/>
    <n v="2280"/>
  </r>
  <r>
    <d v="2024-05-17T00:00:00"/>
    <x v="3"/>
    <x v="2"/>
    <x v="0"/>
    <n v="785.25"/>
    <n v="449.38"/>
    <n v="2"/>
    <n v="1570.5"/>
    <n v="898.76"/>
    <n v="671.74"/>
    <n v="0.42772365488697867"/>
    <x v="3"/>
    <n v="671.74"/>
  </r>
  <r>
    <d v="2023-07-07T00:00:00"/>
    <x v="6"/>
    <x v="3"/>
    <x v="2"/>
    <n v="1865.2"/>
    <n v="1124.99"/>
    <n v="2"/>
    <n v="3730.4"/>
    <n v="2249.98"/>
    <n v="1480.42"/>
    <n v="0.39685288440917865"/>
    <x v="11"/>
    <n v="1480.42"/>
  </r>
  <r>
    <d v="2023-11-29T00:00:00"/>
    <x v="0"/>
    <x v="0"/>
    <x v="3"/>
    <n v="353.09"/>
    <n v="317.26"/>
    <n v="7"/>
    <n v="2471.6299999999997"/>
    <n v="2220.8199999999997"/>
    <n v="250.80999999999995"/>
    <n v="0.10147554447874479"/>
    <x v="10"/>
    <n v="250.80999999999995"/>
  </r>
  <r>
    <d v="2024-09-13T00:00:00"/>
    <x v="9"/>
    <x v="3"/>
    <x v="3"/>
    <n v="327.51"/>
    <n v="259.06"/>
    <n v="5"/>
    <n v="1637.55"/>
    <n v="1295.3"/>
    <n v="342.25"/>
    <n v="0.20900125187017191"/>
    <x v="16"/>
    <n v="342.25"/>
  </r>
  <r>
    <d v="2023-09-26T00:00:00"/>
    <x v="2"/>
    <x v="0"/>
    <x v="1"/>
    <n v="1657.13"/>
    <n v="1115.04"/>
    <n v="6"/>
    <n v="9942.7800000000007"/>
    <n v="6690.24"/>
    <n v="3252.5400000000009"/>
    <n v="0.32712581390717693"/>
    <x v="24"/>
    <n v="3252.5400000000009"/>
  </r>
  <r>
    <d v="2024-03-13T00:00:00"/>
    <x v="9"/>
    <x v="3"/>
    <x v="2"/>
    <n v="1572.27"/>
    <n v="1341.18"/>
    <n v="8"/>
    <n v="12578.16"/>
    <n v="10729.44"/>
    <n v="1848.7199999999993"/>
    <n v="0.146978572382606"/>
    <x v="29"/>
    <n v="1848.7199999999993"/>
  </r>
  <r>
    <d v="2024-04-09T00:00:00"/>
    <x v="7"/>
    <x v="0"/>
    <x v="3"/>
    <n v="1047.72"/>
    <n v="539.55999999999995"/>
    <n v="6"/>
    <n v="6286.32"/>
    <n v="3237.3599999999997"/>
    <n v="3048.96"/>
    <n v="0.48501508036498303"/>
    <x v="22"/>
    <n v="3048.96"/>
  </r>
  <r>
    <d v="2022-07-04T00:00:00"/>
    <x v="2"/>
    <x v="0"/>
    <x v="0"/>
    <n v="939.83"/>
    <n v="740.91"/>
    <n v="1"/>
    <n v="939.83"/>
    <n v="740.91"/>
    <n v="198.92000000000007"/>
    <n v="0.21165529936265076"/>
    <x v="8"/>
    <n v="198.92000000000007"/>
  </r>
  <r>
    <d v="2023-03-23T00:00:00"/>
    <x v="9"/>
    <x v="3"/>
    <x v="3"/>
    <n v="72.48"/>
    <n v="64.540000000000006"/>
    <n v="2"/>
    <n v="144.96"/>
    <n v="129.08000000000001"/>
    <n v="15.879999999999995"/>
    <n v="0.10954746136865338"/>
    <x v="19"/>
    <n v="15.879999999999995"/>
  </r>
  <r>
    <d v="2023-02-28T00:00:00"/>
    <x v="3"/>
    <x v="2"/>
    <x v="2"/>
    <n v="430.27"/>
    <n v="282.62"/>
    <n v="5"/>
    <n v="2151.35"/>
    <n v="1413.1"/>
    <n v="738.25"/>
    <n v="0.34315662258581819"/>
    <x v="27"/>
    <n v="738.25"/>
  </r>
  <r>
    <d v="2024-01-12T00:00:00"/>
    <x v="6"/>
    <x v="3"/>
    <x v="2"/>
    <n v="1922.4"/>
    <n v="1709.52"/>
    <n v="7"/>
    <n v="13456.800000000001"/>
    <n v="11966.64"/>
    <n v="1490.1600000000017"/>
    <n v="0.11073657927590523"/>
    <x v="26"/>
    <n v="1490.1600000000017"/>
  </r>
  <r>
    <d v="2022-03-16T00:00:00"/>
    <x v="0"/>
    <x v="0"/>
    <x v="1"/>
    <n v="1250"/>
    <n v="801.6"/>
    <n v="8"/>
    <n v="10000"/>
    <n v="6412.8"/>
    <n v="3587.2"/>
    <n v="0.35871999999999998"/>
    <x v="7"/>
    <n v="3587.2"/>
  </r>
  <r>
    <d v="2022-04-23T00:00:00"/>
    <x v="2"/>
    <x v="0"/>
    <x v="2"/>
    <n v="1852"/>
    <n v="1189.29"/>
    <n v="5"/>
    <n v="9260"/>
    <n v="5946.45"/>
    <n v="3313.55"/>
    <n v="0.35783477321814255"/>
    <x v="32"/>
    <n v="3313.55"/>
  </r>
  <r>
    <d v="2024-01-24T00:00:00"/>
    <x v="2"/>
    <x v="0"/>
    <x v="0"/>
    <n v="1208.06"/>
    <n v="614.9"/>
    <n v="10"/>
    <n v="12080.599999999999"/>
    <n v="6149"/>
    <n v="5931.5999999999985"/>
    <n v="0.49100210254457555"/>
    <x v="26"/>
    <n v="5931.5999999999985"/>
  </r>
  <r>
    <d v="2024-07-05T00:00:00"/>
    <x v="4"/>
    <x v="2"/>
    <x v="1"/>
    <n v="401.54"/>
    <n v="217.35"/>
    <n v="2"/>
    <n v="803.08"/>
    <n v="434.7"/>
    <n v="368.38000000000005"/>
    <n v="0.45870897046371473"/>
    <x v="28"/>
    <n v="368.38000000000005"/>
  </r>
  <r>
    <d v="2022-11-21T00:00:00"/>
    <x v="8"/>
    <x v="1"/>
    <x v="2"/>
    <n v="194.24"/>
    <n v="152.05000000000001"/>
    <n v="9"/>
    <n v="1748.16"/>
    <n v="1368.45"/>
    <n v="379.71000000000004"/>
    <n v="0.21720551894563428"/>
    <x v="1"/>
    <n v="379.71000000000004"/>
  </r>
  <r>
    <d v="2023-04-20T00:00:00"/>
    <x v="9"/>
    <x v="3"/>
    <x v="2"/>
    <n v="1525.28"/>
    <n v="885.33"/>
    <n v="8"/>
    <n v="12202.24"/>
    <n v="7082.64"/>
    <n v="5119.5999999999995"/>
    <n v="0.41956230987097448"/>
    <x v="6"/>
    <n v="5119.5999999999995"/>
  </r>
  <r>
    <d v="2022-05-11T00:00:00"/>
    <x v="10"/>
    <x v="2"/>
    <x v="3"/>
    <n v="513.36"/>
    <n v="441.97"/>
    <n v="4"/>
    <n v="2053.44"/>
    <n v="1767.88"/>
    <n v="285.55999999999995"/>
    <n v="0.13906420445691131"/>
    <x v="35"/>
    <n v="285.55999999999995"/>
  </r>
  <r>
    <d v="2024-05-30T00:00:00"/>
    <x v="0"/>
    <x v="0"/>
    <x v="3"/>
    <n v="1363.37"/>
    <n v="773.41"/>
    <n v="1"/>
    <n v="1363.37"/>
    <n v="773.41"/>
    <n v="589.95999999999992"/>
    <n v="0.43272185833632831"/>
    <x v="3"/>
    <n v="589.95999999999992"/>
  </r>
  <r>
    <d v="2022-09-23T00:00:00"/>
    <x v="3"/>
    <x v="2"/>
    <x v="1"/>
    <n v="250.98"/>
    <n v="168.86"/>
    <n v="2"/>
    <n v="501.96"/>
    <n v="337.72"/>
    <n v="164.23999999999995"/>
    <n v="0.32719738624591593"/>
    <x v="12"/>
    <n v="164.23999999999995"/>
  </r>
  <r>
    <d v="2022-03-15T00:00:00"/>
    <x v="4"/>
    <x v="2"/>
    <x v="0"/>
    <n v="1980.89"/>
    <n v="1581.53"/>
    <n v="1"/>
    <n v="1980.89"/>
    <n v="1581.53"/>
    <n v="399.36000000000013"/>
    <n v="0.20160634866146029"/>
    <x v="7"/>
    <n v="399.36000000000013"/>
  </r>
  <r>
    <d v="2023-02-09T00:00:00"/>
    <x v="1"/>
    <x v="1"/>
    <x v="1"/>
    <n v="1798.33"/>
    <n v="1266.73"/>
    <n v="2"/>
    <n v="3596.66"/>
    <n v="2533.46"/>
    <n v="1063.1999999999998"/>
    <n v="0.29560759148765797"/>
    <x v="27"/>
    <n v="1063.1999999999998"/>
  </r>
  <r>
    <d v="2024-02-29T00:00:00"/>
    <x v="8"/>
    <x v="1"/>
    <x v="3"/>
    <n v="1027.97"/>
    <n v="597.1"/>
    <n v="5"/>
    <n v="5139.8500000000004"/>
    <n v="2985.5"/>
    <n v="2154.3500000000004"/>
    <n v="0.41914647314610354"/>
    <x v="34"/>
    <n v="2154.3500000000004"/>
  </r>
  <r>
    <d v="2024-02-16T00:00:00"/>
    <x v="10"/>
    <x v="2"/>
    <x v="1"/>
    <n v="1568.43"/>
    <n v="1191.48"/>
    <n v="4"/>
    <n v="6273.72"/>
    <n v="4765.92"/>
    <n v="1507.8000000000002"/>
    <n v="0.24033587727855246"/>
    <x v="34"/>
    <n v="1507.8000000000002"/>
  </r>
  <r>
    <d v="2024-08-24T00:00:00"/>
    <x v="1"/>
    <x v="1"/>
    <x v="3"/>
    <n v="1299.76"/>
    <n v="1091.8699999999999"/>
    <n v="1"/>
    <n v="1299.76"/>
    <n v="1091.8699999999999"/>
    <n v="207.8900000000001"/>
    <n v="0.1599449129069983"/>
    <x v="21"/>
    <n v="207.8900000000001"/>
  </r>
  <r>
    <d v="2023-03-18T00:00:00"/>
    <x v="10"/>
    <x v="2"/>
    <x v="1"/>
    <n v="1201.08"/>
    <n v="985.91"/>
    <n v="4"/>
    <n v="4804.32"/>
    <n v="3943.64"/>
    <n v="860.67999999999984"/>
    <n v="0.17914710094248507"/>
    <x v="19"/>
    <n v="860.67999999999984"/>
  </r>
  <r>
    <d v="2024-01-28T00:00:00"/>
    <x v="6"/>
    <x v="3"/>
    <x v="0"/>
    <n v="1263.1400000000001"/>
    <n v="922.28"/>
    <n v="5"/>
    <n v="6315.7000000000007"/>
    <n v="4611.3999999999996"/>
    <n v="1704.3000000000011"/>
    <n v="0.26985132289374114"/>
    <x v="26"/>
    <n v="1704.3000000000011"/>
  </r>
  <r>
    <d v="2024-09-08T00:00:00"/>
    <x v="0"/>
    <x v="0"/>
    <x v="2"/>
    <n v="1764.07"/>
    <n v="1472.3"/>
    <n v="3"/>
    <n v="5292.21"/>
    <n v="4416.8999999999996"/>
    <n v="875.3100000000004"/>
    <n v="0.16539593100047056"/>
    <x v="16"/>
    <n v="875.3100000000004"/>
  </r>
  <r>
    <d v="2023-06-01T00:00:00"/>
    <x v="5"/>
    <x v="3"/>
    <x v="1"/>
    <n v="877.86"/>
    <n v="623.57000000000005"/>
    <n v="9"/>
    <n v="7900.74"/>
    <n v="5612.13"/>
    <n v="2288.6099999999997"/>
    <n v="0.28967033467751119"/>
    <x v="0"/>
    <n v="2288.6099999999997"/>
  </r>
  <r>
    <d v="2022-10-30T00:00:00"/>
    <x v="6"/>
    <x v="3"/>
    <x v="0"/>
    <n v="1719.61"/>
    <n v="970.7"/>
    <n v="6"/>
    <n v="10317.66"/>
    <n v="5824.2000000000007"/>
    <n v="4493.4599999999991"/>
    <n v="0.43551154040741791"/>
    <x v="25"/>
    <n v="4493.4599999999991"/>
  </r>
  <r>
    <d v="2022-06-01T00:00:00"/>
    <x v="2"/>
    <x v="0"/>
    <x v="1"/>
    <n v="1776.83"/>
    <n v="1391.93"/>
    <n v="10"/>
    <n v="17768.3"/>
    <n v="13919.300000000001"/>
    <n v="3848.9999999999982"/>
    <n v="0.21662173646325189"/>
    <x v="18"/>
    <n v="3848.9999999999982"/>
  </r>
  <r>
    <d v="2024-04-30T00:00:00"/>
    <x v="10"/>
    <x v="2"/>
    <x v="3"/>
    <n v="100.8"/>
    <n v="76.41"/>
    <n v="9"/>
    <n v="907.19999999999993"/>
    <n v="687.68999999999994"/>
    <n v="219.51"/>
    <n v="0.24196428571428572"/>
    <x v="22"/>
    <n v="219.51"/>
  </r>
  <r>
    <d v="2022-08-11T00:00:00"/>
    <x v="4"/>
    <x v="2"/>
    <x v="0"/>
    <n v="373.14"/>
    <n v="262.64999999999998"/>
    <n v="6"/>
    <n v="2238.84"/>
    <n v="1575.8999999999999"/>
    <n v="662.94000000000028"/>
    <n v="0.29610869914777305"/>
    <x v="15"/>
    <n v="662.94000000000028"/>
  </r>
  <r>
    <d v="2024-11-21T00:00:00"/>
    <x v="1"/>
    <x v="1"/>
    <x v="2"/>
    <n v="1183.81"/>
    <n v="810.91"/>
    <n v="7"/>
    <n v="8286.67"/>
    <n v="5676.37"/>
    <n v="2610.3000000000002"/>
    <n v="0.31499987329047735"/>
    <x v="2"/>
    <n v="2610.3000000000002"/>
  </r>
  <r>
    <d v="2022-06-26T00:00:00"/>
    <x v="4"/>
    <x v="2"/>
    <x v="1"/>
    <n v="292.02"/>
    <n v="209.53"/>
    <n v="4"/>
    <n v="1168.08"/>
    <n v="838.12"/>
    <n v="329.95999999999992"/>
    <n v="0.28248065201013622"/>
    <x v="18"/>
    <n v="329.95999999999992"/>
  </r>
  <r>
    <d v="2023-02-07T00:00:00"/>
    <x v="8"/>
    <x v="1"/>
    <x v="1"/>
    <n v="505.07"/>
    <n v="399.03"/>
    <n v="1"/>
    <n v="505.07"/>
    <n v="399.03"/>
    <n v="106.04000000000002"/>
    <n v="0.20995109588769878"/>
    <x v="27"/>
    <n v="106.04000000000002"/>
  </r>
  <r>
    <d v="2022-07-11T00:00:00"/>
    <x v="4"/>
    <x v="2"/>
    <x v="1"/>
    <n v="200.94"/>
    <n v="146.13999999999999"/>
    <n v="3"/>
    <n v="602.81999999999994"/>
    <n v="438.41999999999996"/>
    <n v="164.39999999999998"/>
    <n v="0.2727182243455758"/>
    <x v="8"/>
    <n v="164.39999999999998"/>
  </r>
  <r>
    <d v="2022-06-08T00:00:00"/>
    <x v="9"/>
    <x v="3"/>
    <x v="0"/>
    <n v="1055.6600000000001"/>
    <n v="586.95000000000005"/>
    <n v="8"/>
    <n v="8445.2800000000007"/>
    <n v="4695.6000000000004"/>
    <n v="3749.6800000000003"/>
    <n v="0.44399712028494021"/>
    <x v="18"/>
    <n v="3749.6800000000003"/>
  </r>
  <r>
    <d v="2022-01-24T00:00:00"/>
    <x v="5"/>
    <x v="3"/>
    <x v="2"/>
    <n v="620.29"/>
    <n v="429.91"/>
    <n v="2"/>
    <n v="1240.58"/>
    <n v="859.82"/>
    <n v="380.75999999999988"/>
    <n v="0.30692095632687927"/>
    <x v="9"/>
    <n v="380.75999999999988"/>
  </r>
  <r>
    <d v="2022-09-02T00:00:00"/>
    <x v="7"/>
    <x v="0"/>
    <x v="2"/>
    <n v="1919.91"/>
    <n v="1500.24"/>
    <n v="5"/>
    <n v="9599.5500000000011"/>
    <n v="7501.2"/>
    <n v="2098.3500000000013"/>
    <n v="0.21858837132990619"/>
    <x v="12"/>
    <n v="2098.3500000000013"/>
  </r>
  <r>
    <d v="2022-10-13T00:00:00"/>
    <x v="3"/>
    <x v="2"/>
    <x v="3"/>
    <n v="125.19"/>
    <n v="84.07"/>
    <n v="2"/>
    <n v="250.38"/>
    <n v="168.14"/>
    <n v="82.240000000000009"/>
    <n v="0.328460739675693"/>
    <x v="25"/>
    <n v="82.240000000000009"/>
  </r>
  <r>
    <d v="2024-10-11T00:00:00"/>
    <x v="8"/>
    <x v="1"/>
    <x v="0"/>
    <n v="1272.28"/>
    <n v="765.35"/>
    <n v="2"/>
    <n v="2544.56"/>
    <n v="1530.7"/>
    <n v="1013.8599999999999"/>
    <n v="0.39844216681862482"/>
    <x v="17"/>
    <n v="1013.8599999999999"/>
  </r>
  <r>
    <d v="2024-03-03T00:00:00"/>
    <x v="3"/>
    <x v="2"/>
    <x v="0"/>
    <n v="1376.36"/>
    <n v="747.01"/>
    <n v="3"/>
    <n v="4129.08"/>
    <n v="2241.0299999999997"/>
    <n v="1888.0500000000002"/>
    <n v="0.4572568223429917"/>
    <x v="29"/>
    <n v="1888.0500000000002"/>
  </r>
  <r>
    <d v="2022-07-19T00:00:00"/>
    <x v="9"/>
    <x v="3"/>
    <x v="0"/>
    <n v="648.92999999999995"/>
    <n v="528.6"/>
    <n v="6"/>
    <n v="3893.58"/>
    <n v="3171.6000000000004"/>
    <n v="721.97999999999956"/>
    <n v="0.18542832046599778"/>
    <x v="8"/>
    <n v="721.97999999999956"/>
  </r>
  <r>
    <d v="2024-09-18T00:00:00"/>
    <x v="5"/>
    <x v="3"/>
    <x v="3"/>
    <n v="1581.08"/>
    <n v="1199.71"/>
    <n v="6"/>
    <n v="9486.48"/>
    <n v="7198.26"/>
    <n v="2288.2199999999993"/>
    <n v="0.24120854099729294"/>
    <x v="16"/>
    <n v="2288.2199999999993"/>
  </r>
  <r>
    <d v="2024-11-02T00:00:00"/>
    <x v="9"/>
    <x v="3"/>
    <x v="1"/>
    <n v="1910.82"/>
    <n v="983.86"/>
    <n v="7"/>
    <n v="13375.74"/>
    <n v="6887.02"/>
    <n v="6488.7199999999993"/>
    <n v="0.48511110413330399"/>
    <x v="2"/>
    <n v="6488.7199999999993"/>
  </r>
  <r>
    <d v="2023-10-14T00:00:00"/>
    <x v="3"/>
    <x v="2"/>
    <x v="2"/>
    <n v="999.75"/>
    <n v="639.63"/>
    <n v="10"/>
    <n v="9997.5"/>
    <n v="6396.3"/>
    <n v="3601.2"/>
    <n v="0.36021005251312826"/>
    <x v="5"/>
    <n v="3601.2"/>
  </r>
  <r>
    <d v="2024-12-21T00:00:00"/>
    <x v="1"/>
    <x v="1"/>
    <x v="3"/>
    <n v="811.67"/>
    <n v="670.38"/>
    <n v="7"/>
    <n v="5681.69"/>
    <n v="4692.66"/>
    <n v="989.02999999999975"/>
    <n v="0.17407320709155194"/>
    <x v="23"/>
    <n v="989.02999999999975"/>
  </r>
  <r>
    <d v="2024-04-10T00:00:00"/>
    <x v="4"/>
    <x v="2"/>
    <x v="1"/>
    <n v="1751.2"/>
    <n v="1004.01"/>
    <n v="3"/>
    <n v="5253.6"/>
    <n v="3012.0299999999997"/>
    <n v="2241.5700000000006"/>
    <n v="0.42667313841936966"/>
    <x v="22"/>
    <n v="2241.5700000000006"/>
  </r>
  <r>
    <d v="2022-06-08T00:00:00"/>
    <x v="6"/>
    <x v="3"/>
    <x v="0"/>
    <n v="1586.43"/>
    <n v="848.82"/>
    <n v="9"/>
    <n v="14277.87"/>
    <n v="7639.38"/>
    <n v="6638.4900000000007"/>
    <n v="0.4649496038274617"/>
    <x v="18"/>
    <n v="6638.4900000000007"/>
  </r>
  <r>
    <d v="2024-01-13T00:00:00"/>
    <x v="0"/>
    <x v="0"/>
    <x v="1"/>
    <n v="795.83"/>
    <n v="707.84"/>
    <n v="7"/>
    <n v="5570.81"/>
    <n v="4954.88"/>
    <n v="615.93000000000029"/>
    <n v="0.11056381387984876"/>
    <x v="26"/>
    <n v="615.93000000000029"/>
  </r>
  <r>
    <d v="2023-11-12T00:00:00"/>
    <x v="5"/>
    <x v="3"/>
    <x v="0"/>
    <n v="588.55999999999995"/>
    <n v="460.34"/>
    <n v="10"/>
    <n v="5885.5999999999995"/>
    <n v="4603.3999999999996"/>
    <n v="1282.1999999999998"/>
    <n v="0.21785374473290742"/>
    <x v="10"/>
    <n v="1282.1999999999998"/>
  </r>
  <r>
    <d v="2022-03-07T00:00:00"/>
    <x v="2"/>
    <x v="0"/>
    <x v="3"/>
    <n v="1033.74"/>
    <n v="545.76"/>
    <n v="2"/>
    <n v="2067.48"/>
    <n v="1091.52"/>
    <n v="975.96"/>
    <n v="0.47205293400661674"/>
    <x v="7"/>
    <n v="975.96"/>
  </r>
  <r>
    <d v="2024-05-03T00:00:00"/>
    <x v="1"/>
    <x v="1"/>
    <x v="0"/>
    <n v="1325.4"/>
    <n v="1103.7"/>
    <n v="1"/>
    <n v="1325.4"/>
    <n v="1103.7"/>
    <n v="221.70000000000005"/>
    <n v="0.16727025803531012"/>
    <x v="3"/>
    <n v="221.70000000000005"/>
  </r>
  <r>
    <d v="2023-06-07T00:00:00"/>
    <x v="1"/>
    <x v="1"/>
    <x v="2"/>
    <n v="731.06"/>
    <n v="611.14"/>
    <n v="2"/>
    <n v="1462.12"/>
    <n v="1222.28"/>
    <n v="239.83999999999992"/>
    <n v="0.16403578365660818"/>
    <x v="0"/>
    <n v="239.83999999999992"/>
  </r>
  <r>
    <d v="2024-12-03T00:00:00"/>
    <x v="0"/>
    <x v="0"/>
    <x v="1"/>
    <n v="534.1"/>
    <n v="478.24"/>
    <n v="3"/>
    <n v="1602.3000000000002"/>
    <n v="1434.72"/>
    <n v="167.58000000000015"/>
    <n v="0.10458715596330284"/>
    <x v="23"/>
    <n v="167.58000000000015"/>
  </r>
  <r>
    <d v="2023-04-13T00:00:00"/>
    <x v="7"/>
    <x v="0"/>
    <x v="0"/>
    <n v="220.67"/>
    <n v="156.79"/>
    <n v="2"/>
    <n v="441.34"/>
    <n v="313.58"/>
    <n v="127.75999999999999"/>
    <n v="0.28948203199347444"/>
    <x v="6"/>
    <n v="127.75999999999999"/>
  </r>
  <r>
    <d v="2022-09-02T00:00:00"/>
    <x v="8"/>
    <x v="1"/>
    <x v="0"/>
    <n v="747.26"/>
    <n v="404.16"/>
    <n v="10"/>
    <n v="7472.6"/>
    <n v="4041.6000000000004"/>
    <n v="3431"/>
    <n v="0.45914407301340898"/>
    <x v="12"/>
    <n v="3431"/>
  </r>
  <r>
    <d v="2024-07-13T00:00:00"/>
    <x v="1"/>
    <x v="1"/>
    <x v="0"/>
    <n v="1784.13"/>
    <n v="1242.8"/>
    <n v="3"/>
    <n v="5352.39"/>
    <n v="3728.3999999999996"/>
    <n v="1623.9900000000007"/>
    <n v="0.30341398889094418"/>
    <x v="28"/>
    <n v="1623.9900000000007"/>
  </r>
  <r>
    <d v="2022-01-02T00:00:00"/>
    <x v="7"/>
    <x v="0"/>
    <x v="1"/>
    <n v="1724.56"/>
    <n v="1230.97"/>
    <n v="6"/>
    <n v="10347.36"/>
    <n v="7385.82"/>
    <n v="2961.5400000000009"/>
    <n v="0.28621213526928613"/>
    <x v="9"/>
    <n v="2961.5400000000009"/>
  </r>
  <r>
    <d v="2022-05-20T00:00:00"/>
    <x v="8"/>
    <x v="1"/>
    <x v="3"/>
    <n v="1802.3"/>
    <n v="1195.3900000000001"/>
    <n v="5"/>
    <n v="9011.5"/>
    <n v="5976.9500000000007"/>
    <n v="3034.5499999999993"/>
    <n v="0.33674194085335396"/>
    <x v="35"/>
    <n v="3034.5499999999993"/>
  </r>
  <r>
    <d v="2024-12-11T00:00:00"/>
    <x v="0"/>
    <x v="0"/>
    <x v="3"/>
    <n v="1266.9100000000001"/>
    <n v="691.71"/>
    <n v="7"/>
    <n v="8868.3700000000008"/>
    <n v="4841.97"/>
    <n v="4026.4000000000005"/>
    <n v="0.45401804390209249"/>
    <x v="23"/>
    <n v="4026.4000000000005"/>
  </r>
  <r>
    <d v="2023-11-30T00:00:00"/>
    <x v="4"/>
    <x v="2"/>
    <x v="2"/>
    <n v="1814.87"/>
    <n v="1241.6400000000001"/>
    <n v="7"/>
    <n v="12704.09"/>
    <n v="8691.4800000000014"/>
    <n v="4012.6099999999988"/>
    <n v="0.31585182409759366"/>
    <x v="10"/>
    <n v="4012.6099999999988"/>
  </r>
  <r>
    <d v="2022-08-01T00:00:00"/>
    <x v="3"/>
    <x v="2"/>
    <x v="1"/>
    <n v="1555.93"/>
    <n v="1111.3900000000001"/>
    <n v="2"/>
    <n v="3111.86"/>
    <n v="2222.7800000000002"/>
    <n v="889.07999999999993"/>
    <n v="0.28570694054359769"/>
    <x v="15"/>
    <n v="889.07999999999993"/>
  </r>
  <r>
    <d v="2024-02-27T00:00:00"/>
    <x v="7"/>
    <x v="0"/>
    <x v="2"/>
    <n v="1202.3900000000001"/>
    <n v="978.34"/>
    <n v="5"/>
    <n v="6011.9500000000007"/>
    <n v="4891.7"/>
    <n v="1120.2500000000009"/>
    <n v="0.18633721171999115"/>
    <x v="34"/>
    <n v="1120.2500000000009"/>
  </r>
  <r>
    <d v="2024-03-17T00:00:00"/>
    <x v="4"/>
    <x v="2"/>
    <x v="0"/>
    <n v="445.74"/>
    <n v="341.37"/>
    <n v="7"/>
    <n v="3120.1800000000003"/>
    <n v="2389.59"/>
    <n v="730.59000000000015"/>
    <n v="0.23414995288733345"/>
    <x v="29"/>
    <n v="730.59000000000015"/>
  </r>
  <r>
    <d v="2022-07-03T00:00:00"/>
    <x v="10"/>
    <x v="2"/>
    <x v="2"/>
    <n v="1081.19"/>
    <n v="888.62"/>
    <n v="2"/>
    <n v="2162.38"/>
    <n v="1777.24"/>
    <n v="385.1400000000001"/>
    <n v="0.17810930548747217"/>
    <x v="8"/>
    <n v="385.1400000000001"/>
  </r>
  <r>
    <d v="2023-08-11T00:00:00"/>
    <x v="2"/>
    <x v="0"/>
    <x v="2"/>
    <n v="1534.14"/>
    <n v="1334.36"/>
    <n v="7"/>
    <n v="10738.980000000001"/>
    <n v="9340.5199999999986"/>
    <n v="1398.4600000000028"/>
    <n v="0.13022279583349652"/>
    <x v="14"/>
    <n v="1398.4600000000028"/>
  </r>
  <r>
    <d v="2023-02-13T00:00:00"/>
    <x v="7"/>
    <x v="0"/>
    <x v="0"/>
    <n v="1420.22"/>
    <n v="1013.24"/>
    <n v="8"/>
    <n v="11361.76"/>
    <n v="8105.92"/>
    <n v="3255.84"/>
    <n v="0.28656123699145203"/>
    <x v="27"/>
    <n v="3255.84"/>
  </r>
  <r>
    <d v="2023-02-05T00:00:00"/>
    <x v="1"/>
    <x v="1"/>
    <x v="3"/>
    <n v="567.22"/>
    <n v="375.58"/>
    <n v="6"/>
    <n v="3403.32"/>
    <n v="2253.48"/>
    <n v="1149.8400000000001"/>
    <n v="0.33785832657522658"/>
    <x v="27"/>
    <n v="1149.8400000000001"/>
  </r>
  <r>
    <d v="2023-05-24T00:00:00"/>
    <x v="7"/>
    <x v="0"/>
    <x v="2"/>
    <n v="430.89"/>
    <n v="257.77999999999997"/>
    <n v="8"/>
    <n v="3447.12"/>
    <n v="2062.2399999999998"/>
    <n v="1384.88"/>
    <n v="0.4017498665552694"/>
    <x v="31"/>
    <n v="1384.88"/>
  </r>
  <r>
    <d v="2023-09-06T00:00:00"/>
    <x v="3"/>
    <x v="2"/>
    <x v="2"/>
    <n v="97.69"/>
    <n v="50.29"/>
    <n v="2"/>
    <n v="195.38"/>
    <n v="100.58"/>
    <n v="94.8"/>
    <n v="0.48520831200737025"/>
    <x v="24"/>
    <n v="94.8"/>
  </r>
  <r>
    <d v="2023-05-17T00:00:00"/>
    <x v="0"/>
    <x v="0"/>
    <x v="1"/>
    <n v="611.16999999999996"/>
    <n v="450.25"/>
    <n v="2"/>
    <n v="1222.3399999999999"/>
    <n v="900.5"/>
    <n v="321.83999999999992"/>
    <n v="0.26329826398547046"/>
    <x v="31"/>
    <n v="321.83999999999992"/>
  </r>
  <r>
    <d v="2022-12-03T00:00:00"/>
    <x v="8"/>
    <x v="1"/>
    <x v="2"/>
    <n v="155.08000000000001"/>
    <n v="97.09"/>
    <n v="3"/>
    <n v="465.24"/>
    <n v="291.27"/>
    <n v="173.97000000000003"/>
    <n v="0.37393603301521799"/>
    <x v="33"/>
    <n v="173.97000000000003"/>
  </r>
  <r>
    <d v="2022-01-17T00:00:00"/>
    <x v="7"/>
    <x v="0"/>
    <x v="2"/>
    <n v="1876.34"/>
    <n v="1205.51"/>
    <n v="8"/>
    <n v="15010.72"/>
    <n v="9644.08"/>
    <n v="5366.6399999999994"/>
    <n v="0.35752049202170177"/>
    <x v="9"/>
    <n v="5366.6399999999994"/>
  </r>
  <r>
    <d v="2024-06-27T00:00:00"/>
    <x v="4"/>
    <x v="2"/>
    <x v="2"/>
    <n v="64.150000000000006"/>
    <n v="47.63"/>
    <n v="7"/>
    <n v="449.05000000000007"/>
    <n v="333.41"/>
    <n v="115.64000000000004"/>
    <n v="0.2575214341387374"/>
    <x v="4"/>
    <n v="115.64000000000004"/>
  </r>
  <r>
    <d v="2024-10-11T00:00:00"/>
    <x v="1"/>
    <x v="1"/>
    <x v="0"/>
    <n v="1666.69"/>
    <n v="1084.42"/>
    <n v="6"/>
    <n v="10000.14"/>
    <n v="6506.52"/>
    <n v="3493.619999999999"/>
    <n v="0.3493571090004739"/>
    <x v="17"/>
    <n v="3493.619999999999"/>
  </r>
  <r>
    <d v="2023-01-29T00:00:00"/>
    <x v="8"/>
    <x v="1"/>
    <x v="0"/>
    <n v="1884.65"/>
    <n v="1562.73"/>
    <n v="4"/>
    <n v="7538.6"/>
    <n v="6250.92"/>
    <n v="1287.6800000000003"/>
    <n v="0.17081155652243124"/>
    <x v="13"/>
    <n v="1287.6800000000003"/>
  </r>
  <r>
    <d v="2024-11-25T00:00:00"/>
    <x v="3"/>
    <x v="2"/>
    <x v="1"/>
    <n v="602.08000000000004"/>
    <n v="339.51"/>
    <n v="5"/>
    <n v="3010.4"/>
    <n v="1697.55"/>
    <n v="1312.8500000000001"/>
    <n v="0.43610483656656923"/>
    <x v="2"/>
    <n v="1312.8500000000001"/>
  </r>
  <r>
    <d v="2022-08-06T00:00:00"/>
    <x v="10"/>
    <x v="2"/>
    <x v="3"/>
    <n v="230.48"/>
    <n v="171.61"/>
    <n v="8"/>
    <n v="1843.84"/>
    <n v="1372.88"/>
    <n v="470.95999999999981"/>
    <n v="0.25542346407497385"/>
    <x v="15"/>
    <n v="470.95999999999981"/>
  </r>
  <r>
    <d v="2024-09-16T00:00:00"/>
    <x v="5"/>
    <x v="3"/>
    <x v="3"/>
    <n v="562.14"/>
    <n v="338.33"/>
    <n v="3"/>
    <n v="1686.42"/>
    <n v="1014.99"/>
    <n v="671.43000000000006"/>
    <n v="0.39813925356672719"/>
    <x v="16"/>
    <n v="671.43000000000006"/>
  </r>
  <r>
    <d v="2022-12-01T00:00:00"/>
    <x v="5"/>
    <x v="3"/>
    <x v="2"/>
    <n v="21.08"/>
    <n v="15.58"/>
    <n v="6"/>
    <n v="126.47999999999999"/>
    <n v="93.48"/>
    <n v="32.999999999999986"/>
    <n v="0.26091081593927884"/>
    <x v="33"/>
    <n v="32.999999999999986"/>
  </r>
  <r>
    <d v="2024-03-11T00:00:00"/>
    <x v="0"/>
    <x v="0"/>
    <x v="3"/>
    <n v="1412.23"/>
    <n v="1194.3499999999999"/>
    <n v="8"/>
    <n v="11297.84"/>
    <n v="9554.7999999999993"/>
    <n v="1743.0400000000009"/>
    <n v="0.15428081828030851"/>
    <x v="29"/>
    <n v="1743.0400000000009"/>
  </r>
  <r>
    <d v="2024-08-28T00:00:00"/>
    <x v="6"/>
    <x v="3"/>
    <x v="2"/>
    <n v="1789.14"/>
    <n v="1024.52"/>
    <n v="2"/>
    <n v="3578.28"/>
    <n v="2049.04"/>
    <n v="1529.2400000000002"/>
    <n v="0.42736733849782582"/>
    <x v="21"/>
    <n v="1529.2400000000002"/>
  </r>
  <r>
    <d v="2023-12-30T00:00:00"/>
    <x v="4"/>
    <x v="2"/>
    <x v="2"/>
    <n v="100.11"/>
    <n v="80.11"/>
    <n v="4"/>
    <n v="400.44"/>
    <n v="320.44"/>
    <n v="80"/>
    <n v="0.19978024173409251"/>
    <x v="30"/>
    <n v="80"/>
  </r>
  <r>
    <d v="2023-10-11T00:00:00"/>
    <x v="8"/>
    <x v="1"/>
    <x v="0"/>
    <n v="1581.96"/>
    <n v="1257.95"/>
    <n v="8"/>
    <n v="12655.68"/>
    <n v="10063.6"/>
    <n v="2592.08"/>
    <n v="0.20481554527295254"/>
    <x v="5"/>
    <n v="2592.08"/>
  </r>
  <r>
    <d v="2024-02-09T00:00:00"/>
    <x v="10"/>
    <x v="2"/>
    <x v="0"/>
    <n v="356.79"/>
    <n v="294.25"/>
    <n v="8"/>
    <n v="2854.32"/>
    <n v="2354"/>
    <n v="500.32000000000016"/>
    <n v="0.17528518175957852"/>
    <x v="34"/>
    <n v="500.32000000000016"/>
  </r>
  <r>
    <d v="2024-02-08T00:00:00"/>
    <x v="8"/>
    <x v="1"/>
    <x v="2"/>
    <n v="969.2"/>
    <n v="823.03"/>
    <n v="7"/>
    <n v="6784.4000000000005"/>
    <n v="5761.21"/>
    <n v="1023.1900000000005"/>
    <n v="0.15081510524143629"/>
    <x v="34"/>
    <n v="1023.1900000000005"/>
  </r>
  <r>
    <d v="2023-12-08T00:00:00"/>
    <x v="1"/>
    <x v="1"/>
    <x v="2"/>
    <n v="146.97999999999999"/>
    <n v="83.29"/>
    <n v="10"/>
    <n v="1469.8"/>
    <n v="832.90000000000009"/>
    <n v="636.89999999999986"/>
    <n v="0.43332426180432704"/>
    <x v="30"/>
    <n v="636.89999999999986"/>
  </r>
  <r>
    <d v="2023-05-24T00:00:00"/>
    <x v="4"/>
    <x v="2"/>
    <x v="1"/>
    <n v="1311.81"/>
    <n v="1125.1199999999999"/>
    <n v="3"/>
    <n v="3935.43"/>
    <n v="3375.3599999999997"/>
    <n v="560.07000000000016"/>
    <n v="0.1423148169323302"/>
    <x v="31"/>
    <n v="560.07000000000016"/>
  </r>
  <r>
    <d v="2023-05-05T00:00:00"/>
    <x v="4"/>
    <x v="2"/>
    <x v="0"/>
    <n v="56.05"/>
    <n v="46.58"/>
    <n v="3"/>
    <n v="168.14999999999998"/>
    <n v="139.74"/>
    <n v="28.409999999999968"/>
    <n v="0.16895628902765372"/>
    <x v="31"/>
    <n v="28.409999999999968"/>
  </r>
  <r>
    <d v="2022-06-20T00:00:00"/>
    <x v="1"/>
    <x v="1"/>
    <x v="1"/>
    <n v="1365.33"/>
    <n v="1127.52"/>
    <n v="1"/>
    <n v="1365.33"/>
    <n v="1127.52"/>
    <n v="237.80999999999995"/>
    <n v="0.17417767133220538"/>
    <x v="18"/>
    <n v="237.80999999999995"/>
  </r>
  <r>
    <d v="2024-12-16T00:00:00"/>
    <x v="6"/>
    <x v="3"/>
    <x v="0"/>
    <n v="1263.7"/>
    <n v="761.47"/>
    <n v="6"/>
    <n v="7582.2000000000007"/>
    <n v="4568.82"/>
    <n v="3013.380000000001"/>
    <n v="0.397428187069716"/>
    <x v="23"/>
    <n v="3013.380000000001"/>
  </r>
  <r>
    <d v="2023-11-22T00:00:00"/>
    <x v="7"/>
    <x v="0"/>
    <x v="0"/>
    <n v="1884.14"/>
    <n v="1556.86"/>
    <n v="2"/>
    <n v="3768.28"/>
    <n v="3113.72"/>
    <n v="654.5600000000004"/>
    <n v="0.17370259110257208"/>
    <x v="10"/>
    <n v="654.5600000000004"/>
  </r>
  <r>
    <d v="2023-03-21T00:00:00"/>
    <x v="1"/>
    <x v="1"/>
    <x v="0"/>
    <n v="622.52"/>
    <n v="397.39"/>
    <n v="2"/>
    <n v="1245.04"/>
    <n v="794.78"/>
    <n v="450.26"/>
    <n v="0.3616429994217053"/>
    <x v="19"/>
    <n v="450.26"/>
  </r>
  <r>
    <d v="2024-05-22T00:00:00"/>
    <x v="2"/>
    <x v="0"/>
    <x v="1"/>
    <n v="1583.13"/>
    <n v="1009.16"/>
    <n v="7"/>
    <n v="11081.91"/>
    <n v="7064.12"/>
    <n v="4017.79"/>
    <n v="0.36255392797811931"/>
    <x v="3"/>
    <n v="4017.79"/>
  </r>
  <r>
    <d v="2023-02-20T00:00:00"/>
    <x v="8"/>
    <x v="1"/>
    <x v="1"/>
    <n v="1328.52"/>
    <n v="760.62"/>
    <n v="5"/>
    <n v="6642.6"/>
    <n v="3803.1"/>
    <n v="2839.5000000000005"/>
    <n v="0.42746816005780874"/>
    <x v="27"/>
    <n v="2839.5000000000005"/>
  </r>
  <r>
    <d v="2024-05-03T00:00:00"/>
    <x v="6"/>
    <x v="3"/>
    <x v="3"/>
    <n v="364.54"/>
    <n v="250.33"/>
    <n v="1"/>
    <n v="364.54"/>
    <n v="250.33"/>
    <n v="114.21000000000001"/>
    <n v="0.31329895210402153"/>
    <x v="3"/>
    <n v="114.21000000000001"/>
  </r>
  <r>
    <d v="2023-01-30T00:00:00"/>
    <x v="10"/>
    <x v="2"/>
    <x v="0"/>
    <n v="1635.87"/>
    <n v="978.34"/>
    <n v="7"/>
    <n v="11451.09"/>
    <n v="6848.38"/>
    <n v="4602.71"/>
    <n v="0.40194514234016149"/>
    <x v="13"/>
    <n v="4602.71"/>
  </r>
  <r>
    <d v="2023-12-15T00:00:00"/>
    <x v="4"/>
    <x v="2"/>
    <x v="1"/>
    <n v="923.88"/>
    <n v="583.82000000000005"/>
    <n v="10"/>
    <n v="9238.7999999999993"/>
    <n v="5838.2000000000007"/>
    <n v="3400.5999999999985"/>
    <n v="0.36807810538165114"/>
    <x v="30"/>
    <n v="3400.5999999999985"/>
  </r>
  <r>
    <d v="2023-10-18T00:00:00"/>
    <x v="8"/>
    <x v="1"/>
    <x v="3"/>
    <n v="1407.97"/>
    <n v="787.37"/>
    <n v="2"/>
    <n v="2815.94"/>
    <n v="1574.74"/>
    <n v="1241.2"/>
    <n v="0.44077643699794739"/>
    <x v="5"/>
    <n v="1241.2"/>
  </r>
  <r>
    <d v="2024-06-02T00:00:00"/>
    <x v="6"/>
    <x v="3"/>
    <x v="3"/>
    <n v="1996.06"/>
    <n v="1588.37"/>
    <n v="6"/>
    <n v="11976.36"/>
    <n v="9530.2199999999993"/>
    <n v="2446.1400000000012"/>
    <n v="0.2042473673136079"/>
    <x v="4"/>
    <n v="2446.1400000000012"/>
  </r>
  <r>
    <d v="2024-09-26T00:00:00"/>
    <x v="10"/>
    <x v="2"/>
    <x v="1"/>
    <n v="1005.39"/>
    <n v="608.57000000000005"/>
    <n v="6"/>
    <n v="6032.34"/>
    <n v="3651.42"/>
    <n v="2380.92"/>
    <n v="0.39469260684908342"/>
    <x v="16"/>
    <n v="2380.92"/>
  </r>
  <r>
    <d v="2024-11-04T00:00:00"/>
    <x v="10"/>
    <x v="2"/>
    <x v="1"/>
    <n v="36.619999999999997"/>
    <n v="32.22"/>
    <n v="2"/>
    <n v="73.239999999999995"/>
    <n v="64.44"/>
    <n v="8.7999999999999972"/>
    <n v="0.12015292190060073"/>
    <x v="2"/>
    <n v="8.7999999999999972"/>
  </r>
  <r>
    <d v="2024-01-13T00:00:00"/>
    <x v="1"/>
    <x v="1"/>
    <x v="3"/>
    <n v="733.99"/>
    <n v="575.16999999999996"/>
    <n v="1"/>
    <n v="733.99"/>
    <n v="575.16999999999996"/>
    <n v="158.82000000000005"/>
    <n v="0.21637896974073223"/>
    <x v="26"/>
    <n v="158.82000000000005"/>
  </r>
  <r>
    <d v="2022-04-11T00:00:00"/>
    <x v="7"/>
    <x v="0"/>
    <x v="1"/>
    <n v="1438.98"/>
    <n v="771.82"/>
    <n v="6"/>
    <n v="8633.880000000001"/>
    <n v="4630.92"/>
    <n v="4002.9600000000009"/>
    <n v="0.4636339629459757"/>
    <x v="32"/>
    <n v="4002.9600000000009"/>
  </r>
  <r>
    <d v="2022-11-11T00:00:00"/>
    <x v="7"/>
    <x v="0"/>
    <x v="3"/>
    <n v="279.12"/>
    <n v="142.25"/>
    <n v="9"/>
    <n v="2512.08"/>
    <n v="1280.25"/>
    <n v="1231.83"/>
    <n v="0.49036256807108053"/>
    <x v="1"/>
    <n v="1231.83"/>
  </r>
  <r>
    <d v="2022-10-23T00:00:00"/>
    <x v="5"/>
    <x v="3"/>
    <x v="2"/>
    <n v="260.48"/>
    <n v="167.55"/>
    <n v="8"/>
    <n v="2083.84"/>
    <n v="1340.4"/>
    <n v="743.44"/>
    <n v="0.35676443488943488"/>
    <x v="25"/>
    <n v="743.44"/>
  </r>
  <r>
    <d v="2023-12-14T00:00:00"/>
    <x v="4"/>
    <x v="2"/>
    <x v="2"/>
    <n v="972.02"/>
    <n v="672.93"/>
    <n v="9"/>
    <n v="8748.18"/>
    <n v="6056.37"/>
    <n v="2691.8100000000004"/>
    <n v="0.30769943005287959"/>
    <x v="30"/>
    <n v="2691.8100000000004"/>
  </r>
  <r>
    <d v="2022-10-04T00:00:00"/>
    <x v="7"/>
    <x v="0"/>
    <x v="0"/>
    <n v="1325.8"/>
    <n v="1027.05"/>
    <n v="1"/>
    <n v="1325.8"/>
    <n v="1027.05"/>
    <n v="298.75"/>
    <n v="0.22533564640217227"/>
    <x v="25"/>
    <n v="298.75"/>
  </r>
  <r>
    <d v="2023-06-01T00:00:00"/>
    <x v="4"/>
    <x v="2"/>
    <x v="0"/>
    <n v="670.34"/>
    <n v="526.79"/>
    <n v="7"/>
    <n v="4692.38"/>
    <n v="3687.5299999999997"/>
    <n v="1004.8500000000004"/>
    <n v="0.21414506071545791"/>
    <x v="0"/>
    <n v="1004.8500000000004"/>
  </r>
  <r>
    <d v="2023-12-28T00:00:00"/>
    <x v="7"/>
    <x v="0"/>
    <x v="0"/>
    <n v="871.65"/>
    <n v="672.46"/>
    <n v="10"/>
    <n v="8716.5"/>
    <n v="6724.6"/>
    <n v="1991.8999999999996"/>
    <n v="0.22852062180921237"/>
    <x v="30"/>
    <n v="1991.8999999999996"/>
  </r>
  <r>
    <d v="2023-06-08T00:00:00"/>
    <x v="3"/>
    <x v="2"/>
    <x v="2"/>
    <n v="1846.57"/>
    <n v="1056.54"/>
    <n v="4"/>
    <n v="7386.28"/>
    <n v="4226.16"/>
    <n v="3160.12"/>
    <n v="0.42783647519454987"/>
    <x v="0"/>
    <n v="3160.12"/>
  </r>
  <r>
    <d v="2022-10-08T00:00:00"/>
    <x v="5"/>
    <x v="3"/>
    <x v="2"/>
    <n v="1852.67"/>
    <n v="1093.5999999999999"/>
    <n v="1"/>
    <n v="1852.67"/>
    <n v="1093.5999999999999"/>
    <n v="759.07000000000016"/>
    <n v="0.40971678712344894"/>
    <x v="25"/>
    <n v="759.07000000000016"/>
  </r>
  <r>
    <d v="2022-06-26T00:00:00"/>
    <x v="2"/>
    <x v="0"/>
    <x v="1"/>
    <n v="87.06"/>
    <n v="49.29"/>
    <n v="6"/>
    <n v="522.36"/>
    <n v="295.74"/>
    <n v="226.62"/>
    <n v="0.43383873190902827"/>
    <x v="18"/>
    <n v="226.62"/>
  </r>
  <r>
    <d v="2023-11-04T00:00:00"/>
    <x v="9"/>
    <x v="3"/>
    <x v="2"/>
    <n v="1487.59"/>
    <n v="795.91"/>
    <n v="7"/>
    <n v="10413.129999999999"/>
    <n v="5571.37"/>
    <n v="4841.7599999999993"/>
    <n v="0.46496682553660618"/>
    <x v="10"/>
    <n v="4841.7599999999993"/>
  </r>
  <r>
    <d v="2022-05-16T00:00:00"/>
    <x v="8"/>
    <x v="1"/>
    <x v="1"/>
    <n v="610.92999999999995"/>
    <n v="367.33"/>
    <n v="8"/>
    <n v="4887.4399999999996"/>
    <n v="2938.64"/>
    <n v="1948.7999999999997"/>
    <n v="0.39873635277364017"/>
    <x v="35"/>
    <n v="1948.7999999999997"/>
  </r>
  <r>
    <d v="2024-11-08T00:00:00"/>
    <x v="9"/>
    <x v="3"/>
    <x v="2"/>
    <n v="1568.61"/>
    <n v="1186.31"/>
    <n v="7"/>
    <n v="10980.269999999999"/>
    <n v="8304.17"/>
    <n v="2676.0999999999985"/>
    <n v="0.24371896137344518"/>
    <x v="2"/>
    <n v="2676.0999999999985"/>
  </r>
  <r>
    <d v="2022-07-30T00:00:00"/>
    <x v="3"/>
    <x v="2"/>
    <x v="3"/>
    <n v="570.44000000000005"/>
    <n v="312.64"/>
    <n v="9"/>
    <n v="5133.9600000000009"/>
    <n v="2813.7599999999998"/>
    <n v="2320.2000000000012"/>
    <n v="0.45193184208681031"/>
    <x v="8"/>
    <n v="2320.2000000000012"/>
  </r>
  <r>
    <d v="2024-01-23T00:00:00"/>
    <x v="9"/>
    <x v="3"/>
    <x v="2"/>
    <n v="1393.04"/>
    <n v="856.05"/>
    <n v="4"/>
    <n v="5572.16"/>
    <n v="3424.2"/>
    <n v="2147.96"/>
    <n v="0.38548067535749153"/>
    <x v="26"/>
    <n v="2147.96"/>
  </r>
  <r>
    <d v="2023-04-17T00:00:00"/>
    <x v="5"/>
    <x v="3"/>
    <x v="1"/>
    <n v="1999.31"/>
    <n v="1726.35"/>
    <n v="5"/>
    <n v="9996.5499999999993"/>
    <n v="8631.75"/>
    <n v="1364.7999999999993"/>
    <n v="0.13652710185013822"/>
    <x v="6"/>
    <n v="1364.7999999999993"/>
  </r>
  <r>
    <d v="2024-08-03T00:00:00"/>
    <x v="9"/>
    <x v="3"/>
    <x v="3"/>
    <n v="1815.24"/>
    <n v="908.95"/>
    <n v="4"/>
    <n v="7260.96"/>
    <n v="3635.8"/>
    <n v="3625.16"/>
    <n v="0.49926731451488504"/>
    <x v="21"/>
    <n v="3625.16"/>
  </r>
  <r>
    <d v="2022-05-12T00:00:00"/>
    <x v="1"/>
    <x v="1"/>
    <x v="1"/>
    <n v="209.95"/>
    <n v="165.01"/>
    <n v="6"/>
    <n v="1259.6999999999998"/>
    <n v="990.06"/>
    <n v="269.63999999999987"/>
    <n v="0.21405096451536074"/>
    <x v="35"/>
    <n v="269.63999999999987"/>
  </r>
  <r>
    <d v="2023-05-06T00:00:00"/>
    <x v="10"/>
    <x v="2"/>
    <x v="0"/>
    <n v="597.20000000000005"/>
    <n v="437.79"/>
    <n v="1"/>
    <n v="597.20000000000005"/>
    <n v="437.79"/>
    <n v="159.41000000000003"/>
    <n v="0.26692900200937714"/>
    <x v="31"/>
    <n v="159.41000000000003"/>
  </r>
  <r>
    <d v="2022-03-16T00:00:00"/>
    <x v="5"/>
    <x v="3"/>
    <x v="1"/>
    <n v="782.14"/>
    <n v="489.77"/>
    <n v="2"/>
    <n v="1564.28"/>
    <n v="979.54"/>
    <n v="584.74"/>
    <n v="0.37380775820185647"/>
    <x v="7"/>
    <n v="584.74"/>
  </r>
  <r>
    <d v="2024-04-23T00:00:00"/>
    <x v="1"/>
    <x v="1"/>
    <x v="0"/>
    <n v="1183.45"/>
    <n v="858.15"/>
    <n v="2"/>
    <n v="2366.9"/>
    <n v="1716.3"/>
    <n v="650.60000000000014"/>
    <n v="0.27487430816680053"/>
    <x v="22"/>
    <n v="650.60000000000014"/>
  </r>
  <r>
    <d v="2023-11-23T00:00:00"/>
    <x v="10"/>
    <x v="2"/>
    <x v="3"/>
    <n v="223.95"/>
    <n v="129.56"/>
    <n v="1"/>
    <n v="223.95"/>
    <n v="129.56"/>
    <n v="94.389999999999986"/>
    <n v="0.42147800848403655"/>
    <x v="10"/>
    <n v="94.389999999999986"/>
  </r>
  <r>
    <d v="2023-05-27T00:00:00"/>
    <x v="5"/>
    <x v="3"/>
    <x v="3"/>
    <n v="1961.31"/>
    <n v="1425.04"/>
    <n v="4"/>
    <n v="7845.24"/>
    <n v="5700.16"/>
    <n v="2145.08"/>
    <n v="0.27342439491972204"/>
    <x v="31"/>
    <n v="2145.08"/>
  </r>
  <r>
    <d v="2024-01-12T00:00:00"/>
    <x v="5"/>
    <x v="3"/>
    <x v="1"/>
    <n v="352.81"/>
    <n v="243.31"/>
    <n v="10"/>
    <n v="3528.1"/>
    <n v="2433.1"/>
    <n v="1095"/>
    <n v="0.31036535245599617"/>
    <x v="26"/>
    <n v="1095"/>
  </r>
  <r>
    <d v="2023-11-01T00:00:00"/>
    <x v="3"/>
    <x v="2"/>
    <x v="1"/>
    <n v="1580.01"/>
    <n v="1179.3499999999999"/>
    <n v="2"/>
    <n v="3160.02"/>
    <n v="2358.6999999999998"/>
    <n v="801.32000000000016"/>
    <n v="0.25358067354004094"/>
    <x v="10"/>
    <n v="801.32000000000016"/>
  </r>
  <r>
    <d v="2024-12-11T00:00:00"/>
    <x v="1"/>
    <x v="1"/>
    <x v="0"/>
    <n v="1909.89"/>
    <n v="1398.86"/>
    <n v="4"/>
    <n v="7639.56"/>
    <n v="5595.44"/>
    <n v="2044.1200000000008"/>
    <n v="0.26757038363465968"/>
    <x v="23"/>
    <n v="2044.1200000000008"/>
  </r>
  <r>
    <d v="2022-09-13T00:00:00"/>
    <x v="9"/>
    <x v="3"/>
    <x v="2"/>
    <n v="382.38"/>
    <n v="200.63"/>
    <n v="10"/>
    <n v="3823.8"/>
    <n v="2006.3"/>
    <n v="1817.5000000000002"/>
    <n v="0.47531251634499716"/>
    <x v="12"/>
    <n v="1817.5000000000002"/>
  </r>
  <r>
    <d v="2022-05-17T00:00:00"/>
    <x v="6"/>
    <x v="3"/>
    <x v="0"/>
    <n v="300.76"/>
    <n v="241.33"/>
    <n v="6"/>
    <n v="1804.56"/>
    <n v="1447.98"/>
    <n v="356.57999999999993"/>
    <n v="0.19759941481579993"/>
    <x v="35"/>
    <n v="356.57999999999993"/>
  </r>
  <r>
    <d v="2023-07-20T00:00:00"/>
    <x v="10"/>
    <x v="2"/>
    <x v="3"/>
    <n v="624.39"/>
    <n v="387.52"/>
    <n v="9"/>
    <n v="5619.51"/>
    <n v="3487.68"/>
    <n v="2131.8300000000004"/>
    <n v="0.37936225756338193"/>
    <x v="11"/>
    <n v="2131.8300000000004"/>
  </r>
  <r>
    <d v="2024-10-30T00:00:00"/>
    <x v="9"/>
    <x v="3"/>
    <x v="0"/>
    <n v="155.63"/>
    <n v="134.94"/>
    <n v="8"/>
    <n v="1245.04"/>
    <n v="1079.52"/>
    <n v="165.51999999999998"/>
    <n v="0.13294351988691125"/>
    <x v="17"/>
    <n v="165.51999999999998"/>
  </r>
  <r>
    <d v="2022-02-20T00:00:00"/>
    <x v="2"/>
    <x v="0"/>
    <x v="3"/>
    <n v="506.62"/>
    <n v="422.97"/>
    <n v="2"/>
    <n v="1013.24"/>
    <n v="845.94"/>
    <n v="167.29999999999995"/>
    <n v="0.16511389206900631"/>
    <x v="20"/>
    <n v="167.29999999999995"/>
  </r>
  <r>
    <d v="2024-04-03T00:00:00"/>
    <x v="8"/>
    <x v="1"/>
    <x v="2"/>
    <n v="403.35"/>
    <n v="306.74"/>
    <n v="1"/>
    <n v="403.35"/>
    <n v="306.74"/>
    <n v="96.610000000000014"/>
    <n v="0.2395190281393331"/>
    <x v="22"/>
    <n v="96.610000000000014"/>
  </r>
  <r>
    <d v="2024-05-08T00:00:00"/>
    <x v="4"/>
    <x v="2"/>
    <x v="3"/>
    <n v="1033.49"/>
    <n v="621.91"/>
    <n v="9"/>
    <n v="9301.41"/>
    <n v="5597.19"/>
    <n v="3704.2200000000003"/>
    <n v="0.39824284705222113"/>
    <x v="3"/>
    <n v="3704.2200000000003"/>
  </r>
  <r>
    <d v="2024-03-19T00:00:00"/>
    <x v="1"/>
    <x v="1"/>
    <x v="3"/>
    <n v="768.62"/>
    <n v="633.67999999999995"/>
    <n v="4"/>
    <n v="3074.48"/>
    <n v="2534.7199999999998"/>
    <n v="539.76000000000022"/>
    <n v="0.17556139574822416"/>
    <x v="29"/>
    <n v="539.76000000000022"/>
  </r>
  <r>
    <d v="2023-05-17T00:00:00"/>
    <x v="4"/>
    <x v="2"/>
    <x v="0"/>
    <n v="1673.59"/>
    <n v="1396.39"/>
    <n v="7"/>
    <n v="11715.13"/>
    <n v="9774.7300000000014"/>
    <n v="1940.3999999999978"/>
    <n v="0.16563196481814524"/>
    <x v="31"/>
    <n v="1940.3999999999978"/>
  </r>
  <r>
    <d v="2023-09-26T00:00:00"/>
    <x v="7"/>
    <x v="0"/>
    <x v="3"/>
    <n v="1740.4"/>
    <n v="1184.8599999999999"/>
    <n v="8"/>
    <n v="13923.2"/>
    <n v="9478.8799999999992"/>
    <n v="4444.3200000000015"/>
    <n v="0.31920248218800285"/>
    <x v="24"/>
    <n v="4444.3200000000015"/>
  </r>
  <r>
    <d v="2022-02-05T00:00:00"/>
    <x v="9"/>
    <x v="3"/>
    <x v="1"/>
    <n v="882.57"/>
    <n v="698.7"/>
    <n v="3"/>
    <n v="2647.71"/>
    <n v="2096.1000000000004"/>
    <n v="551.60999999999967"/>
    <n v="0.20833474965158558"/>
    <x v="20"/>
    <n v="551.60999999999967"/>
  </r>
  <r>
    <d v="2022-08-04T00:00:00"/>
    <x v="7"/>
    <x v="0"/>
    <x v="3"/>
    <n v="802.16"/>
    <n v="490.1"/>
    <n v="5"/>
    <n v="4010.7999999999997"/>
    <n v="2450.5"/>
    <n v="1560.2999999999997"/>
    <n v="0.38902463348957811"/>
    <x v="15"/>
    <n v="1560.2999999999997"/>
  </r>
  <r>
    <d v="2022-05-18T00:00:00"/>
    <x v="1"/>
    <x v="1"/>
    <x v="1"/>
    <n v="1744.14"/>
    <n v="1492.96"/>
    <n v="6"/>
    <n v="10464.84"/>
    <n v="8957.76"/>
    <n v="1507.08"/>
    <n v="0.14401366862751844"/>
    <x v="35"/>
    <n v="1507.08"/>
  </r>
  <r>
    <d v="2024-08-19T00:00:00"/>
    <x v="6"/>
    <x v="3"/>
    <x v="3"/>
    <n v="992.75"/>
    <n v="687.88"/>
    <n v="8"/>
    <n v="7942"/>
    <n v="5503.04"/>
    <n v="2438.96"/>
    <n v="0.3070964492571141"/>
    <x v="21"/>
    <n v="2438.96"/>
  </r>
  <r>
    <d v="2024-12-11T00:00:00"/>
    <x v="4"/>
    <x v="2"/>
    <x v="2"/>
    <n v="1136.8"/>
    <n v="790.86"/>
    <n v="4"/>
    <n v="4547.2"/>
    <n v="3163.44"/>
    <n v="1383.7599999999998"/>
    <n v="0.30431034482758618"/>
    <x v="23"/>
    <n v="1383.7599999999998"/>
  </r>
  <r>
    <d v="2023-12-08T00:00:00"/>
    <x v="5"/>
    <x v="3"/>
    <x v="1"/>
    <n v="303.69"/>
    <n v="241.09"/>
    <n v="8"/>
    <n v="2429.52"/>
    <n v="1928.72"/>
    <n v="500.79999999999995"/>
    <n v="0.20613125226382165"/>
    <x v="30"/>
    <n v="500.79999999999995"/>
  </r>
  <r>
    <d v="2023-09-01T00:00:00"/>
    <x v="4"/>
    <x v="2"/>
    <x v="3"/>
    <n v="881.58"/>
    <n v="560.09"/>
    <n v="10"/>
    <n v="8815.8000000000011"/>
    <n v="5600.9000000000005"/>
    <n v="3214.9000000000005"/>
    <n v="0.36467478844801382"/>
    <x v="24"/>
    <n v="3214.9000000000005"/>
  </r>
  <r>
    <d v="2024-01-03T00:00:00"/>
    <x v="8"/>
    <x v="1"/>
    <x v="3"/>
    <n v="586.94000000000005"/>
    <n v="436.33"/>
    <n v="1"/>
    <n v="586.94000000000005"/>
    <n v="436.33"/>
    <n v="150.61000000000007"/>
    <n v="0.25660203768698686"/>
    <x v="26"/>
    <n v="150.61000000000007"/>
  </r>
  <r>
    <d v="2023-09-22T00:00:00"/>
    <x v="4"/>
    <x v="2"/>
    <x v="3"/>
    <n v="52.76"/>
    <n v="31.58"/>
    <n v="6"/>
    <n v="316.56"/>
    <n v="189.48"/>
    <n v="127.08000000000001"/>
    <n v="0.40144048521607284"/>
    <x v="24"/>
    <n v="127.08000000000001"/>
  </r>
  <r>
    <d v="2023-05-07T00:00:00"/>
    <x v="4"/>
    <x v="2"/>
    <x v="2"/>
    <n v="1539.44"/>
    <n v="1208.1199999999999"/>
    <n v="4"/>
    <n v="6157.76"/>
    <n v="4832.4799999999996"/>
    <n v="1325.2800000000007"/>
    <n v="0.215221119368082"/>
    <x v="31"/>
    <n v="1325.2800000000007"/>
  </r>
  <r>
    <d v="2024-12-10T00:00:00"/>
    <x v="6"/>
    <x v="3"/>
    <x v="1"/>
    <n v="1066.5899999999999"/>
    <n v="549.62"/>
    <n v="3"/>
    <n v="3199.7699999999995"/>
    <n v="1648.8600000000001"/>
    <n v="1550.9099999999994"/>
    <n v="0.48469421239651589"/>
    <x v="23"/>
    <n v="1550.9099999999994"/>
  </r>
  <r>
    <d v="2022-07-29T00:00:00"/>
    <x v="7"/>
    <x v="0"/>
    <x v="0"/>
    <n v="1712.39"/>
    <n v="989.18"/>
    <n v="2"/>
    <n v="3424.78"/>
    <n v="1978.36"/>
    <n v="1446.4200000000003"/>
    <n v="0.42233953713815198"/>
    <x v="8"/>
    <n v="1446.4200000000003"/>
  </r>
  <r>
    <d v="2023-07-05T00:00:00"/>
    <x v="7"/>
    <x v="0"/>
    <x v="1"/>
    <n v="497.18"/>
    <n v="293.36"/>
    <n v="2"/>
    <n v="994.36"/>
    <n v="586.72"/>
    <n v="407.64"/>
    <n v="0.40995213001327485"/>
    <x v="11"/>
    <n v="407.64"/>
  </r>
  <r>
    <d v="2023-02-21T00:00:00"/>
    <x v="10"/>
    <x v="2"/>
    <x v="0"/>
    <n v="1632.12"/>
    <n v="1201.31"/>
    <n v="10"/>
    <n v="16321.199999999999"/>
    <n v="12013.099999999999"/>
    <n v="4308.1000000000004"/>
    <n v="0.26395730706075538"/>
    <x v="27"/>
    <n v="4308.1000000000004"/>
  </r>
  <r>
    <d v="2022-07-12T00:00:00"/>
    <x v="2"/>
    <x v="0"/>
    <x v="3"/>
    <n v="777.35"/>
    <n v="538.97"/>
    <n v="1"/>
    <n v="777.35"/>
    <n v="538.97"/>
    <n v="238.38"/>
    <n v="0.30665723290667007"/>
    <x v="8"/>
    <n v="238.38"/>
  </r>
  <r>
    <d v="2023-09-04T00:00:00"/>
    <x v="3"/>
    <x v="2"/>
    <x v="2"/>
    <n v="377.94"/>
    <n v="203.57"/>
    <n v="2"/>
    <n v="755.88"/>
    <n v="407.14"/>
    <n v="348.74"/>
    <n v="0.4613695295549558"/>
    <x v="24"/>
    <n v="348.74"/>
  </r>
  <r>
    <d v="2022-01-05T00:00:00"/>
    <x v="4"/>
    <x v="2"/>
    <x v="1"/>
    <n v="1415.29"/>
    <n v="1159.69"/>
    <n v="2"/>
    <n v="2830.58"/>
    <n v="2319.38"/>
    <n v="511.19999999999982"/>
    <n v="0.18059902917423279"/>
    <x v="9"/>
    <n v="511.19999999999982"/>
  </r>
  <r>
    <d v="2024-10-02T00:00:00"/>
    <x v="4"/>
    <x v="2"/>
    <x v="0"/>
    <n v="531.96"/>
    <n v="285.26"/>
    <n v="6"/>
    <n v="3191.76"/>
    <n v="1711.56"/>
    <n v="1480.2000000000003"/>
    <n v="0.46375667343409283"/>
    <x v="17"/>
    <n v="1480.2000000000003"/>
  </r>
  <r>
    <d v="2024-06-11T00:00:00"/>
    <x v="8"/>
    <x v="1"/>
    <x v="2"/>
    <n v="1931.88"/>
    <n v="1440.66"/>
    <n v="6"/>
    <n v="11591.28"/>
    <n v="8643.9600000000009"/>
    <n v="2947.3199999999997"/>
    <n v="0.25427045158084349"/>
    <x v="4"/>
    <n v="2947.3199999999997"/>
  </r>
  <r>
    <d v="2023-04-01T00:00:00"/>
    <x v="8"/>
    <x v="1"/>
    <x v="3"/>
    <n v="1333.47"/>
    <n v="803.54"/>
    <n v="7"/>
    <n v="9334.2900000000009"/>
    <n v="5624.78"/>
    <n v="3709.5100000000011"/>
    <n v="0.39740676580650491"/>
    <x v="6"/>
    <n v="3709.5100000000011"/>
  </r>
  <r>
    <d v="2023-07-22T00:00:00"/>
    <x v="2"/>
    <x v="0"/>
    <x v="0"/>
    <n v="1869.74"/>
    <n v="970.72"/>
    <n v="4"/>
    <n v="7478.96"/>
    <n v="3882.88"/>
    <n v="3596.08"/>
    <n v="0.48082621113095936"/>
    <x v="11"/>
    <n v="3596.08"/>
  </r>
  <r>
    <d v="2024-11-30T00:00:00"/>
    <x v="10"/>
    <x v="2"/>
    <x v="1"/>
    <n v="203.3"/>
    <n v="169.81"/>
    <n v="7"/>
    <n v="1423.1000000000001"/>
    <n v="1188.67"/>
    <n v="234.43000000000006"/>
    <n v="0.16473192326610922"/>
    <x v="2"/>
    <n v="234.43000000000006"/>
  </r>
  <r>
    <d v="2024-05-21T00:00:00"/>
    <x v="0"/>
    <x v="0"/>
    <x v="0"/>
    <n v="1684.05"/>
    <n v="1278.53"/>
    <n v="7"/>
    <n v="11788.35"/>
    <n v="8949.7099999999991"/>
    <n v="2838.6400000000012"/>
    <n v="0.24080045129301397"/>
    <x v="3"/>
    <n v="2838.6400000000012"/>
  </r>
  <r>
    <d v="2023-07-22T00:00:00"/>
    <x v="1"/>
    <x v="1"/>
    <x v="3"/>
    <n v="858.75"/>
    <n v="698.56"/>
    <n v="3"/>
    <n v="2576.25"/>
    <n v="2095.6799999999998"/>
    <n v="480.57000000000016"/>
    <n v="0.18653857350800587"/>
    <x v="11"/>
    <n v="480.57000000000016"/>
  </r>
  <r>
    <d v="2023-10-16T00:00:00"/>
    <x v="3"/>
    <x v="2"/>
    <x v="0"/>
    <n v="1375.45"/>
    <n v="1090.3900000000001"/>
    <n v="3"/>
    <n v="4126.3500000000004"/>
    <n v="3271.17"/>
    <n v="855.18000000000029"/>
    <n v="0.20724853684248795"/>
    <x v="5"/>
    <n v="855.18000000000029"/>
  </r>
  <r>
    <d v="2022-10-19T00:00:00"/>
    <x v="4"/>
    <x v="2"/>
    <x v="3"/>
    <n v="457.03"/>
    <n v="368.31"/>
    <n v="3"/>
    <n v="1371.09"/>
    <n v="1104.93"/>
    <n v="266.15999999999985"/>
    <n v="0.19412292409688633"/>
    <x v="25"/>
    <n v="266.15999999999985"/>
  </r>
  <r>
    <d v="2023-02-16T00:00:00"/>
    <x v="8"/>
    <x v="1"/>
    <x v="0"/>
    <n v="499.11"/>
    <n v="414.02"/>
    <n v="10"/>
    <n v="4991.1000000000004"/>
    <n v="4140.2"/>
    <n v="850.90000000000055"/>
    <n v="0.17048346055979655"/>
    <x v="27"/>
    <n v="850.90000000000055"/>
  </r>
  <r>
    <d v="2024-08-02T00:00:00"/>
    <x v="1"/>
    <x v="1"/>
    <x v="3"/>
    <n v="1396.51"/>
    <n v="1053.72"/>
    <n v="9"/>
    <n v="12568.59"/>
    <n v="9483.48"/>
    <n v="3085.1100000000006"/>
    <n v="0.2454619014543398"/>
    <x v="21"/>
    <n v="3085.1100000000006"/>
  </r>
  <r>
    <d v="2024-10-24T00:00:00"/>
    <x v="3"/>
    <x v="2"/>
    <x v="1"/>
    <n v="1563.08"/>
    <n v="1284.51"/>
    <n v="7"/>
    <n v="10941.56"/>
    <n v="8991.57"/>
    <n v="1949.9899999999998"/>
    <n v="0.17821864523888731"/>
    <x v="17"/>
    <n v="1949.9899999999998"/>
  </r>
  <r>
    <d v="2024-04-25T00:00:00"/>
    <x v="0"/>
    <x v="0"/>
    <x v="3"/>
    <n v="958.7"/>
    <n v="839.27"/>
    <n v="8"/>
    <n v="7669.6"/>
    <n v="6714.16"/>
    <n v="955.44000000000051"/>
    <n v="0.12457494523834366"/>
    <x v="22"/>
    <n v="955.44000000000051"/>
  </r>
  <r>
    <d v="2022-11-25T00:00:00"/>
    <x v="10"/>
    <x v="2"/>
    <x v="0"/>
    <n v="415.44"/>
    <n v="285.33999999999997"/>
    <n v="9"/>
    <n v="3738.96"/>
    <n v="2568.06"/>
    <n v="1170.9000000000001"/>
    <n v="0.31316194877720011"/>
    <x v="1"/>
    <n v="1170.9000000000001"/>
  </r>
  <r>
    <d v="2023-08-21T00:00:00"/>
    <x v="7"/>
    <x v="0"/>
    <x v="3"/>
    <n v="1903.89"/>
    <n v="1402.61"/>
    <n v="9"/>
    <n v="17135.010000000002"/>
    <n v="12623.49"/>
    <n v="4511.5200000000023"/>
    <n v="0.26329252215201521"/>
    <x v="14"/>
    <n v="4511.5200000000023"/>
  </r>
  <r>
    <d v="2024-07-16T00:00:00"/>
    <x v="1"/>
    <x v="1"/>
    <x v="0"/>
    <n v="297.68"/>
    <n v="215.99"/>
    <n v="10"/>
    <n v="2976.8"/>
    <n v="2159.9"/>
    <n v="816.90000000000009"/>
    <n v="0.27442219833378123"/>
    <x v="28"/>
    <n v="816.90000000000009"/>
  </r>
  <r>
    <d v="2024-05-05T00:00:00"/>
    <x v="4"/>
    <x v="2"/>
    <x v="2"/>
    <n v="1460.05"/>
    <n v="1014.73"/>
    <n v="9"/>
    <n v="13140.449999999999"/>
    <n v="9132.57"/>
    <n v="4007.8799999999992"/>
    <n v="0.30500325331324268"/>
    <x v="3"/>
    <n v="4007.8799999999992"/>
  </r>
  <r>
    <d v="2022-09-14T00:00:00"/>
    <x v="5"/>
    <x v="3"/>
    <x v="0"/>
    <n v="1819.95"/>
    <n v="1502.51"/>
    <n v="3"/>
    <n v="5459.85"/>
    <n v="4507.53"/>
    <n v="952.32000000000062"/>
    <n v="0.17442237424105067"/>
    <x v="12"/>
    <n v="952.32000000000062"/>
  </r>
  <r>
    <d v="2023-07-03T00:00:00"/>
    <x v="5"/>
    <x v="3"/>
    <x v="2"/>
    <n v="1332.11"/>
    <n v="1180.75"/>
    <n v="4"/>
    <n v="5328.44"/>
    <n v="4723"/>
    <n v="605.4399999999996"/>
    <n v="0.11362425024960394"/>
    <x v="11"/>
    <n v="605.4399999999996"/>
  </r>
  <r>
    <d v="2022-07-27T00:00:00"/>
    <x v="1"/>
    <x v="1"/>
    <x v="2"/>
    <n v="488.27"/>
    <n v="318.19"/>
    <n v="9"/>
    <n v="4394.43"/>
    <n v="2863.71"/>
    <n v="1530.7200000000003"/>
    <n v="0.34833186556618267"/>
    <x v="8"/>
    <n v="1530.7200000000003"/>
  </r>
  <r>
    <d v="2022-07-29T00:00:00"/>
    <x v="8"/>
    <x v="1"/>
    <x v="0"/>
    <n v="1310.05"/>
    <n v="675.69"/>
    <n v="10"/>
    <n v="13100.5"/>
    <n v="6756.9000000000005"/>
    <n v="6343.5999999999995"/>
    <n v="0.48422579290866757"/>
    <x v="8"/>
    <n v="6343.5999999999995"/>
  </r>
  <r>
    <d v="2022-06-19T00:00:00"/>
    <x v="1"/>
    <x v="1"/>
    <x v="3"/>
    <n v="1018.84"/>
    <n v="757.45"/>
    <n v="10"/>
    <n v="10188.4"/>
    <n v="7574.5"/>
    <n v="2613.8999999999996"/>
    <n v="0.25655647599230497"/>
    <x v="18"/>
    <n v="2613.8999999999996"/>
  </r>
  <r>
    <d v="2024-03-15T00:00:00"/>
    <x v="6"/>
    <x v="3"/>
    <x v="0"/>
    <n v="356.56"/>
    <n v="186.18"/>
    <n v="3"/>
    <n v="1069.68"/>
    <n v="558.54"/>
    <n v="511.1400000000001"/>
    <n v="0.47784384114875483"/>
    <x v="29"/>
    <n v="511.1400000000001"/>
  </r>
  <r>
    <d v="2023-11-10T00:00:00"/>
    <x v="1"/>
    <x v="1"/>
    <x v="1"/>
    <n v="1767.29"/>
    <n v="1509.51"/>
    <n v="3"/>
    <n v="5301.87"/>
    <n v="4528.53"/>
    <n v="773.34000000000015"/>
    <n v="0.14586174312082345"/>
    <x v="10"/>
    <n v="773.34000000000015"/>
  </r>
  <r>
    <d v="2022-12-11T00:00:00"/>
    <x v="3"/>
    <x v="2"/>
    <x v="0"/>
    <n v="963.14"/>
    <n v="489.27"/>
    <n v="2"/>
    <n v="1926.28"/>
    <n v="978.54"/>
    <n v="947.74"/>
    <n v="0.49200531594576075"/>
    <x v="33"/>
    <n v="947.74"/>
  </r>
  <r>
    <d v="2022-02-14T00:00:00"/>
    <x v="9"/>
    <x v="3"/>
    <x v="1"/>
    <n v="254.36"/>
    <n v="151.08000000000001"/>
    <n v="10"/>
    <n v="2543.6000000000004"/>
    <n v="1510.8000000000002"/>
    <n v="1032.8000000000002"/>
    <n v="0.40603868532788173"/>
    <x v="20"/>
    <n v="1032.8000000000002"/>
  </r>
  <r>
    <d v="2022-01-11T00:00:00"/>
    <x v="4"/>
    <x v="2"/>
    <x v="1"/>
    <n v="637.39"/>
    <n v="449.01"/>
    <n v="2"/>
    <n v="1274.78"/>
    <n v="898.02"/>
    <n v="376.76"/>
    <n v="0.29554903591207893"/>
    <x v="9"/>
    <n v="376.76"/>
  </r>
  <r>
    <d v="2023-07-27T00:00:00"/>
    <x v="3"/>
    <x v="2"/>
    <x v="3"/>
    <n v="969.67"/>
    <n v="511.05"/>
    <n v="3"/>
    <n v="2909.0099999999998"/>
    <n v="1533.15"/>
    <n v="1375.8599999999997"/>
    <n v="0.47296502933987844"/>
    <x v="11"/>
    <n v="1375.8599999999997"/>
  </r>
  <r>
    <d v="2023-06-06T00:00:00"/>
    <x v="9"/>
    <x v="3"/>
    <x v="3"/>
    <n v="1722.28"/>
    <n v="1174.06"/>
    <n v="8"/>
    <n v="13778.24"/>
    <n v="9392.48"/>
    <n v="4385.76"/>
    <n v="0.31831061151496853"/>
    <x v="0"/>
    <n v="4385.76"/>
  </r>
  <r>
    <d v="2024-03-02T00:00:00"/>
    <x v="8"/>
    <x v="1"/>
    <x v="2"/>
    <n v="787.5"/>
    <n v="493.97"/>
    <n v="6"/>
    <n v="4725"/>
    <n v="2963.82"/>
    <n v="1761.1799999999998"/>
    <n v="0.37273650793650792"/>
    <x v="29"/>
    <n v="1761.1799999999998"/>
  </r>
  <r>
    <d v="2022-10-27T00:00:00"/>
    <x v="6"/>
    <x v="3"/>
    <x v="2"/>
    <n v="1589.2"/>
    <n v="1025.2"/>
    <n v="10"/>
    <n v="15892"/>
    <n v="10252"/>
    <n v="5640"/>
    <n v="0.3548955449282658"/>
    <x v="25"/>
    <n v="5640"/>
  </r>
  <r>
    <d v="2024-05-30T00:00:00"/>
    <x v="8"/>
    <x v="1"/>
    <x v="2"/>
    <n v="467.54"/>
    <n v="409.15"/>
    <n v="6"/>
    <n v="2805.2400000000002"/>
    <n v="2454.8999999999996"/>
    <n v="350.3400000000006"/>
    <n v="0.12488771014244791"/>
    <x v="3"/>
    <n v="350.3400000000006"/>
  </r>
  <r>
    <d v="2023-07-12T00:00:00"/>
    <x v="9"/>
    <x v="3"/>
    <x v="2"/>
    <n v="968.48"/>
    <n v="754.5"/>
    <n v="5"/>
    <n v="4842.3999999999996"/>
    <n v="3772.5"/>
    <n v="1069.8999999999996"/>
    <n v="0.22094415992070043"/>
    <x v="11"/>
    <n v="1069.8999999999996"/>
  </r>
  <r>
    <d v="2023-09-27T00:00:00"/>
    <x v="4"/>
    <x v="2"/>
    <x v="1"/>
    <n v="1681.42"/>
    <n v="1111.73"/>
    <n v="8"/>
    <n v="13451.36"/>
    <n v="8893.84"/>
    <n v="4557.5200000000004"/>
    <n v="0.33881481129045687"/>
    <x v="24"/>
    <n v="4557.5200000000004"/>
  </r>
  <r>
    <d v="2023-07-14T00:00:00"/>
    <x v="8"/>
    <x v="1"/>
    <x v="3"/>
    <n v="757.84"/>
    <n v="510.38"/>
    <n v="8"/>
    <n v="6062.72"/>
    <n v="4083.04"/>
    <n v="1979.6800000000003"/>
    <n v="0.32653330518315216"/>
    <x v="11"/>
    <n v="1979.6800000000003"/>
  </r>
  <r>
    <d v="2023-11-06T00:00:00"/>
    <x v="10"/>
    <x v="2"/>
    <x v="0"/>
    <n v="1528.94"/>
    <n v="981.68"/>
    <n v="4"/>
    <n v="6115.76"/>
    <n v="3926.72"/>
    <n v="2189.0400000000004"/>
    <n v="0.35793425510484395"/>
    <x v="10"/>
    <n v="2189.0400000000004"/>
  </r>
  <r>
    <d v="2024-04-24T00:00:00"/>
    <x v="1"/>
    <x v="1"/>
    <x v="2"/>
    <n v="1571.6"/>
    <n v="1279.44"/>
    <n v="10"/>
    <n v="15716"/>
    <n v="12794.400000000001"/>
    <n v="2921.5999999999985"/>
    <n v="0.18589972003054203"/>
    <x v="22"/>
    <n v="2921.5999999999985"/>
  </r>
  <r>
    <d v="2024-03-08T00:00:00"/>
    <x v="6"/>
    <x v="3"/>
    <x v="3"/>
    <n v="145.33000000000001"/>
    <n v="93.01"/>
    <n v="3"/>
    <n v="435.99"/>
    <n v="279.03000000000003"/>
    <n v="156.95999999999998"/>
    <n v="0.36000825707011624"/>
    <x v="29"/>
    <n v="156.95999999999998"/>
  </r>
  <r>
    <d v="2024-03-01T00:00:00"/>
    <x v="1"/>
    <x v="1"/>
    <x v="2"/>
    <n v="1282.27"/>
    <n v="978.24"/>
    <n v="5"/>
    <n v="6411.35"/>
    <n v="4891.2"/>
    <n v="1520.1500000000005"/>
    <n v="0.2371029502366897"/>
    <x v="29"/>
    <n v="1520.1500000000005"/>
  </r>
  <r>
    <d v="2024-11-11T00:00:00"/>
    <x v="0"/>
    <x v="0"/>
    <x v="0"/>
    <n v="1097.7"/>
    <n v="764.36"/>
    <n v="6"/>
    <n v="6586.2000000000007"/>
    <n v="4586.16"/>
    <n v="2000.0400000000009"/>
    <n v="0.30367131274483022"/>
    <x v="2"/>
    <n v="2000.0400000000009"/>
  </r>
  <r>
    <d v="2023-08-22T00:00:00"/>
    <x v="0"/>
    <x v="0"/>
    <x v="1"/>
    <n v="513.67999999999995"/>
    <n v="290.24"/>
    <n v="6"/>
    <n v="3082.08"/>
    <n v="1741.44"/>
    <n v="1340.6399999999999"/>
    <n v="0.4349789752375019"/>
    <x v="14"/>
    <n v="1340.6399999999999"/>
  </r>
  <r>
    <d v="2023-12-03T00:00:00"/>
    <x v="7"/>
    <x v="0"/>
    <x v="1"/>
    <n v="777.87"/>
    <n v="560.77"/>
    <n v="8"/>
    <n v="6222.96"/>
    <n v="4486.16"/>
    <n v="1736.8000000000002"/>
    <n v="0.27909547867895668"/>
    <x v="30"/>
    <n v="1736.8000000000002"/>
  </r>
  <r>
    <d v="2022-04-19T00:00:00"/>
    <x v="2"/>
    <x v="0"/>
    <x v="0"/>
    <n v="904.89"/>
    <n v="765.41"/>
    <n v="6"/>
    <n v="5429.34"/>
    <n v="4592.46"/>
    <n v="836.88000000000011"/>
    <n v="0.15414028224425069"/>
    <x v="32"/>
    <n v="836.88000000000011"/>
  </r>
  <r>
    <d v="2022-06-26T00:00:00"/>
    <x v="5"/>
    <x v="3"/>
    <x v="2"/>
    <n v="1544.6"/>
    <n v="870.44"/>
    <n v="7"/>
    <n v="10812.199999999999"/>
    <n v="6093.08"/>
    <n v="4719.119999999999"/>
    <n v="0.43646251456687812"/>
    <x v="18"/>
    <n v="4719.119999999999"/>
  </r>
  <r>
    <d v="2022-07-26T00:00:00"/>
    <x v="10"/>
    <x v="2"/>
    <x v="1"/>
    <n v="107.79"/>
    <n v="86.03"/>
    <n v="5"/>
    <n v="538.95000000000005"/>
    <n v="430.15"/>
    <n v="108.80000000000007"/>
    <n v="0.20187401428703972"/>
    <x v="8"/>
    <n v="108.80000000000007"/>
  </r>
  <r>
    <d v="2024-11-17T00:00:00"/>
    <x v="2"/>
    <x v="0"/>
    <x v="0"/>
    <n v="809.62"/>
    <n v="585.53"/>
    <n v="10"/>
    <n v="8096.2"/>
    <n v="5855.2999999999993"/>
    <n v="2240.9000000000005"/>
    <n v="0.27678417035152303"/>
    <x v="2"/>
    <n v="2240.9000000000005"/>
  </r>
  <r>
    <d v="2022-01-06T00:00:00"/>
    <x v="7"/>
    <x v="0"/>
    <x v="2"/>
    <n v="1902.55"/>
    <n v="1165.4000000000001"/>
    <n v="3"/>
    <n v="5707.65"/>
    <n v="3496.2000000000003"/>
    <n v="2211.4499999999994"/>
    <n v="0.38745368058658108"/>
    <x v="9"/>
    <n v="2211.4499999999994"/>
  </r>
  <r>
    <d v="2022-09-23T00:00:00"/>
    <x v="1"/>
    <x v="1"/>
    <x v="3"/>
    <n v="192.32"/>
    <n v="160.21"/>
    <n v="10"/>
    <n v="1923.1999999999998"/>
    <n v="1602.1000000000001"/>
    <n v="321.09999999999968"/>
    <n v="0.1669613144758734"/>
    <x v="12"/>
    <n v="321.09999999999968"/>
  </r>
  <r>
    <d v="2024-04-05T00:00:00"/>
    <x v="1"/>
    <x v="1"/>
    <x v="3"/>
    <n v="1412.38"/>
    <n v="765.44"/>
    <n v="2"/>
    <n v="2824.76"/>
    <n v="1530.88"/>
    <n v="1293.8800000000001"/>
    <n v="0.45804953341168808"/>
    <x v="22"/>
    <n v="1293.8800000000001"/>
  </r>
  <r>
    <d v="2022-03-14T00:00:00"/>
    <x v="10"/>
    <x v="2"/>
    <x v="2"/>
    <n v="1480.72"/>
    <n v="741.95"/>
    <n v="1"/>
    <n v="1480.72"/>
    <n v="741.95"/>
    <n v="738.77"/>
    <n v="0.49892619806580579"/>
    <x v="7"/>
    <n v="738.77"/>
  </r>
  <r>
    <d v="2024-04-16T00:00:00"/>
    <x v="6"/>
    <x v="3"/>
    <x v="2"/>
    <n v="1357.05"/>
    <n v="793.27"/>
    <n v="8"/>
    <n v="10856.4"/>
    <n v="6346.16"/>
    <n v="4510.24"/>
    <n v="0.41544526730776316"/>
    <x v="22"/>
    <n v="4510.24"/>
  </r>
  <r>
    <d v="2023-08-22T00:00:00"/>
    <x v="10"/>
    <x v="2"/>
    <x v="3"/>
    <n v="917.65"/>
    <n v="479.78"/>
    <n v="6"/>
    <n v="5505.9"/>
    <n v="2878.68"/>
    <n v="2627.22"/>
    <n v="0.47716449626764018"/>
    <x v="14"/>
    <n v="2627.22"/>
  </r>
  <r>
    <d v="2024-12-20T00:00:00"/>
    <x v="10"/>
    <x v="2"/>
    <x v="1"/>
    <n v="766.3"/>
    <n v="639.21"/>
    <n v="6"/>
    <n v="4597.7999999999993"/>
    <n v="3835.26"/>
    <n v="762.53999999999905"/>
    <n v="0.16584888424898847"/>
    <x v="23"/>
    <n v="762.53999999999905"/>
  </r>
  <r>
    <d v="2022-12-24T00:00:00"/>
    <x v="10"/>
    <x v="2"/>
    <x v="2"/>
    <n v="255.97"/>
    <n v="167.42"/>
    <n v="7"/>
    <n v="1791.79"/>
    <n v="1171.9399999999998"/>
    <n v="619.85000000000014"/>
    <n v="0.3459389772238935"/>
    <x v="33"/>
    <n v="619.85000000000014"/>
  </r>
  <r>
    <d v="2023-01-21T00:00:00"/>
    <x v="10"/>
    <x v="2"/>
    <x v="1"/>
    <n v="340.33"/>
    <n v="286.17"/>
    <n v="10"/>
    <n v="3403.2999999999997"/>
    <n v="2861.7000000000003"/>
    <n v="541.59999999999945"/>
    <n v="0.15913965856668513"/>
    <x v="13"/>
    <n v="541.59999999999945"/>
  </r>
  <r>
    <d v="2024-11-08T00:00:00"/>
    <x v="2"/>
    <x v="0"/>
    <x v="0"/>
    <n v="1044.26"/>
    <n v="558.48"/>
    <n v="8"/>
    <n v="8354.08"/>
    <n v="4467.84"/>
    <n v="3886.24"/>
    <n v="0.46519066132955394"/>
    <x v="2"/>
    <n v="3886.24"/>
  </r>
  <r>
    <d v="2023-06-27T00:00:00"/>
    <x v="5"/>
    <x v="3"/>
    <x v="3"/>
    <n v="1028.78"/>
    <n v="916.71"/>
    <n v="7"/>
    <n v="7201.46"/>
    <n v="6416.97"/>
    <n v="784.48999999999978"/>
    <n v="0.10893485487664999"/>
    <x v="0"/>
    <n v="784.48999999999978"/>
  </r>
  <r>
    <d v="2024-12-13T00:00:00"/>
    <x v="4"/>
    <x v="2"/>
    <x v="3"/>
    <n v="782.61"/>
    <n v="514.71"/>
    <n v="7"/>
    <n v="5478.27"/>
    <n v="3602.9700000000003"/>
    <n v="1875.3000000000002"/>
    <n v="0.34231609613983977"/>
    <x v="23"/>
    <n v="1875.3000000000002"/>
  </r>
  <r>
    <d v="2024-08-18T00:00:00"/>
    <x v="9"/>
    <x v="3"/>
    <x v="3"/>
    <n v="1021.44"/>
    <n v="543.16"/>
    <n v="6"/>
    <n v="6128.64"/>
    <n v="3258.96"/>
    <n v="2869.6800000000003"/>
    <n v="0.46824091478696744"/>
    <x v="21"/>
    <n v="2869.6800000000003"/>
  </r>
  <r>
    <d v="2024-03-03T00:00:00"/>
    <x v="5"/>
    <x v="3"/>
    <x v="0"/>
    <n v="1861.58"/>
    <n v="1090.08"/>
    <n v="1"/>
    <n v="1861.58"/>
    <n v="1090.08"/>
    <n v="771.5"/>
    <n v="0.41443290108402542"/>
    <x v="29"/>
    <n v="771.5"/>
  </r>
  <r>
    <d v="2024-10-16T00:00:00"/>
    <x v="1"/>
    <x v="1"/>
    <x v="2"/>
    <n v="1913.58"/>
    <n v="1430.58"/>
    <n v="4"/>
    <n v="7654.32"/>
    <n v="5722.32"/>
    <n v="1932"/>
    <n v="0.25240648418148182"/>
    <x v="17"/>
    <n v="1932"/>
  </r>
  <r>
    <d v="2022-12-23T00:00:00"/>
    <x v="6"/>
    <x v="3"/>
    <x v="3"/>
    <n v="1499.61"/>
    <n v="1039.69"/>
    <n v="3"/>
    <n v="4498.83"/>
    <n v="3119.07"/>
    <n v="1379.7599999999998"/>
    <n v="0.30669307353245173"/>
    <x v="33"/>
    <n v="1379.7599999999998"/>
  </r>
  <r>
    <d v="2022-10-08T00:00:00"/>
    <x v="0"/>
    <x v="0"/>
    <x v="3"/>
    <n v="591.75"/>
    <n v="307.8"/>
    <n v="3"/>
    <n v="1775.25"/>
    <n v="923.40000000000009"/>
    <n v="851.84999999999991"/>
    <n v="0.47984790874524708"/>
    <x v="25"/>
    <n v="851.84999999999991"/>
  </r>
  <r>
    <d v="2024-12-16T00:00:00"/>
    <x v="6"/>
    <x v="3"/>
    <x v="2"/>
    <n v="1416.23"/>
    <n v="906.75"/>
    <n v="9"/>
    <n v="12746.07"/>
    <n v="8160.75"/>
    <n v="4585.32"/>
    <n v="0.35974382692076851"/>
    <x v="23"/>
    <n v="4585.32"/>
  </r>
  <r>
    <d v="2022-08-12T00:00:00"/>
    <x v="8"/>
    <x v="1"/>
    <x v="2"/>
    <n v="1222.98"/>
    <n v="1026.92"/>
    <n v="5"/>
    <n v="6114.9"/>
    <n v="5134.6000000000004"/>
    <n v="980.29999999999927"/>
    <n v="0.16031333300626327"/>
    <x v="15"/>
    <n v="980.29999999999927"/>
  </r>
  <r>
    <d v="2024-02-11T00:00:00"/>
    <x v="3"/>
    <x v="2"/>
    <x v="1"/>
    <n v="369.62"/>
    <n v="244.52"/>
    <n v="9"/>
    <n v="3326.58"/>
    <n v="2200.6800000000003"/>
    <n v="1125.8999999999996"/>
    <n v="0.33845571127103502"/>
    <x v="34"/>
    <n v="1125.8999999999996"/>
  </r>
  <r>
    <d v="2023-10-26T00:00:00"/>
    <x v="2"/>
    <x v="0"/>
    <x v="2"/>
    <n v="1018.25"/>
    <n v="670.85"/>
    <n v="7"/>
    <n v="7127.75"/>
    <n v="4695.95"/>
    <n v="2431.8000000000002"/>
    <n v="0.34117358212619692"/>
    <x v="5"/>
    <n v="2431.8000000000002"/>
  </r>
  <r>
    <d v="2023-06-03T00:00:00"/>
    <x v="5"/>
    <x v="3"/>
    <x v="0"/>
    <n v="366.45"/>
    <n v="265.06"/>
    <n v="10"/>
    <n v="3664.5"/>
    <n v="2650.6"/>
    <n v="1013.9000000000001"/>
    <n v="0.27668167553554374"/>
    <x v="0"/>
    <n v="1013.9000000000001"/>
  </r>
  <r>
    <d v="2022-11-28T00:00:00"/>
    <x v="5"/>
    <x v="3"/>
    <x v="2"/>
    <n v="355.41"/>
    <n v="264.48"/>
    <n v="8"/>
    <n v="2843.28"/>
    <n v="2115.84"/>
    <n v="727.44"/>
    <n v="0.25584536169494387"/>
    <x v="1"/>
    <n v="727.44"/>
  </r>
  <r>
    <d v="2023-03-12T00:00:00"/>
    <x v="0"/>
    <x v="0"/>
    <x v="1"/>
    <n v="709.95"/>
    <n v="608.67999999999995"/>
    <n v="6"/>
    <n v="4259.7000000000007"/>
    <n v="3652.08"/>
    <n v="607.6200000000008"/>
    <n v="0.14264384815832118"/>
    <x v="19"/>
    <n v="607.6200000000008"/>
  </r>
  <r>
    <d v="2022-11-22T00:00:00"/>
    <x v="5"/>
    <x v="3"/>
    <x v="2"/>
    <n v="965.89"/>
    <n v="709.54"/>
    <n v="3"/>
    <n v="2897.67"/>
    <n v="2128.62"/>
    <n v="769.05000000000018"/>
    <n v="0.26540289266893752"/>
    <x v="1"/>
    <n v="769.05000000000018"/>
  </r>
  <r>
    <d v="2024-01-01T00:00:00"/>
    <x v="0"/>
    <x v="0"/>
    <x v="1"/>
    <n v="364.86"/>
    <n v="199.09"/>
    <n v="3"/>
    <n v="1094.58"/>
    <n v="597.27"/>
    <n v="497.30999999999995"/>
    <n v="0.45433865044126515"/>
    <x v="26"/>
    <n v="497.30999999999995"/>
  </r>
  <r>
    <d v="2024-03-25T00:00:00"/>
    <x v="1"/>
    <x v="1"/>
    <x v="1"/>
    <n v="465.37"/>
    <n v="391.33"/>
    <n v="2"/>
    <n v="930.74"/>
    <n v="782.66"/>
    <n v="148.08000000000004"/>
    <n v="0.15909921138019215"/>
    <x v="29"/>
    <n v="148.08000000000004"/>
  </r>
  <r>
    <d v="2022-10-23T00:00:00"/>
    <x v="7"/>
    <x v="0"/>
    <x v="3"/>
    <n v="989.63"/>
    <n v="619.75"/>
    <n v="5"/>
    <n v="4948.1499999999996"/>
    <n v="3098.75"/>
    <n v="1849.3999999999996"/>
    <n v="0.37375584814526636"/>
    <x v="25"/>
    <n v="1849.3999999999996"/>
  </r>
  <r>
    <d v="2022-10-02T00:00:00"/>
    <x v="7"/>
    <x v="0"/>
    <x v="3"/>
    <n v="92.54"/>
    <n v="49.69"/>
    <n v="2"/>
    <n v="185.08"/>
    <n v="99.38"/>
    <n v="85.700000000000017"/>
    <n v="0.46304300842878759"/>
    <x v="25"/>
    <n v="85.700000000000017"/>
  </r>
  <r>
    <d v="2024-02-17T00:00:00"/>
    <x v="5"/>
    <x v="3"/>
    <x v="3"/>
    <n v="1129.98"/>
    <n v="1013.29"/>
    <n v="10"/>
    <n v="11299.8"/>
    <n v="10132.9"/>
    <n v="1166.8999999999996"/>
    <n v="0.10326731446574273"/>
    <x v="34"/>
    <n v="1166.8999999999996"/>
  </r>
  <r>
    <d v="2024-08-30T00:00:00"/>
    <x v="5"/>
    <x v="3"/>
    <x v="0"/>
    <n v="992.53"/>
    <n v="856.32"/>
    <n v="5"/>
    <n v="4962.6499999999996"/>
    <n v="4281.6000000000004"/>
    <n v="681.04999999999927"/>
    <n v="0.13723514654468869"/>
    <x v="21"/>
    <n v="681.04999999999927"/>
  </r>
  <r>
    <d v="2024-01-15T00:00:00"/>
    <x v="8"/>
    <x v="1"/>
    <x v="0"/>
    <n v="1437.09"/>
    <n v="767.9"/>
    <n v="7"/>
    <n v="10059.629999999999"/>
    <n v="5375.3"/>
    <n v="4684.329999999999"/>
    <n v="0.46565629153358518"/>
    <x v="26"/>
    <n v="4684.329999999999"/>
  </r>
  <r>
    <d v="2023-12-15T00:00:00"/>
    <x v="0"/>
    <x v="0"/>
    <x v="0"/>
    <n v="1923.73"/>
    <n v="1275.19"/>
    <n v="6"/>
    <n v="11542.380000000001"/>
    <n v="7651.14"/>
    <n v="3891.2400000000007"/>
    <n v="0.33712631190447728"/>
    <x v="30"/>
    <n v="3891.2400000000007"/>
  </r>
  <r>
    <d v="2023-04-13T00:00:00"/>
    <x v="9"/>
    <x v="3"/>
    <x v="1"/>
    <n v="1720.67"/>
    <n v="1337.74"/>
    <n v="4"/>
    <n v="6882.68"/>
    <n v="5350.96"/>
    <n v="1531.7200000000003"/>
    <n v="0.22254703109835125"/>
    <x v="6"/>
    <n v="1531.7200000000003"/>
  </r>
  <r>
    <d v="2022-09-06T00:00:00"/>
    <x v="6"/>
    <x v="3"/>
    <x v="2"/>
    <n v="476.47"/>
    <n v="375.88"/>
    <n v="1"/>
    <n v="476.47"/>
    <n v="375.88"/>
    <n v="100.59000000000003"/>
    <n v="0.21111507545071048"/>
    <x v="12"/>
    <n v="100.59000000000003"/>
  </r>
  <r>
    <d v="2022-11-18T00:00:00"/>
    <x v="9"/>
    <x v="3"/>
    <x v="2"/>
    <n v="828.66"/>
    <n v="654.05999999999995"/>
    <n v="3"/>
    <n v="2485.98"/>
    <n v="1962.1799999999998"/>
    <n v="523.80000000000018"/>
    <n v="0.21070161465498524"/>
    <x v="1"/>
    <n v="523.80000000000018"/>
  </r>
  <r>
    <d v="2023-12-31T00:00:00"/>
    <x v="2"/>
    <x v="0"/>
    <x v="2"/>
    <n v="683.9"/>
    <n v="364.47"/>
    <n v="10"/>
    <n v="6839"/>
    <n v="3644.7000000000003"/>
    <n v="3194.2999999999997"/>
    <n v="0.46707120924111706"/>
    <x v="30"/>
    <n v="3194.2999999999997"/>
  </r>
  <r>
    <d v="2023-02-17T00:00:00"/>
    <x v="10"/>
    <x v="2"/>
    <x v="0"/>
    <n v="197.3"/>
    <n v="132.43"/>
    <n v="4"/>
    <n v="789.2"/>
    <n v="529.72"/>
    <n v="259.48"/>
    <n v="0.32878864673086672"/>
    <x v="27"/>
    <n v="259.48"/>
  </r>
  <r>
    <d v="2023-11-04T00:00:00"/>
    <x v="1"/>
    <x v="1"/>
    <x v="2"/>
    <n v="429.45"/>
    <n v="291.83999999999997"/>
    <n v="10"/>
    <n v="4294.5"/>
    <n v="2918.3999999999996"/>
    <n v="1376.1000000000004"/>
    <n v="0.3204331121201538"/>
    <x v="10"/>
    <n v="1376.1000000000004"/>
  </r>
  <r>
    <d v="2023-04-10T00:00:00"/>
    <x v="3"/>
    <x v="2"/>
    <x v="3"/>
    <n v="395.62"/>
    <n v="311.23"/>
    <n v="3"/>
    <n v="1186.8600000000001"/>
    <n v="933.69"/>
    <n v="253.17000000000007"/>
    <n v="0.21331075274253075"/>
    <x v="6"/>
    <n v="253.17000000000007"/>
  </r>
  <r>
    <d v="2024-12-22T00:00:00"/>
    <x v="8"/>
    <x v="1"/>
    <x v="1"/>
    <n v="296.99"/>
    <n v="189.84"/>
    <n v="6"/>
    <n v="1781.94"/>
    <n v="1139.04"/>
    <n v="642.90000000000009"/>
    <n v="0.3607865584699822"/>
    <x v="23"/>
    <n v="642.90000000000009"/>
  </r>
  <r>
    <d v="2023-03-07T00:00:00"/>
    <x v="8"/>
    <x v="1"/>
    <x v="1"/>
    <n v="110.52"/>
    <n v="92.69"/>
    <n v="1"/>
    <n v="110.52"/>
    <n v="92.69"/>
    <n v="17.829999999999998"/>
    <n v="0.1613282663771263"/>
    <x v="19"/>
    <n v="17.829999999999998"/>
  </r>
  <r>
    <d v="2023-05-28T00:00:00"/>
    <x v="0"/>
    <x v="0"/>
    <x v="3"/>
    <n v="1208.32"/>
    <n v="850.84"/>
    <n v="5"/>
    <n v="6041.5999999999995"/>
    <n v="4254.2"/>
    <n v="1787.3999999999996"/>
    <n v="0.29584878177966101"/>
    <x v="31"/>
    <n v="1787.3999999999996"/>
  </r>
  <r>
    <d v="2023-10-03T00:00:00"/>
    <x v="4"/>
    <x v="2"/>
    <x v="3"/>
    <n v="1366.57"/>
    <n v="760.61"/>
    <n v="10"/>
    <n v="13665.699999999999"/>
    <n v="7606.1"/>
    <n v="6059.5999999999985"/>
    <n v="0.44341672947598726"/>
    <x v="5"/>
    <n v="6059.5999999999985"/>
  </r>
  <r>
    <d v="2023-10-11T00:00:00"/>
    <x v="3"/>
    <x v="2"/>
    <x v="3"/>
    <n v="1292.47"/>
    <n v="1008.37"/>
    <n v="2"/>
    <n v="2584.94"/>
    <n v="2016.74"/>
    <n v="568.20000000000005"/>
    <n v="0.21981167841419919"/>
    <x v="5"/>
    <n v="568.20000000000005"/>
  </r>
  <r>
    <d v="2024-10-17T00:00:00"/>
    <x v="0"/>
    <x v="0"/>
    <x v="3"/>
    <n v="431.99"/>
    <n v="373.02"/>
    <n v="7"/>
    <n v="3023.9300000000003"/>
    <n v="2611.14"/>
    <n v="412.79000000000042"/>
    <n v="0.13650778953216522"/>
    <x v="17"/>
    <n v="412.79000000000042"/>
  </r>
  <r>
    <d v="2023-11-07T00:00:00"/>
    <x v="4"/>
    <x v="2"/>
    <x v="2"/>
    <n v="1090.48"/>
    <n v="610.67999999999995"/>
    <n v="6"/>
    <n v="6542.88"/>
    <n v="3664.08"/>
    <n v="2878.8"/>
    <n v="0.43998972929352215"/>
    <x v="10"/>
    <n v="2878.8"/>
  </r>
  <r>
    <d v="2022-03-05T00:00:00"/>
    <x v="6"/>
    <x v="3"/>
    <x v="0"/>
    <n v="794.6"/>
    <n v="586.48"/>
    <n v="2"/>
    <n v="1589.2"/>
    <n v="1172.96"/>
    <n v="416.24"/>
    <n v="0.26191794613642083"/>
    <x v="7"/>
    <n v="416.24"/>
  </r>
  <r>
    <d v="2023-12-13T00:00:00"/>
    <x v="9"/>
    <x v="3"/>
    <x v="2"/>
    <n v="606.96"/>
    <n v="485.2"/>
    <n v="10"/>
    <n v="6069.6"/>
    <n v="4852"/>
    <n v="1217.6000000000004"/>
    <n v="0.20060630025042842"/>
    <x v="30"/>
    <n v="1217.6000000000004"/>
  </r>
  <r>
    <d v="2024-03-30T00:00:00"/>
    <x v="10"/>
    <x v="2"/>
    <x v="2"/>
    <n v="495.37"/>
    <n v="365.29"/>
    <n v="5"/>
    <n v="2476.85"/>
    <n v="1826.45"/>
    <n v="650.39999999999986"/>
    <n v="0.2625915981993257"/>
    <x v="29"/>
    <n v="650.39999999999986"/>
  </r>
  <r>
    <d v="2022-10-15T00:00:00"/>
    <x v="6"/>
    <x v="3"/>
    <x v="0"/>
    <n v="1461.31"/>
    <n v="1173.83"/>
    <n v="1"/>
    <n v="1461.31"/>
    <n v="1173.83"/>
    <n v="287.48"/>
    <n v="0.19672759373438903"/>
    <x v="25"/>
    <n v="287.48"/>
  </r>
  <r>
    <d v="2023-02-12T00:00:00"/>
    <x v="0"/>
    <x v="0"/>
    <x v="0"/>
    <n v="257.98"/>
    <n v="132.71"/>
    <n v="9"/>
    <n v="2321.8200000000002"/>
    <n v="1194.3900000000001"/>
    <n v="1127.43"/>
    <n v="0.48558027754089461"/>
    <x v="27"/>
    <n v="1127.43"/>
  </r>
  <r>
    <d v="2022-06-30T00:00:00"/>
    <x v="5"/>
    <x v="3"/>
    <x v="2"/>
    <n v="1472.23"/>
    <n v="767.14"/>
    <n v="4"/>
    <n v="5888.92"/>
    <n v="3068.56"/>
    <n v="2820.36"/>
    <n v="0.47892652642589817"/>
    <x v="18"/>
    <n v="2820.36"/>
  </r>
  <r>
    <d v="2022-04-07T00:00:00"/>
    <x v="0"/>
    <x v="0"/>
    <x v="3"/>
    <n v="1775.86"/>
    <n v="1588.25"/>
    <n v="4"/>
    <n v="7103.44"/>
    <n v="6353"/>
    <n v="750.4399999999996"/>
    <n v="0.10564458910049211"/>
    <x v="32"/>
    <n v="750.4399999999996"/>
  </r>
  <r>
    <d v="2022-06-07T00:00:00"/>
    <x v="1"/>
    <x v="1"/>
    <x v="0"/>
    <n v="1425.77"/>
    <n v="1243.18"/>
    <n v="2"/>
    <n v="2851.54"/>
    <n v="2486.36"/>
    <n v="365.17999999999984"/>
    <n v="0.1280641337663157"/>
    <x v="18"/>
    <n v="365.17999999999984"/>
  </r>
  <r>
    <d v="2024-10-28T00:00:00"/>
    <x v="6"/>
    <x v="3"/>
    <x v="0"/>
    <n v="857.76"/>
    <n v="468.72"/>
    <n v="6"/>
    <n v="5146.5599999999995"/>
    <n v="2812.32"/>
    <n v="2334.2399999999993"/>
    <n v="0.45355344152210397"/>
    <x v="17"/>
    <n v="2334.2399999999993"/>
  </r>
  <r>
    <d v="2023-03-08T00:00:00"/>
    <x v="6"/>
    <x v="3"/>
    <x v="1"/>
    <n v="868.88"/>
    <n v="713.61"/>
    <n v="7"/>
    <n v="6082.16"/>
    <n v="4995.2700000000004"/>
    <n v="1086.8899999999994"/>
    <n v="0.17870131663751027"/>
    <x v="19"/>
    <n v="1086.8899999999994"/>
  </r>
  <r>
    <d v="2024-11-06T00:00:00"/>
    <x v="2"/>
    <x v="0"/>
    <x v="3"/>
    <n v="1028.1300000000001"/>
    <n v="680.13"/>
    <n v="8"/>
    <n v="8225.0400000000009"/>
    <n v="5441.04"/>
    <n v="2784.0000000000009"/>
    <n v="0.33847859706457362"/>
    <x v="2"/>
    <n v="2784.0000000000009"/>
  </r>
  <r>
    <d v="2024-12-06T00:00:00"/>
    <x v="0"/>
    <x v="0"/>
    <x v="0"/>
    <n v="366.73"/>
    <n v="313.64999999999998"/>
    <n v="3"/>
    <n v="1100.19"/>
    <n v="940.94999999999993"/>
    <n v="159.24000000000012"/>
    <n v="0.14473863605377263"/>
    <x v="23"/>
    <n v="159.24000000000012"/>
  </r>
  <r>
    <d v="2024-04-18T00:00:00"/>
    <x v="8"/>
    <x v="1"/>
    <x v="3"/>
    <n v="1675.73"/>
    <n v="1055.52"/>
    <n v="5"/>
    <n v="8378.65"/>
    <n v="5277.6"/>
    <n v="3101.0499999999993"/>
    <n v="0.37011332374547207"/>
    <x v="22"/>
    <n v="3101.0499999999993"/>
  </r>
  <r>
    <d v="2022-07-25T00:00:00"/>
    <x v="2"/>
    <x v="0"/>
    <x v="2"/>
    <n v="820.06"/>
    <n v="643.55999999999995"/>
    <n v="8"/>
    <n v="6560.48"/>
    <n v="5148.4799999999996"/>
    <n v="1412"/>
    <n v="0.21522815403750947"/>
    <x v="8"/>
    <n v="1412"/>
  </r>
  <r>
    <d v="2022-04-24T00:00:00"/>
    <x v="10"/>
    <x v="2"/>
    <x v="3"/>
    <n v="497.3"/>
    <n v="434.13"/>
    <n v="3"/>
    <n v="1491.9"/>
    <n v="1302.3899999999999"/>
    <n v="189.51000000000022"/>
    <n v="0.12702594007641277"/>
    <x v="32"/>
    <n v="189.51000000000022"/>
  </r>
  <r>
    <d v="2023-04-28T00:00:00"/>
    <x v="3"/>
    <x v="2"/>
    <x v="1"/>
    <n v="130.9"/>
    <n v="73.98"/>
    <n v="6"/>
    <n v="785.40000000000009"/>
    <n v="443.88"/>
    <n v="341.5200000000001"/>
    <n v="0.43483575248281137"/>
    <x v="6"/>
    <n v="341.5200000000001"/>
  </r>
  <r>
    <d v="2023-12-12T00:00:00"/>
    <x v="7"/>
    <x v="0"/>
    <x v="2"/>
    <n v="1093.58"/>
    <n v="699.51"/>
    <n v="3"/>
    <n v="3280.74"/>
    <n v="2098.5299999999997"/>
    <n v="1182.21"/>
    <n v="0.36034857989356062"/>
    <x v="30"/>
    <n v="1182.21"/>
  </r>
  <r>
    <d v="2023-09-17T00:00:00"/>
    <x v="8"/>
    <x v="1"/>
    <x v="1"/>
    <n v="295.72000000000003"/>
    <n v="231.58"/>
    <n v="8"/>
    <n v="2365.7600000000002"/>
    <n v="1852.64"/>
    <n v="513.12000000000012"/>
    <n v="0.21689435952928449"/>
    <x v="24"/>
    <n v="513.12000000000012"/>
  </r>
  <r>
    <d v="2023-11-26T00:00:00"/>
    <x v="5"/>
    <x v="3"/>
    <x v="2"/>
    <n v="596.84"/>
    <n v="506.73"/>
    <n v="6"/>
    <n v="3581.04"/>
    <n v="3040.38"/>
    <n v="540.65999999999985"/>
    <n v="0.15097848669660208"/>
    <x v="10"/>
    <n v="540.65999999999985"/>
  </r>
  <r>
    <d v="2024-03-29T00:00:00"/>
    <x v="4"/>
    <x v="2"/>
    <x v="1"/>
    <n v="1618.94"/>
    <n v="818.05"/>
    <n v="4"/>
    <n v="6475.76"/>
    <n v="3272.2"/>
    <n v="3203.5600000000004"/>
    <n v="0.49470023595686069"/>
    <x v="29"/>
    <n v="3203.5600000000004"/>
  </r>
  <r>
    <d v="2024-12-18T00:00:00"/>
    <x v="3"/>
    <x v="2"/>
    <x v="1"/>
    <n v="580.71"/>
    <n v="320.18"/>
    <n v="7"/>
    <n v="4064.9700000000003"/>
    <n v="2241.2600000000002"/>
    <n v="1823.71"/>
    <n v="0.4486404573711491"/>
    <x v="23"/>
    <n v="1823.71"/>
  </r>
  <r>
    <d v="2022-06-15T00:00:00"/>
    <x v="6"/>
    <x v="3"/>
    <x v="3"/>
    <n v="258.3"/>
    <n v="229.75"/>
    <n v="7"/>
    <n v="1808.1000000000001"/>
    <n v="1608.25"/>
    <n v="199.85000000000014"/>
    <n v="0.11053039101819596"/>
    <x v="18"/>
    <n v="199.85000000000014"/>
  </r>
  <r>
    <d v="2022-11-13T00:00:00"/>
    <x v="1"/>
    <x v="1"/>
    <x v="1"/>
    <n v="1764.26"/>
    <n v="966.19"/>
    <n v="5"/>
    <n v="8821.2999999999993"/>
    <n v="4830.9500000000007"/>
    <n v="3990.3499999999985"/>
    <n v="0.4523539614342556"/>
    <x v="1"/>
    <n v="3990.3499999999985"/>
  </r>
  <r>
    <d v="2024-10-22T00:00:00"/>
    <x v="10"/>
    <x v="2"/>
    <x v="3"/>
    <n v="151.74"/>
    <n v="87.68"/>
    <n v="6"/>
    <n v="910.44"/>
    <n v="526.08000000000004"/>
    <n v="384.36"/>
    <n v="0.42216950046131541"/>
    <x v="17"/>
    <n v="384.36"/>
  </r>
  <r>
    <d v="2023-07-31T00:00:00"/>
    <x v="9"/>
    <x v="3"/>
    <x v="3"/>
    <n v="857.71"/>
    <n v="731.13"/>
    <n v="10"/>
    <n v="8577.1"/>
    <n v="7311.3"/>
    <n v="1265.8000000000002"/>
    <n v="0.14757901854939318"/>
    <x v="11"/>
    <n v="1265.8000000000002"/>
  </r>
  <r>
    <d v="2024-02-26T00:00:00"/>
    <x v="5"/>
    <x v="3"/>
    <x v="1"/>
    <n v="1104.31"/>
    <n v="928.96"/>
    <n v="5"/>
    <n v="5521.5499999999993"/>
    <n v="4644.8"/>
    <n v="876.74999999999909"/>
    <n v="0.15878693482808254"/>
    <x v="34"/>
    <n v="876.74999999999909"/>
  </r>
  <r>
    <d v="2023-03-08T00:00:00"/>
    <x v="8"/>
    <x v="1"/>
    <x v="0"/>
    <n v="1184"/>
    <n v="1027.8800000000001"/>
    <n v="5"/>
    <n v="5920"/>
    <n v="5139.4000000000005"/>
    <n v="780.59999999999945"/>
    <n v="0.13185810810810802"/>
    <x v="19"/>
    <n v="780.59999999999945"/>
  </r>
  <r>
    <d v="2023-06-01T00:00:00"/>
    <x v="8"/>
    <x v="1"/>
    <x v="3"/>
    <n v="495.24"/>
    <n v="337.88"/>
    <n v="2"/>
    <n v="990.48"/>
    <n v="675.76"/>
    <n v="314.72000000000003"/>
    <n v="0.31774493175026253"/>
    <x v="0"/>
    <n v="314.72000000000003"/>
  </r>
  <r>
    <d v="2024-08-28T00:00:00"/>
    <x v="0"/>
    <x v="0"/>
    <x v="2"/>
    <n v="914.12"/>
    <n v="720"/>
    <n v="3"/>
    <n v="2742.36"/>
    <n v="2160"/>
    <n v="582.36000000000013"/>
    <n v="0.21235723974970466"/>
    <x v="21"/>
    <n v="582.36000000000013"/>
  </r>
  <r>
    <d v="2024-09-14T00:00:00"/>
    <x v="5"/>
    <x v="3"/>
    <x v="3"/>
    <n v="1679.93"/>
    <n v="896.42"/>
    <n v="4"/>
    <n v="6719.72"/>
    <n v="3585.68"/>
    <n v="3134.0400000000004"/>
    <n v="0.46639443310137929"/>
    <x v="16"/>
    <n v="3134.0400000000004"/>
  </r>
  <r>
    <d v="2024-03-26T00:00:00"/>
    <x v="1"/>
    <x v="1"/>
    <x v="2"/>
    <n v="250.02"/>
    <n v="153.77000000000001"/>
    <n v="2"/>
    <n v="500.04"/>
    <n v="307.54000000000002"/>
    <n v="192.5"/>
    <n v="0.3849692024638029"/>
    <x v="29"/>
    <n v="192.5"/>
  </r>
  <r>
    <d v="2023-08-18T00:00:00"/>
    <x v="3"/>
    <x v="2"/>
    <x v="0"/>
    <n v="1064.3399999999999"/>
    <n v="754.69"/>
    <n v="9"/>
    <n v="9579.06"/>
    <n v="6792.2100000000009"/>
    <n v="2786.8499999999985"/>
    <n v="0.29093146926733926"/>
    <x v="14"/>
    <n v="2786.8499999999985"/>
  </r>
  <r>
    <d v="2022-03-22T00:00:00"/>
    <x v="3"/>
    <x v="2"/>
    <x v="0"/>
    <n v="909.52"/>
    <n v="808.92"/>
    <n v="3"/>
    <n v="2728.56"/>
    <n v="2426.7599999999998"/>
    <n v="301.80000000000018"/>
    <n v="0.11060779312164665"/>
    <x v="7"/>
    <n v="301.80000000000018"/>
  </r>
  <r>
    <d v="2024-10-04T00:00:00"/>
    <x v="7"/>
    <x v="0"/>
    <x v="1"/>
    <n v="1171.55"/>
    <n v="708.24"/>
    <n v="4"/>
    <n v="4686.2"/>
    <n v="2832.96"/>
    <n v="1853.2399999999998"/>
    <n v="0.3954675429985916"/>
    <x v="17"/>
    <n v="1853.2399999999998"/>
  </r>
  <r>
    <d v="2023-07-22T00:00:00"/>
    <x v="2"/>
    <x v="0"/>
    <x v="3"/>
    <n v="1138.5999999999999"/>
    <n v="740.16"/>
    <n v="5"/>
    <n v="5693"/>
    <n v="3700.7999999999997"/>
    <n v="1992.2000000000003"/>
    <n v="0.34993852099069039"/>
    <x v="11"/>
    <n v="1992.2000000000003"/>
  </r>
  <r>
    <d v="2022-09-30T00:00:00"/>
    <x v="10"/>
    <x v="2"/>
    <x v="2"/>
    <n v="1001.45"/>
    <n v="694.69"/>
    <n v="4"/>
    <n v="4005.8"/>
    <n v="2778.76"/>
    <n v="1227.04"/>
    <n v="0.30631584202905782"/>
    <x v="12"/>
    <n v="1227.04"/>
  </r>
  <r>
    <d v="2022-01-14T00:00:00"/>
    <x v="4"/>
    <x v="2"/>
    <x v="0"/>
    <n v="1870.78"/>
    <n v="1280.54"/>
    <n v="3"/>
    <n v="5612.34"/>
    <n v="3841.62"/>
    <n v="1770.7200000000003"/>
    <n v="0.31550476271929362"/>
    <x v="9"/>
    <n v="1770.7200000000003"/>
  </r>
  <r>
    <d v="2023-12-31T00:00:00"/>
    <x v="4"/>
    <x v="2"/>
    <x v="0"/>
    <n v="410.78"/>
    <n v="282.32"/>
    <n v="2"/>
    <n v="821.56"/>
    <n v="564.64"/>
    <n v="256.91999999999996"/>
    <n v="0.31272213837090412"/>
    <x v="30"/>
    <n v="256.91999999999996"/>
  </r>
  <r>
    <d v="2022-10-18T00:00:00"/>
    <x v="5"/>
    <x v="3"/>
    <x v="2"/>
    <n v="383.85"/>
    <n v="305.02999999999997"/>
    <n v="8"/>
    <n v="3070.8"/>
    <n v="2440.2399999999998"/>
    <n v="630.5600000000004"/>
    <n v="0.20534062784942048"/>
    <x v="25"/>
    <n v="630.5600000000004"/>
  </r>
  <r>
    <d v="2022-05-16T00:00:00"/>
    <x v="5"/>
    <x v="3"/>
    <x v="2"/>
    <n v="1744.32"/>
    <n v="1351.05"/>
    <n v="2"/>
    <n v="3488.64"/>
    <n v="2702.1"/>
    <n v="786.54"/>
    <n v="0.22545748486516234"/>
    <x v="35"/>
    <n v="786.54"/>
  </r>
  <r>
    <d v="2024-12-02T00:00:00"/>
    <x v="2"/>
    <x v="0"/>
    <x v="2"/>
    <n v="1345.71"/>
    <n v="911.21"/>
    <n v="7"/>
    <n v="9419.9700000000012"/>
    <n v="6378.47"/>
    <n v="3041.5000000000009"/>
    <n v="0.32287788602299161"/>
    <x v="23"/>
    <n v="3041.5000000000009"/>
  </r>
  <r>
    <d v="2024-10-23T00:00:00"/>
    <x v="3"/>
    <x v="2"/>
    <x v="1"/>
    <n v="299.18"/>
    <n v="151.66999999999999"/>
    <n v="7"/>
    <n v="2094.2600000000002"/>
    <n v="1061.6899999999998"/>
    <n v="1032.5700000000004"/>
    <n v="0.49304766361387808"/>
    <x v="17"/>
    <n v="1032.5700000000004"/>
  </r>
  <r>
    <d v="2022-10-15T00:00:00"/>
    <x v="4"/>
    <x v="2"/>
    <x v="1"/>
    <n v="716.08"/>
    <n v="625.69000000000005"/>
    <n v="8"/>
    <n v="5728.64"/>
    <n v="5005.5200000000004"/>
    <n v="723.11999999999989"/>
    <n v="0.12622891297061778"/>
    <x v="25"/>
    <n v="723.11999999999989"/>
  </r>
  <r>
    <d v="2022-08-25T00:00:00"/>
    <x v="5"/>
    <x v="3"/>
    <x v="1"/>
    <n v="1586.97"/>
    <n v="1111.6199999999999"/>
    <n v="4"/>
    <n v="6347.88"/>
    <n v="4446.4799999999996"/>
    <n v="1901.4000000000005"/>
    <n v="0.29953307245883676"/>
    <x v="15"/>
    <n v="1901.4000000000005"/>
  </r>
  <r>
    <d v="2024-11-26T00:00:00"/>
    <x v="6"/>
    <x v="3"/>
    <x v="0"/>
    <n v="808.05"/>
    <n v="639.17999999999995"/>
    <n v="6"/>
    <n v="4848.2999999999993"/>
    <n v="3835.08"/>
    <n v="1013.2199999999993"/>
    <n v="0.20898459253759039"/>
    <x v="2"/>
    <n v="1013.2199999999993"/>
  </r>
  <r>
    <d v="2022-11-17T00:00:00"/>
    <x v="2"/>
    <x v="0"/>
    <x v="0"/>
    <n v="1967.71"/>
    <n v="1262.1400000000001"/>
    <n v="3"/>
    <n v="5903.13"/>
    <n v="3786.42"/>
    <n v="2116.71"/>
    <n v="0.35857418013833336"/>
    <x v="1"/>
    <n v="2116.71"/>
  </r>
  <r>
    <d v="2023-04-08T00:00:00"/>
    <x v="2"/>
    <x v="0"/>
    <x v="0"/>
    <n v="1328.9"/>
    <n v="973.82"/>
    <n v="8"/>
    <n v="10631.2"/>
    <n v="7790.56"/>
    <n v="2840.6400000000003"/>
    <n v="0.26719843479569572"/>
    <x v="6"/>
    <n v="2840.6400000000003"/>
  </r>
  <r>
    <d v="2022-05-20T00:00:00"/>
    <x v="7"/>
    <x v="0"/>
    <x v="0"/>
    <n v="447.35"/>
    <n v="226.78"/>
    <n v="9"/>
    <n v="4026.15"/>
    <n v="2041.02"/>
    <n v="1985.13"/>
    <n v="0.4930591259640103"/>
    <x v="35"/>
    <n v="1985.13"/>
  </r>
  <r>
    <d v="2024-09-10T00:00:00"/>
    <x v="3"/>
    <x v="2"/>
    <x v="1"/>
    <n v="690.03"/>
    <n v="527.38"/>
    <n v="1"/>
    <n v="690.03"/>
    <n v="527.38"/>
    <n v="162.64999999999998"/>
    <n v="0.23571438922945376"/>
    <x v="16"/>
    <n v="162.64999999999998"/>
  </r>
  <r>
    <d v="2023-05-27T00:00:00"/>
    <x v="4"/>
    <x v="2"/>
    <x v="0"/>
    <n v="1942.75"/>
    <n v="1404.79"/>
    <n v="10"/>
    <n v="19427.5"/>
    <n v="14047.9"/>
    <n v="5379.6"/>
    <n v="0.27690644704671213"/>
    <x v="31"/>
    <n v="5379.6"/>
  </r>
  <r>
    <d v="2024-08-05T00:00:00"/>
    <x v="9"/>
    <x v="3"/>
    <x v="0"/>
    <n v="336.06"/>
    <n v="294.54000000000002"/>
    <n v="5"/>
    <n v="1680.3"/>
    <n v="1472.7"/>
    <n v="207.59999999999991"/>
    <n v="0.12354936618460984"/>
    <x v="21"/>
    <n v="207.59999999999991"/>
  </r>
  <r>
    <d v="2023-12-01T00:00:00"/>
    <x v="8"/>
    <x v="1"/>
    <x v="3"/>
    <n v="1326.12"/>
    <n v="765.92"/>
    <n v="2"/>
    <n v="2652.24"/>
    <n v="1531.84"/>
    <n v="1120.3999999999999"/>
    <n v="0.42243537538081016"/>
    <x v="30"/>
    <n v="1120.3999999999999"/>
  </r>
  <r>
    <d v="2024-03-26T00:00:00"/>
    <x v="1"/>
    <x v="1"/>
    <x v="3"/>
    <n v="184.55"/>
    <n v="150.97999999999999"/>
    <n v="8"/>
    <n v="1476.4"/>
    <n v="1207.8399999999999"/>
    <n v="268.56000000000017"/>
    <n v="0.18190192359794105"/>
    <x v="29"/>
    <n v="268.56000000000017"/>
  </r>
  <r>
    <d v="2022-03-05T00:00:00"/>
    <x v="8"/>
    <x v="1"/>
    <x v="2"/>
    <n v="369.48"/>
    <n v="222.85"/>
    <n v="7"/>
    <n v="2586.36"/>
    <n v="1559.95"/>
    <n v="1026.4100000000001"/>
    <n v="0.39685503951499407"/>
    <x v="7"/>
    <n v="1026.4100000000001"/>
  </r>
  <r>
    <d v="2023-12-27T00:00:00"/>
    <x v="2"/>
    <x v="0"/>
    <x v="1"/>
    <n v="624.49"/>
    <n v="414.06"/>
    <n v="1"/>
    <n v="624.49"/>
    <n v="414.06"/>
    <n v="210.43"/>
    <n v="0.3369629617768099"/>
    <x v="30"/>
    <n v="210.43"/>
  </r>
  <r>
    <d v="2022-10-31T00:00:00"/>
    <x v="4"/>
    <x v="2"/>
    <x v="3"/>
    <n v="904.03"/>
    <n v="753.77"/>
    <n v="8"/>
    <n v="7232.24"/>
    <n v="6030.16"/>
    <n v="1202.08"/>
    <n v="0.16621129829762285"/>
    <x v="25"/>
    <n v="1202.08"/>
  </r>
  <r>
    <d v="2023-03-19T00:00:00"/>
    <x v="3"/>
    <x v="2"/>
    <x v="2"/>
    <n v="1807.47"/>
    <n v="961.6"/>
    <n v="9"/>
    <n v="16267.23"/>
    <n v="8654.4"/>
    <n v="7612.83"/>
    <n v="0.46798563738263982"/>
    <x v="19"/>
    <n v="7612.83"/>
  </r>
  <r>
    <d v="2022-08-22T00:00:00"/>
    <x v="5"/>
    <x v="3"/>
    <x v="2"/>
    <n v="628.02"/>
    <n v="445.95"/>
    <n v="5"/>
    <n v="3140.1"/>
    <n v="2229.75"/>
    <n v="910.34999999999991"/>
    <n v="0.28991114932645456"/>
    <x v="15"/>
    <n v="910.34999999999991"/>
  </r>
  <r>
    <d v="2024-02-19T00:00:00"/>
    <x v="3"/>
    <x v="2"/>
    <x v="3"/>
    <n v="1341.5"/>
    <n v="902.23"/>
    <n v="9"/>
    <n v="12073.5"/>
    <n v="8120.07"/>
    <n v="3953.4300000000003"/>
    <n v="0.32744688781215059"/>
    <x v="34"/>
    <n v="3953.4300000000003"/>
  </r>
  <r>
    <d v="2024-02-16T00:00:00"/>
    <x v="4"/>
    <x v="2"/>
    <x v="0"/>
    <n v="1608.32"/>
    <n v="1250.02"/>
    <n v="2"/>
    <n v="3216.64"/>
    <n v="2500.04"/>
    <n v="716.59999999999991"/>
    <n v="0.22277904894548348"/>
    <x v="34"/>
    <n v="716.59999999999991"/>
  </r>
  <r>
    <d v="2023-02-08T00:00:00"/>
    <x v="8"/>
    <x v="1"/>
    <x v="3"/>
    <n v="1945.21"/>
    <n v="1148.0999999999999"/>
    <n v="2"/>
    <n v="3890.42"/>
    <n v="2296.1999999999998"/>
    <n v="1594.2200000000003"/>
    <n v="0.4097809491006113"/>
    <x v="27"/>
    <n v="1594.2200000000003"/>
  </r>
  <r>
    <d v="2023-02-19T00:00:00"/>
    <x v="5"/>
    <x v="3"/>
    <x v="1"/>
    <n v="1697.38"/>
    <n v="1227.42"/>
    <n v="3"/>
    <n v="5092.1400000000003"/>
    <n v="3682.26"/>
    <n v="1409.88"/>
    <n v="0.27687377016342835"/>
    <x v="27"/>
    <n v="1409.88"/>
  </r>
  <r>
    <d v="2024-04-23T00:00:00"/>
    <x v="7"/>
    <x v="0"/>
    <x v="1"/>
    <n v="388.3"/>
    <n v="321.54000000000002"/>
    <n v="3"/>
    <n v="1164.9000000000001"/>
    <n v="964.62000000000012"/>
    <n v="200.27999999999997"/>
    <n v="0.17192892093741949"/>
    <x v="22"/>
    <n v="200.27999999999997"/>
  </r>
  <r>
    <d v="2023-03-31T00:00:00"/>
    <x v="1"/>
    <x v="1"/>
    <x v="0"/>
    <n v="1591.53"/>
    <n v="1313.07"/>
    <n v="7"/>
    <n v="11140.71"/>
    <n v="9191.49"/>
    <n v="1949.2199999999993"/>
    <n v="0.17496371416184422"/>
    <x v="19"/>
    <n v="1949.2199999999993"/>
  </r>
  <r>
    <d v="2024-11-13T00:00:00"/>
    <x v="2"/>
    <x v="0"/>
    <x v="1"/>
    <n v="463.16"/>
    <n v="400.39"/>
    <n v="4"/>
    <n v="1852.64"/>
    <n v="1601.56"/>
    <n v="251.08000000000015"/>
    <n v="0.13552552033854398"/>
    <x v="2"/>
    <n v="251.08000000000015"/>
  </r>
  <r>
    <d v="2023-12-19T00:00:00"/>
    <x v="2"/>
    <x v="0"/>
    <x v="2"/>
    <n v="1555.38"/>
    <n v="1318.83"/>
    <n v="5"/>
    <n v="7776.9000000000005"/>
    <n v="6594.15"/>
    <n v="1182.7500000000009"/>
    <n v="0.15208502102380136"/>
    <x v="30"/>
    <n v="1182.7500000000009"/>
  </r>
  <r>
    <d v="2023-03-13T00:00:00"/>
    <x v="3"/>
    <x v="2"/>
    <x v="1"/>
    <n v="693.47"/>
    <n v="358.16"/>
    <n v="1"/>
    <n v="693.47"/>
    <n v="358.16"/>
    <n v="335.31"/>
    <n v="0.48352488211458317"/>
    <x v="19"/>
    <n v="335.31"/>
  </r>
  <r>
    <d v="2023-04-19T00:00:00"/>
    <x v="5"/>
    <x v="3"/>
    <x v="0"/>
    <n v="370.16"/>
    <n v="216.94"/>
    <n v="2"/>
    <n v="740.32"/>
    <n v="433.88"/>
    <n v="306.44000000000005"/>
    <n v="0.41392911173546582"/>
    <x v="6"/>
    <n v="306.44000000000005"/>
  </r>
  <r>
    <d v="2022-07-17T00:00:00"/>
    <x v="0"/>
    <x v="0"/>
    <x v="2"/>
    <n v="1915.76"/>
    <n v="1131.58"/>
    <n v="3"/>
    <n v="5747.28"/>
    <n v="3394.74"/>
    <n v="2352.54"/>
    <n v="0.40933102267507415"/>
    <x v="8"/>
    <n v="2352.54"/>
  </r>
  <r>
    <d v="2022-06-11T00:00:00"/>
    <x v="5"/>
    <x v="3"/>
    <x v="3"/>
    <n v="1885.14"/>
    <n v="1658.38"/>
    <n v="2"/>
    <n v="3770.28"/>
    <n v="3316.76"/>
    <n v="453.52"/>
    <n v="0.12028814836033397"/>
    <x v="18"/>
    <n v="453.52"/>
  </r>
  <r>
    <d v="2022-10-30T00:00:00"/>
    <x v="6"/>
    <x v="3"/>
    <x v="0"/>
    <n v="1194.67"/>
    <n v="919.83"/>
    <n v="7"/>
    <n v="8362.69"/>
    <n v="6438.81"/>
    <n v="1923.88"/>
    <n v="0.23005516167644621"/>
    <x v="25"/>
    <n v="1923.88"/>
  </r>
  <r>
    <d v="2024-06-04T00:00:00"/>
    <x v="1"/>
    <x v="1"/>
    <x v="0"/>
    <n v="1149.03"/>
    <n v="715.52"/>
    <n v="7"/>
    <n v="8043.21"/>
    <n v="5008.6399999999994"/>
    <n v="3034.5700000000006"/>
    <n v="0.37728344777769085"/>
    <x v="4"/>
    <n v="3034.5700000000006"/>
  </r>
  <r>
    <d v="2022-11-10T00:00:00"/>
    <x v="3"/>
    <x v="2"/>
    <x v="2"/>
    <n v="807.16"/>
    <n v="470.29"/>
    <n v="7"/>
    <n v="5650.12"/>
    <n v="3292.03"/>
    <n v="2358.0899999999997"/>
    <n v="0.41735219782942656"/>
    <x v="1"/>
    <n v="2358.0899999999997"/>
  </r>
  <r>
    <d v="2022-11-16T00:00:00"/>
    <x v="3"/>
    <x v="2"/>
    <x v="2"/>
    <n v="1388.77"/>
    <n v="828.47"/>
    <n v="9"/>
    <n v="12498.93"/>
    <n v="7456.2300000000005"/>
    <n v="5042.7"/>
    <n v="0.40345053536582731"/>
    <x v="1"/>
    <n v="5042.7"/>
  </r>
  <r>
    <d v="2024-10-01T00:00:00"/>
    <x v="6"/>
    <x v="3"/>
    <x v="2"/>
    <n v="21.24"/>
    <n v="10.98"/>
    <n v="5"/>
    <n v="106.19999999999999"/>
    <n v="54.900000000000006"/>
    <n v="51.299999999999983"/>
    <n v="0.483050847457627"/>
    <x v="17"/>
    <n v="51.299999999999983"/>
  </r>
  <r>
    <d v="2022-09-01T00:00:00"/>
    <x v="5"/>
    <x v="3"/>
    <x v="0"/>
    <n v="327.27999999999997"/>
    <n v="180.58"/>
    <n v="9"/>
    <n v="2945.5199999999995"/>
    <n v="1625.22"/>
    <n v="1320.2999999999995"/>
    <n v="0.44824003911024191"/>
    <x v="12"/>
    <n v="1320.2999999999995"/>
  </r>
  <r>
    <d v="2022-03-28T00:00:00"/>
    <x v="9"/>
    <x v="3"/>
    <x v="3"/>
    <n v="900.2"/>
    <n v="596.09"/>
    <n v="2"/>
    <n v="1800.4"/>
    <n v="1192.18"/>
    <n v="608.22"/>
    <n v="0.33782492779382362"/>
    <x v="7"/>
    <n v="608.22"/>
  </r>
  <r>
    <d v="2023-12-07T00:00:00"/>
    <x v="4"/>
    <x v="2"/>
    <x v="3"/>
    <n v="147.59"/>
    <n v="81.31"/>
    <n v="2"/>
    <n v="295.18"/>
    <n v="162.62"/>
    <n v="132.56"/>
    <n v="0.44908191611897824"/>
    <x v="30"/>
    <n v="132.56"/>
  </r>
  <r>
    <d v="2024-04-05T00:00:00"/>
    <x v="9"/>
    <x v="3"/>
    <x v="3"/>
    <n v="259.44"/>
    <n v="204.39"/>
    <n v="6"/>
    <n v="1556.6399999999999"/>
    <n v="1226.3399999999999"/>
    <n v="330.29999999999995"/>
    <n v="0.21218778908418129"/>
    <x v="22"/>
    <n v="330.29999999999995"/>
  </r>
  <r>
    <d v="2023-10-19T00:00:00"/>
    <x v="10"/>
    <x v="2"/>
    <x v="1"/>
    <n v="1663.78"/>
    <n v="1118.95"/>
    <n v="8"/>
    <n v="13310.24"/>
    <n v="8951.6"/>
    <n v="4358.6399999999994"/>
    <n v="0.32746516967387512"/>
    <x v="5"/>
    <n v="4358.6399999999994"/>
  </r>
  <r>
    <d v="2023-06-06T00:00:00"/>
    <x v="1"/>
    <x v="1"/>
    <x v="2"/>
    <n v="879.13"/>
    <n v="505.02"/>
    <n v="4"/>
    <n v="3516.52"/>
    <n v="2020.08"/>
    <n v="1496.44"/>
    <n v="0.42554570996325913"/>
    <x v="0"/>
    <n v="1496.44"/>
  </r>
  <r>
    <d v="2023-06-06T00:00:00"/>
    <x v="8"/>
    <x v="1"/>
    <x v="0"/>
    <n v="1804.16"/>
    <n v="1081.47"/>
    <n v="9"/>
    <n v="16237.44"/>
    <n v="9733.23"/>
    <n v="6504.2100000000009"/>
    <n v="0.40056868570415044"/>
    <x v="0"/>
    <n v="6504.2100000000009"/>
  </r>
  <r>
    <d v="2022-04-20T00:00:00"/>
    <x v="4"/>
    <x v="2"/>
    <x v="3"/>
    <n v="322.22000000000003"/>
    <n v="170.51"/>
    <n v="6"/>
    <n v="1933.3200000000002"/>
    <n v="1023.06"/>
    <n v="910.26000000000022"/>
    <n v="0.47082738501644844"/>
    <x v="32"/>
    <n v="910.26000000000022"/>
  </r>
  <r>
    <d v="2022-02-13T00:00:00"/>
    <x v="2"/>
    <x v="0"/>
    <x v="0"/>
    <n v="1562.52"/>
    <n v="802.07"/>
    <n v="5"/>
    <n v="7812.6"/>
    <n v="4010.3500000000004"/>
    <n v="3802.25"/>
    <n v="0.48668177047333794"/>
    <x v="20"/>
    <n v="3802.25"/>
  </r>
  <r>
    <d v="2023-07-22T00:00:00"/>
    <x v="1"/>
    <x v="1"/>
    <x v="1"/>
    <n v="504.29"/>
    <n v="377.89"/>
    <n v="2"/>
    <n v="1008.58"/>
    <n v="755.78"/>
    <n v="252.80000000000007"/>
    <n v="0.25064942790854472"/>
    <x v="11"/>
    <n v="252.80000000000007"/>
  </r>
  <r>
    <d v="2024-07-13T00:00:00"/>
    <x v="5"/>
    <x v="3"/>
    <x v="0"/>
    <n v="378.01"/>
    <n v="286.54000000000002"/>
    <n v="8"/>
    <n v="3024.08"/>
    <n v="2292.3200000000002"/>
    <n v="731.75999999999976"/>
    <n v="0.24197772545699842"/>
    <x v="28"/>
    <n v="731.75999999999976"/>
  </r>
  <r>
    <d v="2024-10-13T00:00:00"/>
    <x v="7"/>
    <x v="0"/>
    <x v="3"/>
    <n v="1461.31"/>
    <n v="1261.07"/>
    <n v="8"/>
    <n v="11690.48"/>
    <n v="10088.56"/>
    <n v="1601.92"/>
    <n v="0.13702773538811067"/>
    <x v="17"/>
    <n v="1601.92"/>
  </r>
  <r>
    <d v="2024-10-27T00:00:00"/>
    <x v="6"/>
    <x v="3"/>
    <x v="2"/>
    <n v="712.09"/>
    <n v="552.78"/>
    <n v="10"/>
    <n v="7120.9000000000005"/>
    <n v="5527.7999999999993"/>
    <n v="1593.1000000000013"/>
    <n v="0.22372172056902936"/>
    <x v="17"/>
    <n v="1593.1000000000013"/>
  </r>
  <r>
    <d v="2024-12-31T00:00:00"/>
    <x v="9"/>
    <x v="3"/>
    <x v="2"/>
    <n v="1419.7"/>
    <n v="776.01"/>
    <n v="2"/>
    <n v="2839.4"/>
    <n v="1552.02"/>
    <n v="1287.3800000000001"/>
    <n v="0.45339860533915616"/>
    <x v="23"/>
    <n v="1287.3800000000001"/>
  </r>
  <r>
    <d v="2022-11-29T00:00:00"/>
    <x v="8"/>
    <x v="1"/>
    <x v="0"/>
    <n v="151.35"/>
    <n v="108.65"/>
    <n v="3"/>
    <n v="454.04999999999995"/>
    <n v="325.95000000000005"/>
    <n v="128.09999999999991"/>
    <n v="0.28212751899570515"/>
    <x v="1"/>
    <n v="128.09999999999991"/>
  </r>
  <r>
    <d v="2022-04-30T00:00:00"/>
    <x v="7"/>
    <x v="0"/>
    <x v="2"/>
    <n v="1594.09"/>
    <n v="1326.35"/>
    <n v="9"/>
    <n v="14346.81"/>
    <n v="11937.15"/>
    <n v="2409.66"/>
    <n v="0.16795789447270856"/>
    <x v="32"/>
    <n v="2409.66"/>
  </r>
  <r>
    <d v="2023-10-25T00:00:00"/>
    <x v="2"/>
    <x v="0"/>
    <x v="3"/>
    <n v="306.27999999999997"/>
    <n v="251.68"/>
    <n v="2"/>
    <n v="612.55999999999995"/>
    <n v="503.36"/>
    <n v="109.19999999999993"/>
    <n v="0.17826825127334456"/>
    <x v="5"/>
    <n v="109.19999999999993"/>
  </r>
  <r>
    <d v="2022-04-27T00:00:00"/>
    <x v="5"/>
    <x v="3"/>
    <x v="2"/>
    <n v="415.22"/>
    <n v="305.02"/>
    <n v="10"/>
    <n v="4152.2000000000007"/>
    <n v="3050.2"/>
    <n v="1102.0000000000009"/>
    <n v="0.26540147391744151"/>
    <x v="32"/>
    <n v="1102.0000000000009"/>
  </r>
  <r>
    <d v="2023-02-09T00:00:00"/>
    <x v="0"/>
    <x v="0"/>
    <x v="1"/>
    <n v="1746.78"/>
    <n v="1314.21"/>
    <n v="6"/>
    <n v="10480.68"/>
    <n v="7885.26"/>
    <n v="2595.42"/>
    <n v="0.24763851200494624"/>
    <x v="27"/>
    <n v="2595.42"/>
  </r>
  <r>
    <d v="2022-05-18T00:00:00"/>
    <x v="8"/>
    <x v="1"/>
    <x v="1"/>
    <n v="65.27"/>
    <n v="48.59"/>
    <n v="7"/>
    <n v="456.89"/>
    <n v="340.13"/>
    <n v="116.75999999999999"/>
    <n v="0.25555385322506508"/>
    <x v="35"/>
    <n v="116.75999999999999"/>
  </r>
  <r>
    <d v="2024-11-29T00:00:00"/>
    <x v="5"/>
    <x v="3"/>
    <x v="1"/>
    <n v="1594.08"/>
    <n v="1372.72"/>
    <n v="2"/>
    <n v="3188.16"/>
    <n v="2745.44"/>
    <n v="442.7199999999998"/>
    <n v="0.1388637960453678"/>
    <x v="2"/>
    <n v="442.7199999999998"/>
  </r>
  <r>
    <d v="2023-08-24T00:00:00"/>
    <x v="8"/>
    <x v="1"/>
    <x v="0"/>
    <n v="1387.25"/>
    <n v="950.03"/>
    <n v="3"/>
    <n v="4161.75"/>
    <n v="2850.09"/>
    <n v="1311.6599999999999"/>
    <n v="0.31517030095512699"/>
    <x v="14"/>
    <n v="1311.6599999999999"/>
  </r>
  <r>
    <d v="2023-12-18T00:00:00"/>
    <x v="8"/>
    <x v="1"/>
    <x v="2"/>
    <n v="219.87"/>
    <n v="193.82"/>
    <n v="10"/>
    <n v="2198.6999999999998"/>
    <n v="1938.1999999999998"/>
    <n v="260.5"/>
    <n v="0.11847910128712422"/>
    <x v="30"/>
    <n v="260.5"/>
  </r>
  <r>
    <d v="2022-11-02T00:00:00"/>
    <x v="0"/>
    <x v="0"/>
    <x v="0"/>
    <n v="1519.58"/>
    <n v="1063.75"/>
    <n v="4"/>
    <n v="6078.32"/>
    <n v="4255"/>
    <n v="1823.3199999999997"/>
    <n v="0.29997104463075319"/>
    <x v="1"/>
    <n v="1823.3199999999997"/>
  </r>
  <r>
    <d v="2022-03-24T00:00:00"/>
    <x v="0"/>
    <x v="0"/>
    <x v="0"/>
    <n v="1970.32"/>
    <n v="1394.89"/>
    <n v="6"/>
    <n v="11821.92"/>
    <n v="8369.34"/>
    <n v="3452.58"/>
    <n v="0.29204900726785493"/>
    <x v="7"/>
    <n v="3452.58"/>
  </r>
  <r>
    <d v="2024-09-12T00:00:00"/>
    <x v="5"/>
    <x v="3"/>
    <x v="2"/>
    <n v="855.1"/>
    <n v="607.79"/>
    <n v="4"/>
    <n v="3420.4"/>
    <n v="2431.16"/>
    <n v="989.24000000000024"/>
    <n v="0.28921763536428496"/>
    <x v="16"/>
    <n v="989.24000000000024"/>
  </r>
  <r>
    <d v="2022-10-10T00:00:00"/>
    <x v="4"/>
    <x v="2"/>
    <x v="3"/>
    <n v="693.07"/>
    <n v="395.61"/>
    <n v="6"/>
    <n v="4158.42"/>
    <n v="2373.66"/>
    <n v="1784.7600000000002"/>
    <n v="0.42919185652242925"/>
    <x v="25"/>
    <n v="1784.7600000000002"/>
  </r>
  <r>
    <d v="2022-04-19T00:00:00"/>
    <x v="5"/>
    <x v="3"/>
    <x v="2"/>
    <n v="1771.1"/>
    <n v="1478.04"/>
    <n v="8"/>
    <n v="14168.8"/>
    <n v="11824.32"/>
    <n v="2344.4799999999996"/>
    <n v="0.16546778838010273"/>
    <x v="32"/>
    <n v="2344.4799999999996"/>
  </r>
  <r>
    <d v="2023-05-15T00:00:00"/>
    <x v="1"/>
    <x v="1"/>
    <x v="2"/>
    <n v="1036.1500000000001"/>
    <n v="533.62"/>
    <n v="3"/>
    <n v="3108.4500000000003"/>
    <n v="1600.8600000000001"/>
    <n v="1507.5900000000001"/>
    <n v="0.48499734594412008"/>
    <x v="31"/>
    <n v="1507.5900000000001"/>
  </r>
  <r>
    <d v="2024-11-15T00:00:00"/>
    <x v="0"/>
    <x v="0"/>
    <x v="1"/>
    <n v="20.58"/>
    <n v="12.28"/>
    <n v="10"/>
    <n v="205.79999999999998"/>
    <n v="122.8"/>
    <n v="82.999999999999986"/>
    <n v="0.40330417881438285"/>
    <x v="2"/>
    <n v="82.999999999999986"/>
  </r>
  <r>
    <d v="2024-01-22T00:00:00"/>
    <x v="8"/>
    <x v="1"/>
    <x v="0"/>
    <n v="1356.21"/>
    <n v="983.46"/>
    <n v="4"/>
    <n v="5424.84"/>
    <n v="3933.84"/>
    <n v="1491"/>
    <n v="0.27484681575862147"/>
    <x v="26"/>
    <n v="1491"/>
  </r>
  <r>
    <d v="2022-12-24T00:00:00"/>
    <x v="4"/>
    <x v="2"/>
    <x v="2"/>
    <n v="857.54"/>
    <n v="748.31"/>
    <n v="3"/>
    <n v="2572.62"/>
    <n v="2244.9299999999998"/>
    <n v="327.69000000000005"/>
    <n v="0.12737598246145956"/>
    <x v="33"/>
    <n v="327.69000000000005"/>
  </r>
  <r>
    <d v="2022-01-25T00:00:00"/>
    <x v="1"/>
    <x v="1"/>
    <x v="3"/>
    <n v="1114.55"/>
    <n v="793.12"/>
    <n v="6"/>
    <n v="6687.2999999999993"/>
    <n v="4758.72"/>
    <n v="1928.579999999999"/>
    <n v="0.28839441927235193"/>
    <x v="9"/>
    <n v="1928.579999999999"/>
  </r>
  <r>
    <d v="2024-10-06T00:00:00"/>
    <x v="4"/>
    <x v="2"/>
    <x v="2"/>
    <n v="741.17"/>
    <n v="654.28"/>
    <n v="5"/>
    <n v="3705.85"/>
    <n v="3271.3999999999996"/>
    <n v="434.45000000000027"/>
    <n v="0.11723356315015457"/>
    <x v="17"/>
    <n v="434.45000000000027"/>
  </r>
  <r>
    <d v="2023-04-25T00:00:00"/>
    <x v="2"/>
    <x v="0"/>
    <x v="2"/>
    <n v="658.24"/>
    <n v="430.76"/>
    <n v="7"/>
    <n v="4607.68"/>
    <n v="3015.3199999999997"/>
    <n v="1592.3600000000006"/>
    <n v="0.34558823529411775"/>
    <x v="6"/>
    <n v="1592.3600000000006"/>
  </r>
  <r>
    <d v="2024-03-05T00:00:00"/>
    <x v="2"/>
    <x v="0"/>
    <x v="3"/>
    <n v="1800.04"/>
    <n v="1575.48"/>
    <n v="9"/>
    <n v="16200.36"/>
    <n v="14179.32"/>
    <n v="2021.0400000000009"/>
    <n v="0.12475278327148291"/>
    <x v="29"/>
    <n v="2021.0400000000009"/>
  </r>
  <r>
    <d v="2022-03-22T00:00:00"/>
    <x v="4"/>
    <x v="2"/>
    <x v="2"/>
    <n v="1245.6400000000001"/>
    <n v="656.55"/>
    <n v="2"/>
    <n v="2491.2800000000002"/>
    <n v="1313.1"/>
    <n v="1178.1800000000003"/>
    <n v="0.47292155036768257"/>
    <x v="7"/>
    <n v="1178.1800000000003"/>
  </r>
  <r>
    <d v="2022-05-18T00:00:00"/>
    <x v="7"/>
    <x v="0"/>
    <x v="0"/>
    <n v="206.45"/>
    <n v="142.72999999999999"/>
    <n v="3"/>
    <n v="619.34999999999991"/>
    <n v="428.18999999999994"/>
    <n v="191.15999999999997"/>
    <n v="0.30864616129813516"/>
    <x v="35"/>
    <n v="191.15999999999997"/>
  </r>
  <r>
    <d v="2023-10-14T00:00:00"/>
    <x v="9"/>
    <x v="3"/>
    <x v="1"/>
    <n v="1312.97"/>
    <n v="1001.89"/>
    <n v="6"/>
    <n v="7877.82"/>
    <n v="6011.34"/>
    <n v="1866.4799999999996"/>
    <n v="0.236928490369163"/>
    <x v="5"/>
    <n v="1866.4799999999996"/>
  </r>
  <r>
    <d v="2024-01-30T00:00:00"/>
    <x v="7"/>
    <x v="0"/>
    <x v="0"/>
    <n v="1429.75"/>
    <n v="1128.49"/>
    <n v="1"/>
    <n v="1429.75"/>
    <n v="1128.49"/>
    <n v="301.26"/>
    <n v="0.2107081657632453"/>
    <x v="26"/>
    <n v="301.26"/>
  </r>
  <r>
    <d v="2023-10-18T00:00:00"/>
    <x v="2"/>
    <x v="0"/>
    <x v="3"/>
    <n v="1322.85"/>
    <n v="989.81"/>
    <n v="3"/>
    <n v="3968.5499999999997"/>
    <n v="2969.43"/>
    <n v="999.11999999999989"/>
    <n v="0.25175945874437766"/>
    <x v="5"/>
    <n v="999.11999999999989"/>
  </r>
  <r>
    <d v="2024-09-20T00:00:00"/>
    <x v="5"/>
    <x v="3"/>
    <x v="1"/>
    <n v="127.72"/>
    <n v="114.25"/>
    <n v="4"/>
    <n v="510.88"/>
    <n v="457"/>
    <n v="53.879999999999995"/>
    <n v="0.10546507986219855"/>
    <x v="16"/>
    <n v="53.879999999999995"/>
  </r>
  <r>
    <d v="2024-04-02T00:00:00"/>
    <x v="6"/>
    <x v="3"/>
    <x v="1"/>
    <n v="326.77"/>
    <n v="249.49"/>
    <n v="8"/>
    <n v="2614.16"/>
    <n v="1995.92"/>
    <n v="618.23999999999978"/>
    <n v="0.23649661841662326"/>
    <x v="22"/>
    <n v="618.23999999999978"/>
  </r>
  <r>
    <d v="2023-08-23T00:00:00"/>
    <x v="4"/>
    <x v="2"/>
    <x v="3"/>
    <n v="1523.17"/>
    <n v="898.77"/>
    <n v="2"/>
    <n v="3046.34"/>
    <n v="1797.54"/>
    <n v="1248.8000000000002"/>
    <n v="0.40993454440410465"/>
    <x v="14"/>
    <n v="1248.8000000000002"/>
  </r>
  <r>
    <d v="2024-12-16T00:00:00"/>
    <x v="4"/>
    <x v="2"/>
    <x v="2"/>
    <n v="1910.92"/>
    <n v="1417.72"/>
    <n v="10"/>
    <n v="19109.2"/>
    <n v="14177.2"/>
    <n v="4932"/>
    <n v="0.25809557699956043"/>
    <x v="23"/>
    <n v="4932"/>
  </r>
  <r>
    <d v="2023-12-20T00:00:00"/>
    <x v="5"/>
    <x v="3"/>
    <x v="0"/>
    <n v="582.13"/>
    <n v="319.39"/>
    <n v="7"/>
    <n v="4074.91"/>
    <n v="2235.73"/>
    <n v="1839.1799999999998"/>
    <n v="0.45134248363767543"/>
    <x v="30"/>
    <n v="1839.1799999999998"/>
  </r>
  <r>
    <d v="2023-02-01T00:00:00"/>
    <x v="5"/>
    <x v="3"/>
    <x v="1"/>
    <n v="1436.72"/>
    <n v="721.13"/>
    <n v="5"/>
    <n v="7183.6"/>
    <n v="3605.65"/>
    <n v="3577.9500000000003"/>
    <n v="0.49807199732724539"/>
    <x v="27"/>
    <n v="3577.9500000000003"/>
  </r>
  <r>
    <d v="2024-08-15T00:00:00"/>
    <x v="2"/>
    <x v="0"/>
    <x v="2"/>
    <n v="1754.95"/>
    <n v="999.24"/>
    <n v="8"/>
    <n v="14039.6"/>
    <n v="7993.92"/>
    <n v="6045.68"/>
    <n v="0.4306162568734152"/>
    <x v="21"/>
    <n v="6045.68"/>
  </r>
  <r>
    <d v="2024-04-22T00:00:00"/>
    <x v="4"/>
    <x v="2"/>
    <x v="3"/>
    <n v="711.09"/>
    <n v="501.03"/>
    <n v="4"/>
    <n v="2844.36"/>
    <n v="2004.12"/>
    <n v="840.24000000000024"/>
    <n v="0.29540564485508169"/>
    <x v="22"/>
    <n v="840.24000000000024"/>
  </r>
  <r>
    <d v="2022-03-21T00:00:00"/>
    <x v="3"/>
    <x v="2"/>
    <x v="2"/>
    <n v="1567.11"/>
    <n v="943.38"/>
    <n v="5"/>
    <n v="7835.5499999999993"/>
    <n v="4716.8999999999996"/>
    <n v="3118.6499999999996"/>
    <n v="0.39801290273178014"/>
    <x v="7"/>
    <n v="3118.6499999999996"/>
  </r>
  <r>
    <d v="2024-08-09T00:00:00"/>
    <x v="9"/>
    <x v="3"/>
    <x v="0"/>
    <n v="396.61"/>
    <n v="297.48"/>
    <n v="1"/>
    <n v="396.61"/>
    <n v="297.48"/>
    <n v="99.13"/>
    <n v="0.24994326920652529"/>
    <x v="21"/>
    <n v="99.13"/>
  </r>
  <r>
    <d v="2023-03-13T00:00:00"/>
    <x v="1"/>
    <x v="1"/>
    <x v="0"/>
    <n v="101.67"/>
    <n v="56.31"/>
    <n v="1"/>
    <n v="101.67"/>
    <n v="56.31"/>
    <n v="45.36"/>
    <n v="0.44614930658011209"/>
    <x v="19"/>
    <n v="45.36"/>
  </r>
  <r>
    <d v="2023-02-06T00:00:00"/>
    <x v="7"/>
    <x v="0"/>
    <x v="3"/>
    <n v="1419.64"/>
    <n v="722.04"/>
    <n v="9"/>
    <n v="12776.76"/>
    <n v="6498.36"/>
    <n v="6278.4000000000005"/>
    <n v="0.49139218393395512"/>
    <x v="27"/>
    <n v="6278.4000000000005"/>
  </r>
  <r>
    <d v="2024-04-23T00:00:00"/>
    <x v="2"/>
    <x v="0"/>
    <x v="1"/>
    <n v="1311.75"/>
    <n v="1008.82"/>
    <n v="10"/>
    <n v="13117.5"/>
    <n v="10088.200000000001"/>
    <n v="3029.2999999999993"/>
    <n v="0.23093577282256522"/>
    <x v="22"/>
    <n v="3029.2999999999993"/>
  </r>
  <r>
    <d v="2023-11-07T00:00:00"/>
    <x v="9"/>
    <x v="3"/>
    <x v="1"/>
    <n v="1679.22"/>
    <n v="1485.17"/>
    <n v="7"/>
    <n v="11754.54"/>
    <n v="10396.19"/>
    <n v="1358.3500000000004"/>
    <n v="0.11555960505472782"/>
    <x v="10"/>
    <n v="1358.3500000000004"/>
  </r>
  <r>
    <d v="2024-11-17T00:00:00"/>
    <x v="1"/>
    <x v="1"/>
    <x v="2"/>
    <n v="1860.27"/>
    <n v="1612.47"/>
    <n v="2"/>
    <n v="3720.54"/>
    <n v="3224.94"/>
    <n v="495.59999999999991"/>
    <n v="0.13320647002854422"/>
    <x v="2"/>
    <n v="495.59999999999991"/>
  </r>
  <r>
    <d v="2022-05-14T00:00:00"/>
    <x v="0"/>
    <x v="0"/>
    <x v="2"/>
    <n v="1582.6"/>
    <n v="1416.49"/>
    <n v="2"/>
    <n v="3165.2"/>
    <n v="2832.98"/>
    <n v="332.2199999999998"/>
    <n v="0.10496019208896747"/>
    <x v="35"/>
    <n v="332.2199999999998"/>
  </r>
  <r>
    <d v="2023-02-25T00:00:00"/>
    <x v="5"/>
    <x v="3"/>
    <x v="1"/>
    <n v="109.77"/>
    <n v="69.09"/>
    <n v="10"/>
    <n v="1097.7"/>
    <n v="690.90000000000009"/>
    <n v="406.79999999999995"/>
    <n v="0.37059305821262634"/>
    <x v="27"/>
    <n v="406.79999999999995"/>
  </r>
  <r>
    <d v="2023-01-26T00:00:00"/>
    <x v="1"/>
    <x v="1"/>
    <x v="3"/>
    <n v="310.26"/>
    <n v="166.85"/>
    <n v="6"/>
    <n v="1861.56"/>
    <n v="1001.0999999999999"/>
    <n v="860.46"/>
    <n v="0.46222523045187908"/>
    <x v="13"/>
    <n v="860.46"/>
  </r>
  <r>
    <d v="2023-09-18T00:00:00"/>
    <x v="6"/>
    <x v="3"/>
    <x v="2"/>
    <n v="875.88"/>
    <n v="511.88"/>
    <n v="9"/>
    <n v="7882.92"/>
    <n v="4606.92"/>
    <n v="3276"/>
    <n v="0.41558204320226516"/>
    <x v="24"/>
    <n v="3276"/>
  </r>
  <r>
    <d v="2022-03-08T00:00:00"/>
    <x v="9"/>
    <x v="3"/>
    <x v="0"/>
    <n v="682.52"/>
    <n v="395.32"/>
    <n v="6"/>
    <n v="4095.12"/>
    <n v="2371.92"/>
    <n v="1723.1999999999998"/>
    <n v="0.42079352985993079"/>
    <x v="7"/>
    <n v="1723.1999999999998"/>
  </r>
  <r>
    <d v="2023-10-28T00:00:00"/>
    <x v="1"/>
    <x v="1"/>
    <x v="3"/>
    <n v="1548.32"/>
    <n v="1136.53"/>
    <n v="1"/>
    <n v="1548.32"/>
    <n v="1136.53"/>
    <n v="411.78999999999996"/>
    <n v="0.26595923323344012"/>
    <x v="5"/>
    <n v="411.78999999999996"/>
  </r>
  <r>
    <d v="2022-08-06T00:00:00"/>
    <x v="4"/>
    <x v="2"/>
    <x v="2"/>
    <n v="673.68"/>
    <n v="454.26"/>
    <n v="10"/>
    <n v="6736.7999999999993"/>
    <n v="4542.6000000000004"/>
    <n v="2194.1999999999989"/>
    <n v="0.32570359814748828"/>
    <x v="15"/>
    <n v="2194.1999999999989"/>
  </r>
  <r>
    <d v="2023-05-13T00:00:00"/>
    <x v="3"/>
    <x v="2"/>
    <x v="2"/>
    <n v="689.14"/>
    <n v="464.55"/>
    <n v="4"/>
    <n v="2756.56"/>
    <n v="1858.2"/>
    <n v="898.3599999999999"/>
    <n v="0.32589894651304524"/>
    <x v="31"/>
    <n v="898.3599999999999"/>
  </r>
  <r>
    <d v="2024-01-30T00:00:00"/>
    <x v="7"/>
    <x v="0"/>
    <x v="2"/>
    <n v="221.74"/>
    <n v="179.21"/>
    <n v="8"/>
    <n v="1773.92"/>
    <n v="1433.68"/>
    <n v="340.24"/>
    <n v="0.19180120862271127"/>
    <x v="26"/>
    <n v="340.24"/>
  </r>
  <r>
    <d v="2022-08-29T00:00:00"/>
    <x v="0"/>
    <x v="0"/>
    <x v="3"/>
    <n v="1969.75"/>
    <n v="1016.69"/>
    <n v="3"/>
    <n v="5909.25"/>
    <n v="3050.07"/>
    <n v="2859.18"/>
    <n v="0.48384820408681301"/>
    <x v="15"/>
    <n v="2859.18"/>
  </r>
  <r>
    <d v="2022-08-04T00:00:00"/>
    <x v="1"/>
    <x v="1"/>
    <x v="1"/>
    <n v="466.18"/>
    <n v="407.42"/>
    <n v="5"/>
    <n v="2330.9"/>
    <n v="2037.1000000000001"/>
    <n v="293.79999999999995"/>
    <n v="0.12604573340769656"/>
    <x v="15"/>
    <n v="293.79999999999995"/>
  </r>
  <r>
    <d v="2024-06-06T00:00:00"/>
    <x v="9"/>
    <x v="3"/>
    <x v="2"/>
    <n v="864.05"/>
    <n v="565.85"/>
    <n v="5"/>
    <n v="4320.25"/>
    <n v="2829.25"/>
    <n v="1491"/>
    <n v="0.34511891672935596"/>
    <x v="4"/>
    <n v="1491"/>
  </r>
  <r>
    <d v="2024-05-18T00:00:00"/>
    <x v="0"/>
    <x v="0"/>
    <x v="2"/>
    <n v="903.41"/>
    <n v="478.91"/>
    <n v="2"/>
    <n v="1806.82"/>
    <n v="957.82"/>
    <n v="848.99999999999989"/>
    <n v="0.46988631961125066"/>
    <x v="3"/>
    <n v="848.99999999999989"/>
  </r>
  <r>
    <d v="2022-09-29T00:00:00"/>
    <x v="9"/>
    <x v="3"/>
    <x v="1"/>
    <n v="52.16"/>
    <n v="33.15"/>
    <n v="2"/>
    <n v="104.32"/>
    <n v="66.3"/>
    <n v="38.019999999999996"/>
    <n v="0.36445552147239263"/>
    <x v="12"/>
    <n v="38.019999999999996"/>
  </r>
  <r>
    <d v="2024-04-07T00:00:00"/>
    <x v="5"/>
    <x v="3"/>
    <x v="0"/>
    <n v="1763.13"/>
    <n v="1352.47"/>
    <n v="5"/>
    <n v="8815.6500000000015"/>
    <n v="6762.35"/>
    <n v="2053.3000000000011"/>
    <n v="0.23291532672009446"/>
    <x v="22"/>
    <n v="2053.3000000000011"/>
  </r>
  <r>
    <d v="2023-06-10T00:00:00"/>
    <x v="6"/>
    <x v="3"/>
    <x v="0"/>
    <n v="202.75"/>
    <n v="174.47"/>
    <n v="6"/>
    <n v="1216.5"/>
    <n v="1046.82"/>
    <n v="169.68000000000006"/>
    <n v="0.13948212083847109"/>
    <x v="0"/>
    <n v="169.68000000000006"/>
  </r>
  <r>
    <d v="2023-01-22T00:00:00"/>
    <x v="2"/>
    <x v="0"/>
    <x v="1"/>
    <n v="1129.1600000000001"/>
    <n v="981.3"/>
    <n v="1"/>
    <n v="1129.1600000000001"/>
    <n v="981.3"/>
    <n v="147.86000000000013"/>
    <n v="0.13094689857947511"/>
    <x v="13"/>
    <n v="147.86000000000013"/>
  </r>
  <r>
    <d v="2022-07-09T00:00:00"/>
    <x v="10"/>
    <x v="2"/>
    <x v="1"/>
    <n v="1033.0999999999999"/>
    <n v="721.29"/>
    <n v="5"/>
    <n v="5165.5"/>
    <n v="3606.45"/>
    <n v="1559.0500000000002"/>
    <n v="0.30181976575355729"/>
    <x v="8"/>
    <n v="1559.0500000000002"/>
  </r>
  <r>
    <d v="2023-06-27T00:00:00"/>
    <x v="0"/>
    <x v="0"/>
    <x v="2"/>
    <n v="854.64"/>
    <n v="668.66"/>
    <n v="1"/>
    <n v="854.64"/>
    <n v="668.66"/>
    <n v="185.98000000000002"/>
    <n v="0.21761209398109149"/>
    <x v="0"/>
    <n v="185.98000000000002"/>
  </r>
  <r>
    <d v="2022-08-23T00:00:00"/>
    <x v="2"/>
    <x v="0"/>
    <x v="3"/>
    <n v="1230.94"/>
    <n v="1073.5"/>
    <n v="3"/>
    <n v="3692.82"/>
    <n v="3220.5"/>
    <n v="472.32000000000016"/>
    <n v="0.12790225356231827"/>
    <x v="15"/>
    <n v="472.32000000000016"/>
  </r>
  <r>
    <d v="2022-05-02T00:00:00"/>
    <x v="4"/>
    <x v="2"/>
    <x v="1"/>
    <n v="1352.58"/>
    <n v="1085.5999999999999"/>
    <n v="2"/>
    <n v="2705.16"/>
    <n v="2171.1999999999998"/>
    <n v="533.96"/>
    <n v="0.19738573688802144"/>
    <x v="35"/>
    <n v="533.96"/>
  </r>
  <r>
    <d v="2022-06-14T00:00:00"/>
    <x v="10"/>
    <x v="2"/>
    <x v="0"/>
    <n v="294.63"/>
    <n v="152.97"/>
    <n v="2"/>
    <n v="589.26"/>
    <n v="305.94"/>
    <n v="283.32"/>
    <n v="0.48080643518989918"/>
    <x v="18"/>
    <n v="283.32"/>
  </r>
  <r>
    <d v="2022-07-15T00:00:00"/>
    <x v="1"/>
    <x v="1"/>
    <x v="2"/>
    <n v="1180.1099999999999"/>
    <n v="1053.6400000000001"/>
    <n v="5"/>
    <n v="5900.5499999999993"/>
    <n v="5268.2000000000007"/>
    <n v="632.34999999999854"/>
    <n v="0.10716797586665626"/>
    <x v="8"/>
    <n v="632.34999999999854"/>
  </r>
  <r>
    <d v="2024-08-31T00:00:00"/>
    <x v="9"/>
    <x v="3"/>
    <x v="3"/>
    <n v="71.44"/>
    <n v="41.37"/>
    <n v="9"/>
    <n v="642.96"/>
    <n v="372.33"/>
    <n v="270.63000000000005"/>
    <n v="0.42091265397536398"/>
    <x v="21"/>
    <n v="270.63000000000005"/>
  </r>
  <r>
    <d v="2023-05-09T00:00:00"/>
    <x v="2"/>
    <x v="0"/>
    <x v="2"/>
    <n v="1530.1"/>
    <n v="1293.83"/>
    <n v="8"/>
    <n v="12240.8"/>
    <n v="10350.64"/>
    <n v="1890.1599999999999"/>
    <n v="0.15441474413437031"/>
    <x v="31"/>
    <n v="1890.1599999999999"/>
  </r>
  <r>
    <d v="2023-06-11T00:00:00"/>
    <x v="0"/>
    <x v="0"/>
    <x v="3"/>
    <n v="251.51"/>
    <n v="208"/>
    <n v="1"/>
    <n v="251.51"/>
    <n v="208"/>
    <n v="43.509999999999991"/>
    <n v="0.17299510953838809"/>
    <x v="0"/>
    <n v="43.509999999999991"/>
  </r>
  <r>
    <d v="2023-06-23T00:00:00"/>
    <x v="3"/>
    <x v="2"/>
    <x v="2"/>
    <n v="673.45"/>
    <n v="439.64"/>
    <n v="7"/>
    <n v="4714.1500000000005"/>
    <n v="3077.48"/>
    <n v="1636.6700000000005"/>
    <n v="0.34718241888781654"/>
    <x v="0"/>
    <n v="1636.6700000000005"/>
  </r>
  <r>
    <d v="2022-05-11T00:00:00"/>
    <x v="4"/>
    <x v="2"/>
    <x v="0"/>
    <n v="1702.84"/>
    <n v="1290.3900000000001"/>
    <n v="4"/>
    <n v="6811.36"/>
    <n v="5161.5600000000004"/>
    <n v="1649.7999999999993"/>
    <n v="0.24221300885579375"/>
    <x v="35"/>
    <n v="1649.7999999999993"/>
  </r>
  <r>
    <d v="2023-08-03T00:00:00"/>
    <x v="5"/>
    <x v="3"/>
    <x v="0"/>
    <n v="452.17"/>
    <n v="335.1"/>
    <n v="1"/>
    <n v="452.17"/>
    <n v="335.1"/>
    <n v="117.07"/>
    <n v="0.25890704823407124"/>
    <x v="14"/>
    <n v="117.07"/>
  </r>
  <r>
    <d v="2024-03-24T00:00:00"/>
    <x v="0"/>
    <x v="0"/>
    <x v="0"/>
    <n v="1824.28"/>
    <n v="1622.36"/>
    <n v="5"/>
    <n v="9121.4"/>
    <n v="8111.7999999999993"/>
    <n v="1009.6000000000004"/>
    <n v="0.11068476330387883"/>
    <x v="29"/>
    <n v="1009.6000000000004"/>
  </r>
  <r>
    <d v="2022-11-01T00:00:00"/>
    <x v="1"/>
    <x v="1"/>
    <x v="2"/>
    <n v="940.8"/>
    <n v="826.46"/>
    <n v="6"/>
    <n v="5644.7999999999993"/>
    <n v="4958.76"/>
    <n v="686.03999999999905"/>
    <n v="0.12153486394557808"/>
    <x v="1"/>
    <n v="686.03999999999905"/>
  </r>
  <r>
    <d v="2024-09-28T00:00:00"/>
    <x v="2"/>
    <x v="0"/>
    <x v="1"/>
    <n v="1588.04"/>
    <n v="1214.47"/>
    <n v="2"/>
    <n v="3176.08"/>
    <n v="2428.94"/>
    <n v="747.13999999999987"/>
    <n v="0.23523966650714084"/>
    <x v="16"/>
    <n v="747.13999999999987"/>
  </r>
  <r>
    <d v="2023-04-03T00:00:00"/>
    <x v="2"/>
    <x v="0"/>
    <x v="0"/>
    <n v="1565.78"/>
    <n v="918.84"/>
    <n v="5"/>
    <n v="7828.9"/>
    <n v="4594.2"/>
    <n v="3234.7"/>
    <n v="0.4131742645837857"/>
    <x v="6"/>
    <n v="3234.7"/>
  </r>
  <r>
    <d v="2023-03-21T00:00:00"/>
    <x v="6"/>
    <x v="3"/>
    <x v="1"/>
    <n v="1409.56"/>
    <n v="766.08"/>
    <n v="4"/>
    <n v="5638.24"/>
    <n v="3064.32"/>
    <n v="2573.9199999999996"/>
    <n v="0.45651125173813101"/>
    <x v="19"/>
    <n v="2573.9199999999996"/>
  </r>
  <r>
    <d v="2024-01-14T00:00:00"/>
    <x v="9"/>
    <x v="3"/>
    <x v="2"/>
    <n v="1155.4000000000001"/>
    <n v="648.33000000000004"/>
    <n v="6"/>
    <n v="6932.4000000000005"/>
    <n v="3889.9800000000005"/>
    <n v="3042.42"/>
    <n v="0.43886965553055218"/>
    <x v="26"/>
    <n v="3042.42"/>
  </r>
  <r>
    <d v="2022-10-10T00:00:00"/>
    <x v="7"/>
    <x v="0"/>
    <x v="3"/>
    <n v="280.33999999999997"/>
    <n v="242.19"/>
    <n v="7"/>
    <n v="1962.3799999999999"/>
    <n v="1695.33"/>
    <n v="267.04999999999995"/>
    <n v="0.13608475422701005"/>
    <x v="25"/>
    <n v="267.04999999999995"/>
  </r>
  <r>
    <d v="2022-05-22T00:00:00"/>
    <x v="3"/>
    <x v="2"/>
    <x v="0"/>
    <n v="870.13"/>
    <n v="609.67999999999995"/>
    <n v="7"/>
    <n v="6090.91"/>
    <n v="4267.7599999999993"/>
    <n v="1823.1500000000005"/>
    <n v="0.29932308965327031"/>
    <x v="35"/>
    <n v="1823.1500000000005"/>
  </r>
  <r>
    <d v="2024-11-27T00:00:00"/>
    <x v="6"/>
    <x v="3"/>
    <x v="1"/>
    <n v="1999.62"/>
    <n v="1026.07"/>
    <n v="6"/>
    <n v="11997.72"/>
    <n v="6156.42"/>
    <n v="5841.2999999999993"/>
    <n v="0.4868675048259169"/>
    <x v="2"/>
    <n v="5841.2999999999993"/>
  </r>
  <r>
    <d v="2023-05-31T00:00:00"/>
    <x v="2"/>
    <x v="0"/>
    <x v="3"/>
    <n v="1959.06"/>
    <n v="1623.59"/>
    <n v="5"/>
    <n v="9795.2999999999993"/>
    <n v="8117.95"/>
    <n v="1677.3499999999995"/>
    <n v="0.17124028870989144"/>
    <x v="31"/>
    <n v="1677.3499999999995"/>
  </r>
  <r>
    <d v="2023-11-02T00:00:00"/>
    <x v="9"/>
    <x v="3"/>
    <x v="0"/>
    <n v="1350.69"/>
    <n v="782.69"/>
    <n v="4"/>
    <n v="5402.76"/>
    <n v="3130.76"/>
    <n v="2272"/>
    <n v="0.42052580532912803"/>
    <x v="10"/>
    <n v="2272"/>
  </r>
  <r>
    <d v="2024-08-31T00:00:00"/>
    <x v="5"/>
    <x v="3"/>
    <x v="0"/>
    <n v="72.239999999999995"/>
    <n v="49.78"/>
    <n v="5"/>
    <n v="361.2"/>
    <n v="248.9"/>
    <n v="112.29999999999998"/>
    <n v="0.31090808416389809"/>
    <x v="21"/>
    <n v="112.29999999999998"/>
  </r>
  <r>
    <d v="2024-06-27T00:00:00"/>
    <x v="1"/>
    <x v="1"/>
    <x v="3"/>
    <n v="1573.99"/>
    <n v="987.83"/>
    <n v="2"/>
    <n v="3147.98"/>
    <n v="1975.66"/>
    <n v="1172.32"/>
    <n v="0.37240389074898822"/>
    <x v="4"/>
    <n v="1172.32"/>
  </r>
  <r>
    <d v="2023-06-02T00:00:00"/>
    <x v="3"/>
    <x v="2"/>
    <x v="3"/>
    <n v="382.42"/>
    <n v="327.77"/>
    <n v="3"/>
    <n v="1147.26"/>
    <n v="983.31"/>
    <n v="163.95000000000005"/>
    <n v="0.14290570576852679"/>
    <x v="0"/>
    <n v="163.95000000000005"/>
  </r>
  <r>
    <d v="2022-07-12T00:00:00"/>
    <x v="10"/>
    <x v="2"/>
    <x v="0"/>
    <n v="189.94"/>
    <n v="102.19"/>
    <n v="10"/>
    <n v="1899.4"/>
    <n v="1021.9"/>
    <n v="877.50000000000011"/>
    <n v="0.46198799620932929"/>
    <x v="8"/>
    <n v="877.50000000000011"/>
  </r>
  <r>
    <d v="2024-08-26T00:00:00"/>
    <x v="7"/>
    <x v="0"/>
    <x v="2"/>
    <n v="1572.1"/>
    <n v="1341.06"/>
    <n v="8"/>
    <n v="12576.8"/>
    <n v="10728.48"/>
    <n v="1848.3199999999997"/>
    <n v="0.14696266140830735"/>
    <x v="21"/>
    <n v="1848.3199999999997"/>
  </r>
  <r>
    <d v="2022-08-05T00:00:00"/>
    <x v="6"/>
    <x v="3"/>
    <x v="3"/>
    <n v="563.97"/>
    <n v="488.52"/>
    <n v="9"/>
    <n v="5075.7300000000005"/>
    <n v="4396.68"/>
    <n v="679.05000000000018"/>
    <n v="0.13378371189956914"/>
    <x v="15"/>
    <n v="679.05000000000018"/>
  </r>
  <r>
    <d v="2023-10-27T00:00:00"/>
    <x v="0"/>
    <x v="0"/>
    <x v="1"/>
    <n v="1697.16"/>
    <n v="880.25"/>
    <n v="1"/>
    <n v="1697.16"/>
    <n v="880.25"/>
    <n v="816.91000000000008"/>
    <n v="0.48133941407999248"/>
    <x v="5"/>
    <n v="816.91000000000008"/>
  </r>
  <r>
    <d v="2023-02-11T00:00:00"/>
    <x v="10"/>
    <x v="2"/>
    <x v="1"/>
    <n v="1130.51"/>
    <n v="966.45"/>
    <n v="5"/>
    <n v="5652.55"/>
    <n v="4832.25"/>
    <n v="820.30000000000018"/>
    <n v="0.14512034391557796"/>
    <x v="27"/>
    <n v="820.30000000000018"/>
  </r>
  <r>
    <d v="2022-06-24T00:00:00"/>
    <x v="8"/>
    <x v="1"/>
    <x v="0"/>
    <n v="560.53"/>
    <n v="493.64"/>
    <n v="5"/>
    <n v="2802.6499999999996"/>
    <n v="2468.1999999999998"/>
    <n v="334.44999999999982"/>
    <n v="0.11933348794890546"/>
    <x v="18"/>
    <n v="334.44999999999982"/>
  </r>
  <r>
    <d v="2022-07-26T00:00:00"/>
    <x v="2"/>
    <x v="0"/>
    <x v="0"/>
    <n v="1717.31"/>
    <n v="1217.77"/>
    <n v="5"/>
    <n v="8586.5499999999993"/>
    <n v="6088.85"/>
    <n v="2497.6999999999989"/>
    <n v="0.29088516342419241"/>
    <x v="8"/>
    <n v="2497.6999999999989"/>
  </r>
  <r>
    <d v="2023-12-28T00:00:00"/>
    <x v="1"/>
    <x v="1"/>
    <x v="1"/>
    <n v="519.5"/>
    <n v="262.72000000000003"/>
    <n v="1"/>
    <n v="519.5"/>
    <n v="262.72000000000003"/>
    <n v="256.77999999999997"/>
    <n v="0.49428296438883534"/>
    <x v="30"/>
    <n v="256.77999999999997"/>
  </r>
  <r>
    <d v="2022-01-05T00:00:00"/>
    <x v="9"/>
    <x v="3"/>
    <x v="3"/>
    <n v="1026.8800000000001"/>
    <n v="830.61"/>
    <n v="1"/>
    <n v="1026.8800000000001"/>
    <n v="830.61"/>
    <n v="196.2700000000001"/>
    <n v="0.19113236210657533"/>
    <x v="9"/>
    <n v="196.2700000000001"/>
  </r>
  <r>
    <d v="2023-07-05T00:00:00"/>
    <x v="1"/>
    <x v="1"/>
    <x v="0"/>
    <n v="1190.3900000000001"/>
    <n v="819.74"/>
    <n v="8"/>
    <n v="9523.1200000000008"/>
    <n v="6557.92"/>
    <n v="2965.2000000000007"/>
    <n v="0.31136854308251921"/>
    <x v="11"/>
    <n v="2965.2000000000007"/>
  </r>
  <r>
    <d v="2022-05-06T00:00:00"/>
    <x v="3"/>
    <x v="2"/>
    <x v="0"/>
    <n v="1963.72"/>
    <n v="1477.72"/>
    <n v="3"/>
    <n v="5891.16"/>
    <n v="4433.16"/>
    <n v="1458"/>
    <n v="0.24748945878231113"/>
    <x v="35"/>
    <n v="1458"/>
  </r>
  <r>
    <d v="2023-06-23T00:00:00"/>
    <x v="9"/>
    <x v="3"/>
    <x v="2"/>
    <n v="552.99"/>
    <n v="388.21"/>
    <n v="7"/>
    <n v="3870.9300000000003"/>
    <n v="2717.47"/>
    <n v="1153.4600000000005"/>
    <n v="0.29798007197236848"/>
    <x v="0"/>
    <n v="1153.4600000000005"/>
  </r>
  <r>
    <d v="2024-01-21T00:00:00"/>
    <x v="1"/>
    <x v="1"/>
    <x v="0"/>
    <n v="832.11"/>
    <n v="672.82"/>
    <n v="5"/>
    <n v="4160.55"/>
    <n v="3364.1000000000004"/>
    <n v="796.44999999999982"/>
    <n v="0.1914290177981276"/>
    <x v="26"/>
    <n v="796.44999999999982"/>
  </r>
  <r>
    <d v="2023-07-26T00:00:00"/>
    <x v="4"/>
    <x v="2"/>
    <x v="3"/>
    <n v="532.20000000000005"/>
    <n v="371.3"/>
    <n v="6"/>
    <n v="3193.2000000000003"/>
    <n v="2227.8000000000002"/>
    <n v="965.40000000000009"/>
    <n v="0.30232995114618566"/>
    <x v="11"/>
    <n v="965.40000000000009"/>
  </r>
  <r>
    <d v="2023-09-10T00:00:00"/>
    <x v="7"/>
    <x v="0"/>
    <x v="1"/>
    <n v="1379.96"/>
    <n v="720.1"/>
    <n v="10"/>
    <n v="13799.6"/>
    <n v="7201"/>
    <n v="6598.6"/>
    <n v="0.47817328038493873"/>
    <x v="24"/>
    <n v="6598.6"/>
  </r>
  <r>
    <d v="2022-02-15T00:00:00"/>
    <x v="0"/>
    <x v="0"/>
    <x v="1"/>
    <n v="176.41"/>
    <n v="105.7"/>
    <n v="2"/>
    <n v="352.82"/>
    <n v="211.4"/>
    <n v="141.41999999999999"/>
    <n v="0.40082761748200213"/>
    <x v="20"/>
    <n v="141.41999999999999"/>
  </r>
  <r>
    <d v="2024-10-17T00:00:00"/>
    <x v="9"/>
    <x v="3"/>
    <x v="2"/>
    <n v="1764.66"/>
    <n v="1000.16"/>
    <n v="6"/>
    <n v="10587.960000000001"/>
    <n v="6000.96"/>
    <n v="4587.0000000000009"/>
    <n v="0.43322793059286213"/>
    <x v="17"/>
    <n v="4587.0000000000009"/>
  </r>
  <r>
    <d v="2024-07-17T00:00:00"/>
    <x v="2"/>
    <x v="0"/>
    <x v="0"/>
    <n v="469.29"/>
    <n v="385.73"/>
    <n v="4"/>
    <n v="1877.16"/>
    <n v="1542.92"/>
    <n v="334.24"/>
    <n v="0.17805621257644527"/>
    <x v="28"/>
    <n v="334.24"/>
  </r>
  <r>
    <d v="2022-08-20T00:00:00"/>
    <x v="8"/>
    <x v="1"/>
    <x v="3"/>
    <n v="201.66"/>
    <n v="155.80000000000001"/>
    <n v="6"/>
    <n v="1209.96"/>
    <n v="934.80000000000007"/>
    <n v="275.15999999999997"/>
    <n v="0.2274124764455023"/>
    <x v="15"/>
    <n v="275.15999999999997"/>
  </r>
  <r>
    <d v="2023-12-01T00:00:00"/>
    <x v="4"/>
    <x v="2"/>
    <x v="0"/>
    <n v="1940.59"/>
    <n v="1194.21"/>
    <n v="10"/>
    <n v="19405.899999999998"/>
    <n v="11942.1"/>
    <n v="7463.7999999999975"/>
    <n v="0.38461498822523038"/>
    <x v="30"/>
    <n v="7463.7999999999975"/>
  </r>
  <r>
    <d v="2024-07-29T00:00:00"/>
    <x v="9"/>
    <x v="3"/>
    <x v="3"/>
    <n v="594.61"/>
    <n v="352.28"/>
    <n v="1"/>
    <n v="594.61"/>
    <n v="352.28"/>
    <n v="242.33000000000004"/>
    <n v="0.40754444089403147"/>
    <x v="28"/>
    <n v="242.33000000000004"/>
  </r>
  <r>
    <d v="2022-02-17T00:00:00"/>
    <x v="6"/>
    <x v="3"/>
    <x v="3"/>
    <n v="614.88"/>
    <n v="377.6"/>
    <n v="3"/>
    <n v="1844.6399999999999"/>
    <n v="1132.8000000000002"/>
    <n v="711.83999999999969"/>
    <n v="0.3858964350767628"/>
    <x v="20"/>
    <n v="711.83999999999969"/>
  </r>
  <r>
    <d v="2023-02-17T00:00:00"/>
    <x v="8"/>
    <x v="1"/>
    <x v="1"/>
    <n v="1300.8599999999999"/>
    <n v="756.12"/>
    <n v="7"/>
    <n v="9106.0199999999986"/>
    <n v="5292.84"/>
    <n v="3813.1799999999985"/>
    <n v="0.41875374752087069"/>
    <x v="27"/>
    <n v="3813.1799999999985"/>
  </r>
  <r>
    <d v="2023-12-03T00:00:00"/>
    <x v="6"/>
    <x v="3"/>
    <x v="3"/>
    <n v="1093.57"/>
    <n v="782.85"/>
    <n v="9"/>
    <n v="9842.1299999999992"/>
    <n v="7045.6500000000005"/>
    <n v="2796.4799999999987"/>
    <n v="0.28413361741818072"/>
    <x v="30"/>
    <n v="2796.4799999999987"/>
  </r>
  <r>
    <d v="2022-07-30T00:00:00"/>
    <x v="10"/>
    <x v="2"/>
    <x v="0"/>
    <n v="543.71"/>
    <n v="465.9"/>
    <n v="8"/>
    <n v="4349.68"/>
    <n v="3727.2"/>
    <n v="622.48000000000047"/>
    <n v="0.14310937816115218"/>
    <x v="8"/>
    <n v="622.48000000000047"/>
  </r>
  <r>
    <d v="2024-02-13T00:00:00"/>
    <x v="4"/>
    <x v="2"/>
    <x v="2"/>
    <n v="1467.11"/>
    <n v="1249.74"/>
    <n v="8"/>
    <n v="11736.88"/>
    <n v="9997.92"/>
    <n v="1738.9599999999991"/>
    <n v="0.14816203284007329"/>
    <x v="34"/>
    <n v="1738.9599999999991"/>
  </r>
  <r>
    <d v="2022-01-09T00:00:00"/>
    <x v="9"/>
    <x v="3"/>
    <x v="1"/>
    <n v="1421.35"/>
    <n v="1065.58"/>
    <n v="7"/>
    <n v="9949.4499999999989"/>
    <n v="7459.0599999999995"/>
    <n v="2490.3899999999994"/>
    <n v="0.25030428817673334"/>
    <x v="9"/>
    <n v="2490.3899999999994"/>
  </r>
  <r>
    <d v="2023-08-19T00:00:00"/>
    <x v="5"/>
    <x v="3"/>
    <x v="2"/>
    <n v="1467.71"/>
    <n v="845.31"/>
    <n v="9"/>
    <n v="13209.39"/>
    <n v="7607.7899999999991"/>
    <n v="5601.6"/>
    <n v="0.42406197409570018"/>
    <x v="14"/>
    <n v="5601.6"/>
  </r>
  <r>
    <d v="2022-04-18T00:00:00"/>
    <x v="8"/>
    <x v="1"/>
    <x v="0"/>
    <n v="1271.26"/>
    <n v="1137.73"/>
    <n v="4"/>
    <n v="5085.04"/>
    <n v="4550.92"/>
    <n v="534.11999999999989"/>
    <n v="0.10503752182873682"/>
    <x v="32"/>
    <n v="534.11999999999989"/>
  </r>
  <r>
    <d v="2023-10-08T00:00:00"/>
    <x v="1"/>
    <x v="1"/>
    <x v="2"/>
    <n v="761.95"/>
    <n v="513.44000000000005"/>
    <n v="4"/>
    <n v="3047.8"/>
    <n v="2053.7600000000002"/>
    <n v="994.04"/>
    <n v="0.32615000984316556"/>
    <x v="5"/>
    <n v="994.04"/>
  </r>
  <r>
    <d v="2024-04-13T00:00:00"/>
    <x v="0"/>
    <x v="0"/>
    <x v="1"/>
    <n v="1607.95"/>
    <n v="1368.59"/>
    <n v="1"/>
    <n v="1607.95"/>
    <n v="1368.59"/>
    <n v="239.36000000000013"/>
    <n v="0.14886035013526547"/>
    <x v="22"/>
    <n v="239.36000000000013"/>
  </r>
  <r>
    <d v="2024-05-16T00:00:00"/>
    <x v="9"/>
    <x v="3"/>
    <x v="3"/>
    <n v="758.29"/>
    <n v="653.4"/>
    <n v="8"/>
    <n v="6066.32"/>
    <n v="5227.2"/>
    <n v="839.11999999999989"/>
    <n v="0.13832438776721306"/>
    <x v="3"/>
    <n v="839.11999999999989"/>
  </r>
  <r>
    <d v="2023-06-24T00:00:00"/>
    <x v="6"/>
    <x v="3"/>
    <x v="0"/>
    <n v="1060.79"/>
    <n v="889.68"/>
    <n v="7"/>
    <n v="7425.53"/>
    <n v="6227.7599999999993"/>
    <n v="1197.7700000000004"/>
    <n v="0.16130431093807451"/>
    <x v="0"/>
    <n v="1197.7700000000004"/>
  </r>
  <r>
    <d v="2023-07-08T00:00:00"/>
    <x v="6"/>
    <x v="3"/>
    <x v="3"/>
    <n v="887.26"/>
    <n v="795.34"/>
    <n v="3"/>
    <n v="2661.7799999999997"/>
    <n v="2386.02"/>
    <n v="275.75999999999976"/>
    <n v="0.1035998467191127"/>
    <x v="11"/>
    <n v="275.75999999999976"/>
  </r>
  <r>
    <d v="2023-05-11T00:00:00"/>
    <x v="1"/>
    <x v="1"/>
    <x v="0"/>
    <n v="833.16"/>
    <n v="488.12"/>
    <n v="2"/>
    <n v="1666.32"/>
    <n v="976.24"/>
    <n v="690.07999999999993"/>
    <n v="0.41413413990109937"/>
    <x v="31"/>
    <n v="690.07999999999993"/>
  </r>
  <r>
    <d v="2022-03-10T00:00:00"/>
    <x v="9"/>
    <x v="3"/>
    <x v="3"/>
    <n v="1670.55"/>
    <n v="1251.2"/>
    <n v="4"/>
    <n v="6682.2"/>
    <n v="5004.8"/>
    <n v="1677.3999999999996"/>
    <n v="0.25102511149022771"/>
    <x v="7"/>
    <n v="1677.3999999999996"/>
  </r>
  <r>
    <d v="2022-01-30T00:00:00"/>
    <x v="2"/>
    <x v="0"/>
    <x v="0"/>
    <n v="1215.18"/>
    <n v="1060.8900000000001"/>
    <n v="1"/>
    <n v="1215.18"/>
    <n v="1060.8900000000001"/>
    <n v="154.28999999999996"/>
    <n v="0.12696884412185847"/>
    <x v="9"/>
    <n v="154.28999999999996"/>
  </r>
  <r>
    <d v="2022-06-09T00:00:00"/>
    <x v="10"/>
    <x v="2"/>
    <x v="1"/>
    <n v="1286.78"/>
    <n v="1141.74"/>
    <n v="7"/>
    <n v="9007.4599999999991"/>
    <n v="7992.18"/>
    <n v="1015.2799999999988"/>
    <n v="0.11271546029624321"/>
    <x v="18"/>
    <n v="1015.2799999999988"/>
  </r>
  <r>
    <d v="2024-08-22T00:00:00"/>
    <x v="7"/>
    <x v="0"/>
    <x v="0"/>
    <n v="779.02"/>
    <n v="591.75"/>
    <n v="6"/>
    <n v="4674.12"/>
    <n v="3550.5"/>
    <n v="1123.6199999999999"/>
    <n v="0.24039177428050626"/>
    <x v="21"/>
    <n v="1123.6199999999999"/>
  </r>
  <r>
    <d v="2022-11-13T00:00:00"/>
    <x v="1"/>
    <x v="1"/>
    <x v="1"/>
    <n v="712.91"/>
    <n v="563.45000000000005"/>
    <n v="8"/>
    <n v="5703.28"/>
    <n v="4507.6000000000004"/>
    <n v="1195.6799999999994"/>
    <n v="0.20964778162741429"/>
    <x v="1"/>
    <n v="1195.6799999999994"/>
  </r>
  <r>
    <d v="2024-01-23T00:00:00"/>
    <x v="1"/>
    <x v="1"/>
    <x v="2"/>
    <n v="1728.86"/>
    <n v="939.96"/>
    <n v="5"/>
    <n v="8644.2999999999993"/>
    <n v="4699.8"/>
    <n v="3944.4999999999991"/>
    <n v="0.45631225200421083"/>
    <x v="26"/>
    <n v="3944.4999999999991"/>
  </r>
  <r>
    <d v="2024-02-02T00:00:00"/>
    <x v="6"/>
    <x v="3"/>
    <x v="1"/>
    <n v="94.44"/>
    <n v="63.53"/>
    <n v="9"/>
    <n v="849.96"/>
    <n v="571.77"/>
    <n v="278.19000000000005"/>
    <n v="0.32729775518847953"/>
    <x v="34"/>
    <n v="278.19000000000005"/>
  </r>
  <r>
    <d v="2024-06-30T00:00:00"/>
    <x v="4"/>
    <x v="2"/>
    <x v="3"/>
    <n v="1861.71"/>
    <n v="1051.1199999999999"/>
    <n v="1"/>
    <n v="1861.71"/>
    <n v="1051.1199999999999"/>
    <n v="810.59000000000015"/>
    <n v="0.43540078744809885"/>
    <x v="4"/>
    <n v="810.59000000000015"/>
  </r>
  <r>
    <d v="2024-01-03T00:00:00"/>
    <x v="0"/>
    <x v="0"/>
    <x v="1"/>
    <n v="1283.02"/>
    <n v="962.84"/>
    <n v="3"/>
    <n v="3849.06"/>
    <n v="2888.52"/>
    <n v="960.54"/>
    <n v="0.2495518386307306"/>
    <x v="26"/>
    <n v="960.54"/>
  </r>
  <r>
    <d v="2022-08-29T00:00:00"/>
    <x v="5"/>
    <x v="3"/>
    <x v="1"/>
    <n v="637.72"/>
    <n v="422.04"/>
    <n v="6"/>
    <n v="3826.32"/>
    <n v="2532.2400000000002"/>
    <n v="1294.08"/>
    <n v="0.3382048547952079"/>
    <x v="15"/>
    <n v="1294.08"/>
  </r>
  <r>
    <d v="2022-09-24T00:00:00"/>
    <x v="6"/>
    <x v="3"/>
    <x v="1"/>
    <n v="1792.1"/>
    <n v="1054.03"/>
    <n v="10"/>
    <n v="17921"/>
    <n v="10540.3"/>
    <n v="7380.7000000000007"/>
    <n v="0.41184643714078462"/>
    <x v="12"/>
    <n v="7380.7000000000007"/>
  </r>
  <r>
    <d v="2023-10-22T00:00:00"/>
    <x v="6"/>
    <x v="3"/>
    <x v="1"/>
    <n v="1164.92"/>
    <n v="958.24"/>
    <n v="1"/>
    <n v="1164.92"/>
    <n v="958.24"/>
    <n v="206.68000000000006"/>
    <n v="0.17741990866325588"/>
    <x v="5"/>
    <n v="206.68000000000006"/>
  </r>
  <r>
    <d v="2024-05-23T00:00:00"/>
    <x v="0"/>
    <x v="0"/>
    <x v="2"/>
    <n v="1141.3399999999999"/>
    <n v="774.74"/>
    <n v="2"/>
    <n v="2282.6799999999998"/>
    <n v="1549.48"/>
    <n v="733.19999999999982"/>
    <n v="0.32120139485166554"/>
    <x v="3"/>
    <n v="733.19999999999982"/>
  </r>
  <r>
    <d v="2024-09-15T00:00:00"/>
    <x v="5"/>
    <x v="3"/>
    <x v="3"/>
    <n v="1092.1300000000001"/>
    <n v="839.51"/>
    <n v="6"/>
    <n v="6552.7800000000007"/>
    <n v="5037.0599999999995"/>
    <n v="1515.7200000000012"/>
    <n v="0.23130945949658024"/>
    <x v="16"/>
    <n v="1515.7200000000012"/>
  </r>
  <r>
    <d v="2023-03-27T00:00:00"/>
    <x v="5"/>
    <x v="3"/>
    <x v="1"/>
    <n v="184.06"/>
    <n v="133.22999999999999"/>
    <n v="4"/>
    <n v="736.24"/>
    <n v="532.91999999999996"/>
    <n v="203.32000000000005"/>
    <n v="0.27615994784309472"/>
    <x v="19"/>
    <n v="203.32000000000005"/>
  </r>
  <r>
    <d v="2022-04-07T00:00:00"/>
    <x v="6"/>
    <x v="3"/>
    <x v="3"/>
    <n v="1690.5"/>
    <n v="1341.63"/>
    <n v="2"/>
    <n v="3381"/>
    <n v="2683.26"/>
    <n v="697.73999999999978"/>
    <n v="0.20637089618456073"/>
    <x v="32"/>
    <n v="697.73999999999978"/>
  </r>
  <r>
    <d v="2024-08-20T00:00:00"/>
    <x v="6"/>
    <x v="3"/>
    <x v="2"/>
    <n v="1453.11"/>
    <n v="913.55"/>
    <n v="8"/>
    <n v="11624.88"/>
    <n v="7308.4"/>
    <n v="4316.4799999999996"/>
    <n v="0.37131394044497662"/>
    <x v="21"/>
    <n v="4316.4799999999996"/>
  </r>
  <r>
    <d v="2023-01-01T00:00:00"/>
    <x v="4"/>
    <x v="2"/>
    <x v="0"/>
    <n v="1187.95"/>
    <n v="781.99"/>
    <n v="3"/>
    <n v="3563.8500000000004"/>
    <n v="2345.9700000000003"/>
    <n v="1217.8800000000001"/>
    <n v="0.3417315543583484"/>
    <x v="13"/>
    <n v="1217.8800000000001"/>
  </r>
  <r>
    <d v="2023-10-31T00:00:00"/>
    <x v="8"/>
    <x v="1"/>
    <x v="1"/>
    <n v="1857.88"/>
    <n v="1671.47"/>
    <n v="4"/>
    <n v="7431.52"/>
    <n v="6685.88"/>
    <n v="745.64000000000033"/>
    <n v="0.10033479019097039"/>
    <x v="5"/>
    <n v="745.64000000000033"/>
  </r>
  <r>
    <d v="2022-09-19T00:00:00"/>
    <x v="4"/>
    <x v="2"/>
    <x v="3"/>
    <n v="925.87"/>
    <n v="482.91"/>
    <n v="9"/>
    <n v="8332.83"/>
    <n v="4346.1900000000005"/>
    <n v="3986.6399999999994"/>
    <n v="0.47842569691209341"/>
    <x v="12"/>
    <n v="3986.6399999999994"/>
  </r>
  <r>
    <d v="2022-03-18T00:00:00"/>
    <x v="7"/>
    <x v="0"/>
    <x v="1"/>
    <n v="999.61"/>
    <n v="689.3"/>
    <n v="8"/>
    <n v="7996.88"/>
    <n v="5514.4"/>
    <n v="2482.4800000000005"/>
    <n v="0.31043106811656551"/>
    <x v="7"/>
    <n v="2482.4800000000005"/>
  </r>
  <r>
    <d v="2023-07-01T00:00:00"/>
    <x v="4"/>
    <x v="2"/>
    <x v="3"/>
    <n v="69.180000000000007"/>
    <n v="60.72"/>
    <n v="8"/>
    <n v="553.44000000000005"/>
    <n v="485.76"/>
    <n v="67.680000000000064"/>
    <n v="0.12228967909800531"/>
    <x v="11"/>
    <n v="67.680000000000064"/>
  </r>
  <r>
    <d v="2022-02-12T00:00:00"/>
    <x v="0"/>
    <x v="0"/>
    <x v="0"/>
    <n v="1618.41"/>
    <n v="1321.49"/>
    <n v="7"/>
    <n v="11328.87"/>
    <n v="9250.43"/>
    <n v="2078.4400000000005"/>
    <n v="0.18346401715263749"/>
    <x v="20"/>
    <n v="2078.4400000000005"/>
  </r>
  <r>
    <d v="2024-02-14T00:00:00"/>
    <x v="1"/>
    <x v="1"/>
    <x v="3"/>
    <n v="1961.91"/>
    <n v="1725.04"/>
    <n v="3"/>
    <n v="5885.7300000000005"/>
    <n v="5175.12"/>
    <n v="710.61000000000058"/>
    <n v="0.12073438638877429"/>
    <x v="34"/>
    <n v="710.61000000000058"/>
  </r>
  <r>
    <d v="2024-02-12T00:00:00"/>
    <x v="5"/>
    <x v="3"/>
    <x v="1"/>
    <n v="947.17"/>
    <n v="652.76"/>
    <n v="8"/>
    <n v="7577.36"/>
    <n v="5222.08"/>
    <n v="2355.2799999999997"/>
    <n v="0.31083121298183009"/>
    <x v="34"/>
    <n v="2355.2799999999997"/>
  </r>
  <r>
    <d v="2023-01-20T00:00:00"/>
    <x v="8"/>
    <x v="1"/>
    <x v="1"/>
    <n v="1724.47"/>
    <n v="1375.09"/>
    <n v="4"/>
    <n v="6897.88"/>
    <n v="5500.36"/>
    <n v="1397.5200000000004"/>
    <n v="0.20260137897440958"/>
    <x v="13"/>
    <n v="1397.5200000000004"/>
  </r>
  <r>
    <d v="2022-05-20T00:00:00"/>
    <x v="1"/>
    <x v="1"/>
    <x v="3"/>
    <n v="1882.44"/>
    <n v="1300.8499999999999"/>
    <n v="9"/>
    <n v="16941.96"/>
    <n v="11707.65"/>
    <n v="5234.3099999999995"/>
    <n v="0.30895539831282803"/>
    <x v="35"/>
    <n v="5234.3099999999995"/>
  </r>
  <r>
    <d v="2024-01-13T00:00:00"/>
    <x v="1"/>
    <x v="1"/>
    <x v="0"/>
    <n v="1618.05"/>
    <n v="1084.2"/>
    <n v="5"/>
    <n v="8090.25"/>
    <n v="5421"/>
    <n v="2669.25"/>
    <n v="0.32993418003151942"/>
    <x v="26"/>
    <n v="2669.25"/>
  </r>
  <r>
    <d v="2023-03-09T00:00:00"/>
    <x v="4"/>
    <x v="2"/>
    <x v="3"/>
    <n v="95.65"/>
    <n v="47.92"/>
    <n v="6"/>
    <n v="573.90000000000009"/>
    <n v="287.52"/>
    <n v="286.38000000000011"/>
    <n v="0.49900679560899125"/>
    <x v="19"/>
    <n v="286.38000000000011"/>
  </r>
  <r>
    <d v="2022-05-06T00:00:00"/>
    <x v="2"/>
    <x v="0"/>
    <x v="2"/>
    <n v="1799.67"/>
    <n v="1378.68"/>
    <n v="2"/>
    <n v="3599.34"/>
    <n v="2757.36"/>
    <n v="841.98"/>
    <n v="0.2339262198069646"/>
    <x v="35"/>
    <n v="841.98"/>
  </r>
  <r>
    <d v="2023-12-31T00:00:00"/>
    <x v="3"/>
    <x v="2"/>
    <x v="1"/>
    <n v="130.19999999999999"/>
    <n v="100.52"/>
    <n v="9"/>
    <n v="1171.8"/>
    <n v="904.68"/>
    <n v="267.12"/>
    <n v="0.22795698924731184"/>
    <x v="30"/>
    <n v="267.12"/>
  </r>
  <r>
    <d v="2022-04-18T00:00:00"/>
    <x v="7"/>
    <x v="0"/>
    <x v="0"/>
    <n v="269.57"/>
    <n v="182.43"/>
    <n v="1"/>
    <n v="269.57"/>
    <n v="182.43"/>
    <n v="87.139999999999986"/>
    <n v="0.32325555514337645"/>
    <x v="32"/>
    <n v="87.139999999999986"/>
  </r>
  <r>
    <d v="2023-12-08T00:00:00"/>
    <x v="0"/>
    <x v="0"/>
    <x v="2"/>
    <n v="1608.36"/>
    <n v="1062.23"/>
    <n v="10"/>
    <n v="16083.599999999999"/>
    <n v="10622.3"/>
    <n v="5461.2999999999993"/>
    <n v="0.3395570643388296"/>
    <x v="30"/>
    <n v="5461.2999999999993"/>
  </r>
  <r>
    <d v="2022-03-03T00:00:00"/>
    <x v="3"/>
    <x v="2"/>
    <x v="2"/>
    <n v="1981.65"/>
    <n v="1121.26"/>
    <n v="1"/>
    <n v="1981.65"/>
    <n v="1121.26"/>
    <n v="860.3900000000001"/>
    <n v="0.43417858854994579"/>
    <x v="7"/>
    <n v="860.3900000000001"/>
  </r>
  <r>
    <d v="2023-04-25T00:00:00"/>
    <x v="5"/>
    <x v="3"/>
    <x v="0"/>
    <n v="1218.56"/>
    <n v="651.89"/>
    <n v="9"/>
    <n v="10967.039999999999"/>
    <n v="5867.01"/>
    <n v="5100.0299999999988"/>
    <n v="0.46503249737394953"/>
    <x v="6"/>
    <n v="5100.0299999999988"/>
  </r>
  <r>
    <d v="2022-05-28T00:00:00"/>
    <x v="0"/>
    <x v="0"/>
    <x v="3"/>
    <n v="1229.46"/>
    <n v="636.86"/>
    <n v="7"/>
    <n v="8606.2200000000012"/>
    <n v="4458.0200000000004"/>
    <n v="4148.2000000000007"/>
    <n v="0.48200022774226087"/>
    <x v="35"/>
    <n v="4148.2000000000007"/>
  </r>
  <r>
    <d v="2023-08-29T00:00:00"/>
    <x v="8"/>
    <x v="1"/>
    <x v="1"/>
    <n v="815.93"/>
    <n v="593.21"/>
    <n v="8"/>
    <n v="6527.44"/>
    <n v="4745.68"/>
    <n v="1781.7599999999993"/>
    <n v="0.2729645925508315"/>
    <x v="14"/>
    <n v="1781.7599999999993"/>
  </r>
  <r>
    <d v="2024-05-04T00:00:00"/>
    <x v="1"/>
    <x v="1"/>
    <x v="1"/>
    <n v="947.22"/>
    <n v="762.71"/>
    <n v="10"/>
    <n v="9472.2000000000007"/>
    <n v="7627.1"/>
    <n v="1845.1000000000004"/>
    <n v="0.19479107282363128"/>
    <x v="3"/>
    <n v="1845.1000000000004"/>
  </r>
  <r>
    <d v="2024-04-06T00:00:00"/>
    <x v="3"/>
    <x v="2"/>
    <x v="3"/>
    <n v="867.26"/>
    <n v="622.23"/>
    <n v="2"/>
    <n v="1734.52"/>
    <n v="1244.46"/>
    <n v="490.05999999999995"/>
    <n v="0.28253349629868779"/>
    <x v="22"/>
    <n v="490.05999999999995"/>
  </r>
  <r>
    <d v="2023-01-20T00:00:00"/>
    <x v="6"/>
    <x v="3"/>
    <x v="1"/>
    <n v="556.21"/>
    <n v="382.81"/>
    <n v="1"/>
    <n v="556.21"/>
    <n v="382.81"/>
    <n v="173.40000000000003"/>
    <n v="0.31175275525431045"/>
    <x v="13"/>
    <n v="173.40000000000003"/>
  </r>
  <r>
    <d v="2022-05-11T00:00:00"/>
    <x v="0"/>
    <x v="0"/>
    <x v="3"/>
    <n v="1216.7"/>
    <n v="698.46"/>
    <n v="2"/>
    <n v="2433.4"/>
    <n v="1396.92"/>
    <n v="1036.48"/>
    <n v="0.4259390153694419"/>
    <x v="35"/>
    <n v="1036.48"/>
  </r>
  <r>
    <d v="2023-09-21T00:00:00"/>
    <x v="2"/>
    <x v="0"/>
    <x v="3"/>
    <n v="1555.9"/>
    <n v="1189.6600000000001"/>
    <n v="6"/>
    <n v="9335.4000000000015"/>
    <n v="7137.9600000000009"/>
    <n v="2197.4400000000005"/>
    <n v="0.23538787839835468"/>
    <x v="24"/>
    <n v="2197.4400000000005"/>
  </r>
  <r>
    <d v="2024-08-14T00:00:00"/>
    <x v="3"/>
    <x v="2"/>
    <x v="1"/>
    <n v="1132.43"/>
    <n v="823.92"/>
    <n v="2"/>
    <n v="2264.86"/>
    <n v="1647.84"/>
    <n v="617.02000000000021"/>
    <n v="0.27243185009227949"/>
    <x v="21"/>
    <n v="617.02000000000021"/>
  </r>
  <r>
    <d v="2023-05-17T00:00:00"/>
    <x v="10"/>
    <x v="2"/>
    <x v="2"/>
    <n v="224.32"/>
    <n v="198.27"/>
    <n v="4"/>
    <n v="897.28"/>
    <n v="793.08"/>
    <n v="104.19999999999993"/>
    <n v="0.11612874465049922"/>
    <x v="31"/>
    <n v="104.19999999999993"/>
  </r>
  <r>
    <d v="2022-05-11T00:00:00"/>
    <x v="6"/>
    <x v="3"/>
    <x v="1"/>
    <n v="1859.32"/>
    <n v="1237.4000000000001"/>
    <n v="9"/>
    <n v="16733.88"/>
    <n v="11136.6"/>
    <n v="5597.2800000000007"/>
    <n v="0.33448787728847107"/>
    <x v="35"/>
    <n v="5597.2800000000007"/>
  </r>
  <r>
    <d v="2022-10-25T00:00:00"/>
    <x v="10"/>
    <x v="2"/>
    <x v="2"/>
    <n v="317.29000000000002"/>
    <n v="182.99"/>
    <n v="2"/>
    <n v="634.58000000000004"/>
    <n v="365.98"/>
    <n v="268.60000000000002"/>
    <n v="0.42327208547385675"/>
    <x v="25"/>
    <n v="268.60000000000002"/>
  </r>
  <r>
    <d v="2023-01-28T00:00:00"/>
    <x v="3"/>
    <x v="2"/>
    <x v="3"/>
    <n v="1338.11"/>
    <n v="898.43"/>
    <n v="4"/>
    <n v="5352.44"/>
    <n v="3593.72"/>
    <n v="1758.7199999999998"/>
    <n v="0.32858285193295017"/>
    <x v="13"/>
    <n v="1758.7199999999998"/>
  </r>
  <r>
    <d v="2022-07-30T00:00:00"/>
    <x v="5"/>
    <x v="3"/>
    <x v="3"/>
    <n v="1281.1500000000001"/>
    <n v="967.8"/>
    <n v="7"/>
    <n v="8968.0500000000011"/>
    <n v="6774.5999999999995"/>
    <n v="2193.4500000000016"/>
    <n v="0.24458494321508034"/>
    <x v="8"/>
    <n v="2193.4500000000016"/>
  </r>
  <r>
    <d v="2022-10-24T00:00:00"/>
    <x v="5"/>
    <x v="3"/>
    <x v="0"/>
    <n v="1466.32"/>
    <n v="754.24"/>
    <n v="4"/>
    <n v="5865.28"/>
    <n v="3016.96"/>
    <n v="2848.3199999999997"/>
    <n v="0.48562387473402802"/>
    <x v="25"/>
    <n v="2848.3199999999997"/>
  </r>
  <r>
    <d v="2022-08-19T00:00:00"/>
    <x v="6"/>
    <x v="3"/>
    <x v="2"/>
    <n v="322.63"/>
    <n v="186.96"/>
    <n v="8"/>
    <n v="2581.04"/>
    <n v="1495.68"/>
    <n v="1085.3599999999999"/>
    <n v="0.42051266156278089"/>
    <x v="15"/>
    <n v="1085.3599999999999"/>
  </r>
  <r>
    <d v="2023-04-27T00:00:00"/>
    <x v="9"/>
    <x v="3"/>
    <x v="2"/>
    <n v="1056.81"/>
    <n v="903.1"/>
    <n v="1"/>
    <n v="1056.81"/>
    <n v="903.1"/>
    <n v="153.70999999999992"/>
    <n v="0.14544714754780891"/>
    <x v="6"/>
    <n v="153.70999999999992"/>
  </r>
  <r>
    <d v="2024-11-14T00:00:00"/>
    <x v="2"/>
    <x v="0"/>
    <x v="3"/>
    <n v="448.02"/>
    <n v="319.75"/>
    <n v="1"/>
    <n v="448.02"/>
    <n v="319.75"/>
    <n v="128.26999999999998"/>
    <n v="0.2863041828489799"/>
    <x v="2"/>
    <n v="128.26999999999998"/>
  </r>
  <r>
    <d v="2022-11-26T00:00:00"/>
    <x v="7"/>
    <x v="0"/>
    <x v="3"/>
    <n v="694.01"/>
    <n v="462.81"/>
    <n v="1"/>
    <n v="694.01"/>
    <n v="462.81"/>
    <n v="231.2"/>
    <n v="0.33313641013818246"/>
    <x v="1"/>
    <n v="231.2"/>
  </r>
  <r>
    <d v="2022-09-14T00:00:00"/>
    <x v="10"/>
    <x v="2"/>
    <x v="1"/>
    <n v="1641.9"/>
    <n v="1307.02"/>
    <n v="4"/>
    <n v="6567.6"/>
    <n v="5228.08"/>
    <n v="1339.5200000000004"/>
    <n v="0.20395882818685673"/>
    <x v="12"/>
    <n v="1339.5200000000004"/>
  </r>
  <r>
    <d v="2023-04-09T00:00:00"/>
    <x v="3"/>
    <x v="2"/>
    <x v="2"/>
    <n v="1193.32"/>
    <n v="632.46"/>
    <n v="4"/>
    <n v="4773.28"/>
    <n v="2529.84"/>
    <n v="2243.4399999999996"/>
    <n v="0.46999966480072397"/>
    <x v="6"/>
    <n v="2243.4399999999996"/>
  </r>
  <r>
    <d v="2022-01-04T00:00:00"/>
    <x v="9"/>
    <x v="3"/>
    <x v="2"/>
    <n v="550.19000000000005"/>
    <n v="318.64"/>
    <n v="9"/>
    <n v="4951.7100000000009"/>
    <n v="2867.7599999999998"/>
    <n v="2083.9500000000012"/>
    <n v="0.42085461386066647"/>
    <x v="9"/>
    <n v="2083.9500000000012"/>
  </r>
  <r>
    <d v="2024-09-20T00:00:00"/>
    <x v="4"/>
    <x v="2"/>
    <x v="3"/>
    <n v="1984.55"/>
    <n v="1765.27"/>
    <n v="2"/>
    <n v="3969.1"/>
    <n v="3530.54"/>
    <n v="438.55999999999995"/>
    <n v="0.11049356277241691"/>
    <x v="16"/>
    <n v="438.55999999999995"/>
  </r>
  <r>
    <d v="2023-09-08T00:00:00"/>
    <x v="1"/>
    <x v="1"/>
    <x v="1"/>
    <n v="1567.45"/>
    <n v="990.35"/>
    <n v="7"/>
    <n v="10972.15"/>
    <n v="6932.45"/>
    <n v="4039.7"/>
    <n v="0.36817761332099908"/>
    <x v="24"/>
    <n v="4039.7"/>
  </r>
  <r>
    <d v="2023-12-02T00:00:00"/>
    <x v="7"/>
    <x v="0"/>
    <x v="2"/>
    <n v="1103.95"/>
    <n v="769.21"/>
    <n v="2"/>
    <n v="2207.9"/>
    <n v="1538.42"/>
    <n v="669.48"/>
    <n v="0.3032202545405136"/>
    <x v="30"/>
    <n v="669.48"/>
  </r>
  <r>
    <d v="2022-10-12T00:00:00"/>
    <x v="4"/>
    <x v="2"/>
    <x v="1"/>
    <n v="1486.14"/>
    <n v="1174.1500000000001"/>
    <n v="1"/>
    <n v="1486.14"/>
    <n v="1174.1500000000001"/>
    <n v="311.99"/>
    <n v="0.20993311531887979"/>
    <x v="25"/>
    <n v="311.99"/>
  </r>
  <r>
    <d v="2022-07-25T00:00:00"/>
    <x v="6"/>
    <x v="3"/>
    <x v="2"/>
    <n v="441.5"/>
    <n v="262.14999999999998"/>
    <n v="7"/>
    <n v="3090.5"/>
    <n v="1835.0499999999997"/>
    <n v="1255.4500000000003"/>
    <n v="0.40622876557191401"/>
    <x v="8"/>
    <n v="1255.4500000000003"/>
  </r>
  <r>
    <d v="2022-07-29T00:00:00"/>
    <x v="0"/>
    <x v="0"/>
    <x v="2"/>
    <n v="51.59"/>
    <n v="38.799999999999997"/>
    <n v="6"/>
    <n v="309.54000000000002"/>
    <n v="232.79999999999998"/>
    <n v="76.740000000000038"/>
    <n v="0.24791626284163609"/>
    <x v="8"/>
    <n v="76.740000000000038"/>
  </r>
  <r>
    <d v="2023-07-11T00:00:00"/>
    <x v="6"/>
    <x v="3"/>
    <x v="3"/>
    <n v="1786.44"/>
    <n v="1408.98"/>
    <n v="9"/>
    <n v="16077.960000000001"/>
    <n v="12680.82"/>
    <n v="3397.1400000000012"/>
    <n v="0.21129173104050519"/>
    <x v="11"/>
    <n v="3397.1400000000012"/>
  </r>
  <r>
    <d v="2023-12-04T00:00:00"/>
    <x v="9"/>
    <x v="3"/>
    <x v="3"/>
    <n v="1349.32"/>
    <n v="728.44"/>
    <n v="3"/>
    <n v="4047.96"/>
    <n v="2185.3200000000002"/>
    <n v="1862.6399999999999"/>
    <n v="0.46014288678741883"/>
    <x v="30"/>
    <n v="1862.6399999999999"/>
  </r>
  <r>
    <d v="2023-12-03T00:00:00"/>
    <x v="3"/>
    <x v="2"/>
    <x v="2"/>
    <n v="266.54000000000002"/>
    <n v="228.84"/>
    <n v="6"/>
    <n v="1599.2400000000002"/>
    <n v="1373.04"/>
    <n v="226.20000000000027"/>
    <n v="0.14144218503789316"/>
    <x v="30"/>
    <n v="226.20000000000027"/>
  </r>
  <r>
    <d v="2024-07-04T00:00:00"/>
    <x v="10"/>
    <x v="2"/>
    <x v="1"/>
    <n v="366.64"/>
    <n v="184.52"/>
    <n v="5"/>
    <n v="1833.1999999999998"/>
    <n v="922.6"/>
    <n v="910.5999999999998"/>
    <n v="0.49672703469343221"/>
    <x v="28"/>
    <n v="910.5999999999998"/>
  </r>
  <r>
    <d v="2024-09-29T00:00:00"/>
    <x v="10"/>
    <x v="2"/>
    <x v="1"/>
    <n v="244.71"/>
    <n v="141.13"/>
    <n v="6"/>
    <n v="1468.26"/>
    <n v="846.78"/>
    <n v="621.48"/>
    <n v="0.42327653140451965"/>
    <x v="16"/>
    <n v="621.48"/>
  </r>
  <r>
    <d v="2024-08-01T00:00:00"/>
    <x v="5"/>
    <x v="3"/>
    <x v="0"/>
    <n v="1732.8"/>
    <n v="1549.64"/>
    <n v="5"/>
    <n v="8664"/>
    <n v="7748.2000000000007"/>
    <n v="915.79999999999927"/>
    <n v="0.10570175438596482"/>
    <x v="21"/>
    <n v="915.79999999999927"/>
  </r>
  <r>
    <d v="2022-01-11T00:00:00"/>
    <x v="7"/>
    <x v="0"/>
    <x v="2"/>
    <n v="40.43"/>
    <n v="26.32"/>
    <n v="9"/>
    <n v="363.87"/>
    <n v="236.88"/>
    <n v="126.99000000000001"/>
    <n v="0.34899826861241656"/>
    <x v="9"/>
    <n v="126.99000000000001"/>
  </r>
  <r>
    <d v="2023-01-04T00:00:00"/>
    <x v="6"/>
    <x v="3"/>
    <x v="2"/>
    <n v="1594.18"/>
    <n v="1271.45"/>
    <n v="4"/>
    <n v="6376.72"/>
    <n v="5085.8"/>
    <n v="1290.92"/>
    <n v="0.20244263508512214"/>
    <x v="13"/>
    <n v="1290.92"/>
  </r>
  <r>
    <d v="2024-09-15T00:00:00"/>
    <x v="10"/>
    <x v="2"/>
    <x v="1"/>
    <n v="1952.02"/>
    <n v="1001.51"/>
    <n v="9"/>
    <n v="17568.18"/>
    <n v="9013.59"/>
    <n v="8554.59"/>
    <n v="0.4869366092560527"/>
    <x v="16"/>
    <n v="8554.59"/>
  </r>
  <r>
    <d v="2023-08-20T00:00:00"/>
    <x v="8"/>
    <x v="1"/>
    <x v="1"/>
    <n v="279.77"/>
    <n v="191.97"/>
    <n v="3"/>
    <n v="839.31"/>
    <n v="575.91"/>
    <n v="263.39999999999998"/>
    <n v="0.31382921685670373"/>
    <x v="14"/>
    <n v="263.39999999999998"/>
  </r>
  <r>
    <d v="2022-05-01T00:00:00"/>
    <x v="10"/>
    <x v="2"/>
    <x v="0"/>
    <n v="1050.5"/>
    <n v="897.4"/>
    <n v="9"/>
    <n v="9454.5"/>
    <n v="8076.5999999999995"/>
    <n v="1377.9000000000005"/>
    <n v="0.145740123750595"/>
    <x v="35"/>
    <n v="1377.9000000000005"/>
  </r>
  <r>
    <d v="2022-06-03T00:00:00"/>
    <x v="9"/>
    <x v="3"/>
    <x v="3"/>
    <n v="587.84"/>
    <n v="518.79"/>
    <n v="4"/>
    <n v="2351.36"/>
    <n v="2075.16"/>
    <n v="276.20000000000027"/>
    <n v="0.11746393576483408"/>
    <x v="18"/>
    <n v="276.20000000000027"/>
  </r>
  <r>
    <d v="2023-02-03T00:00:00"/>
    <x v="4"/>
    <x v="2"/>
    <x v="0"/>
    <n v="1910.18"/>
    <n v="1671.23"/>
    <n v="2"/>
    <n v="3820.36"/>
    <n v="3342.46"/>
    <n v="477.90000000000009"/>
    <n v="0.12509292318001447"/>
    <x v="27"/>
    <n v="477.90000000000009"/>
  </r>
  <r>
    <d v="2024-05-24T00:00:00"/>
    <x v="0"/>
    <x v="0"/>
    <x v="3"/>
    <n v="923.39"/>
    <n v="606.03"/>
    <n v="1"/>
    <n v="923.39"/>
    <n v="606.03"/>
    <n v="317.36"/>
    <n v="0.34369009844161191"/>
    <x v="3"/>
    <n v="317.36"/>
  </r>
  <r>
    <d v="2024-09-23T00:00:00"/>
    <x v="0"/>
    <x v="0"/>
    <x v="1"/>
    <n v="856.03"/>
    <n v="762.68"/>
    <n v="7"/>
    <n v="5992.21"/>
    <n v="5338.7599999999993"/>
    <n v="653.45000000000073"/>
    <n v="0.10904991647489001"/>
    <x v="16"/>
    <n v="653.45000000000073"/>
  </r>
  <r>
    <d v="2023-01-30T00:00:00"/>
    <x v="10"/>
    <x v="2"/>
    <x v="2"/>
    <n v="1527.33"/>
    <n v="765.41"/>
    <n v="4"/>
    <n v="6109.32"/>
    <n v="3061.64"/>
    <n v="3047.68"/>
    <n v="0.49885748332056595"/>
    <x v="13"/>
    <n v="3047.68"/>
  </r>
  <r>
    <d v="2022-03-20T00:00:00"/>
    <x v="5"/>
    <x v="3"/>
    <x v="2"/>
    <n v="1915.55"/>
    <n v="1036.43"/>
    <n v="3"/>
    <n v="5746.65"/>
    <n v="3109.29"/>
    <n v="2637.3599999999997"/>
    <n v="0.45893868601707077"/>
    <x v="7"/>
    <n v="2637.3599999999997"/>
  </r>
  <r>
    <d v="2022-01-20T00:00:00"/>
    <x v="4"/>
    <x v="2"/>
    <x v="1"/>
    <n v="1653.08"/>
    <n v="1439.07"/>
    <n v="4"/>
    <n v="6612.32"/>
    <n v="5756.28"/>
    <n v="856.04"/>
    <n v="0.12946136908074624"/>
    <x v="9"/>
    <n v="856.04"/>
  </r>
  <r>
    <d v="2022-02-16T00:00:00"/>
    <x v="9"/>
    <x v="3"/>
    <x v="1"/>
    <n v="650.79999999999995"/>
    <n v="509.36"/>
    <n v="5"/>
    <n v="3254"/>
    <n v="2546.8000000000002"/>
    <n v="707.19999999999982"/>
    <n v="0.21733251382913332"/>
    <x v="20"/>
    <n v="707.19999999999982"/>
  </r>
  <r>
    <d v="2023-10-19T00:00:00"/>
    <x v="1"/>
    <x v="1"/>
    <x v="1"/>
    <n v="1224.32"/>
    <n v="925.77"/>
    <n v="8"/>
    <n v="9794.56"/>
    <n v="7406.16"/>
    <n v="2388.3999999999996"/>
    <n v="0.2438496471510716"/>
    <x v="5"/>
    <n v="2388.3999999999996"/>
  </r>
  <r>
    <d v="2024-11-16T00:00:00"/>
    <x v="1"/>
    <x v="1"/>
    <x v="0"/>
    <n v="587.08000000000004"/>
    <n v="393.4"/>
    <n v="2"/>
    <n v="1174.1600000000001"/>
    <n v="786.8"/>
    <n v="387.36000000000013"/>
    <n v="0.32990393132111473"/>
    <x v="2"/>
    <n v="387.36000000000013"/>
  </r>
  <r>
    <d v="2024-05-25T00:00:00"/>
    <x v="4"/>
    <x v="2"/>
    <x v="2"/>
    <n v="1122.31"/>
    <n v="941.37"/>
    <n v="10"/>
    <n v="11223.099999999999"/>
    <n v="9413.7000000000007"/>
    <n v="1809.3999999999978"/>
    <n v="0.16122105300674483"/>
    <x v="3"/>
    <n v="1809.3999999999978"/>
  </r>
  <r>
    <d v="2023-12-01T00:00:00"/>
    <x v="8"/>
    <x v="1"/>
    <x v="2"/>
    <n v="1650.98"/>
    <n v="947.66"/>
    <n v="4"/>
    <n v="6603.92"/>
    <n v="3790.64"/>
    <n v="2813.28"/>
    <n v="0.42600152636615829"/>
    <x v="30"/>
    <n v="2813.28"/>
  </r>
  <r>
    <d v="2022-03-04T00:00:00"/>
    <x v="5"/>
    <x v="3"/>
    <x v="0"/>
    <n v="57.3"/>
    <n v="34.5"/>
    <n v="5"/>
    <n v="286.5"/>
    <n v="172.5"/>
    <n v="114"/>
    <n v="0.39790575916230364"/>
    <x v="7"/>
    <n v="114"/>
  </r>
  <r>
    <d v="2022-05-01T00:00:00"/>
    <x v="2"/>
    <x v="0"/>
    <x v="0"/>
    <n v="1042.9100000000001"/>
    <n v="915.1"/>
    <n v="1"/>
    <n v="1042.9100000000001"/>
    <n v="915.1"/>
    <n v="127.81000000000006"/>
    <n v="0.12255132274117618"/>
    <x v="35"/>
    <n v="127.81000000000006"/>
  </r>
  <r>
    <d v="2022-07-28T00:00:00"/>
    <x v="10"/>
    <x v="2"/>
    <x v="2"/>
    <n v="1964.36"/>
    <n v="1602.83"/>
    <n v="8"/>
    <n v="15714.88"/>
    <n v="12822.64"/>
    <n v="2892.24"/>
    <n v="0.18404467612861186"/>
    <x v="8"/>
    <n v="2892.24"/>
  </r>
  <r>
    <d v="2022-01-12T00:00:00"/>
    <x v="6"/>
    <x v="3"/>
    <x v="3"/>
    <n v="949.03"/>
    <n v="510.12"/>
    <n v="10"/>
    <n v="9490.2999999999993"/>
    <n v="5101.2"/>
    <n v="4389.0999999999995"/>
    <n v="0.46248274554018309"/>
    <x v="9"/>
    <n v="4389.0999999999995"/>
  </r>
  <r>
    <d v="2024-03-26T00:00:00"/>
    <x v="1"/>
    <x v="1"/>
    <x v="2"/>
    <n v="759.74"/>
    <n v="621.74"/>
    <n v="8"/>
    <n v="6077.92"/>
    <n v="4973.92"/>
    <n v="1104"/>
    <n v="0.18164108774054283"/>
    <x v="29"/>
    <n v="1104"/>
  </r>
  <r>
    <d v="2022-04-11T00:00:00"/>
    <x v="5"/>
    <x v="3"/>
    <x v="3"/>
    <n v="1311.53"/>
    <n v="786.89"/>
    <n v="7"/>
    <n v="9180.7099999999991"/>
    <n v="5508.23"/>
    <n v="3672.4799999999996"/>
    <n v="0.40002134911134324"/>
    <x v="32"/>
    <n v="3672.4799999999996"/>
  </r>
  <r>
    <d v="2023-09-02T00:00:00"/>
    <x v="0"/>
    <x v="0"/>
    <x v="1"/>
    <n v="808.66"/>
    <n v="473.95"/>
    <n v="4"/>
    <n v="3234.64"/>
    <n v="1895.8"/>
    <n v="1338.84"/>
    <n v="0.41390695718843518"/>
    <x v="24"/>
    <n v="1338.84"/>
  </r>
  <r>
    <d v="2022-06-06T00:00:00"/>
    <x v="1"/>
    <x v="1"/>
    <x v="3"/>
    <n v="221.99"/>
    <n v="164.87"/>
    <n v="4"/>
    <n v="887.96"/>
    <n v="659.48"/>
    <n v="228.48000000000002"/>
    <n v="0.25730888778773819"/>
    <x v="18"/>
    <n v="228.48000000000002"/>
  </r>
  <r>
    <d v="2022-05-14T00:00:00"/>
    <x v="0"/>
    <x v="0"/>
    <x v="0"/>
    <n v="1088.1300000000001"/>
    <n v="681.1"/>
    <n v="1"/>
    <n v="1088.1300000000001"/>
    <n v="681.1"/>
    <n v="407.03000000000009"/>
    <n v="0.37406376076387937"/>
    <x v="35"/>
    <n v="407.03000000000009"/>
  </r>
  <r>
    <d v="2023-04-13T00:00:00"/>
    <x v="6"/>
    <x v="3"/>
    <x v="1"/>
    <n v="908.17"/>
    <n v="585.16999999999996"/>
    <n v="3"/>
    <n v="2724.5099999999998"/>
    <n v="1755.5099999999998"/>
    <n v="969"/>
    <n v="0.35566028386755788"/>
    <x v="6"/>
    <n v="969"/>
  </r>
  <r>
    <d v="2023-07-22T00:00:00"/>
    <x v="5"/>
    <x v="3"/>
    <x v="0"/>
    <n v="857.83"/>
    <n v="703.12"/>
    <n v="6"/>
    <n v="5146.9800000000005"/>
    <n v="4218.72"/>
    <n v="928.26000000000022"/>
    <n v="0.18035041908070365"/>
    <x v="11"/>
    <n v="928.26000000000022"/>
  </r>
  <r>
    <d v="2022-03-27T00:00:00"/>
    <x v="8"/>
    <x v="1"/>
    <x v="3"/>
    <n v="1038.31"/>
    <n v="556.07000000000005"/>
    <n v="6"/>
    <n v="6229.86"/>
    <n v="3336.42"/>
    <n v="2893.4399999999996"/>
    <n v="0.46444703412275712"/>
    <x v="7"/>
    <n v="2893.4399999999996"/>
  </r>
  <r>
    <d v="2023-06-14T00:00:00"/>
    <x v="2"/>
    <x v="0"/>
    <x v="0"/>
    <n v="115.65"/>
    <n v="79.56"/>
    <n v="5"/>
    <n v="578.25"/>
    <n v="397.8"/>
    <n v="180.45"/>
    <n v="0.31206225680933852"/>
    <x v="0"/>
    <n v="180.45"/>
  </r>
  <r>
    <d v="2023-03-17T00:00:00"/>
    <x v="3"/>
    <x v="2"/>
    <x v="2"/>
    <n v="716.2"/>
    <n v="568.46"/>
    <n v="5"/>
    <n v="3581"/>
    <n v="2842.3"/>
    <n v="738.69999999999982"/>
    <n v="0.20628316112817643"/>
    <x v="19"/>
    <n v="738.69999999999982"/>
  </r>
  <r>
    <d v="2024-07-10T00:00:00"/>
    <x v="7"/>
    <x v="0"/>
    <x v="2"/>
    <n v="647.30999999999995"/>
    <n v="344.57"/>
    <n v="5"/>
    <n v="3236.5499999999997"/>
    <n v="1722.85"/>
    <n v="1513.6999999999998"/>
    <n v="0.46768936058457306"/>
    <x v="28"/>
    <n v="1513.6999999999998"/>
  </r>
  <r>
    <d v="2022-01-24T00:00:00"/>
    <x v="6"/>
    <x v="3"/>
    <x v="0"/>
    <n v="274.14999999999998"/>
    <n v="219.44"/>
    <n v="2"/>
    <n v="548.29999999999995"/>
    <n v="438.88"/>
    <n v="109.41999999999996"/>
    <n v="0.19956228342148452"/>
    <x v="9"/>
    <n v="109.41999999999996"/>
  </r>
  <r>
    <d v="2022-07-23T00:00:00"/>
    <x v="5"/>
    <x v="3"/>
    <x v="2"/>
    <n v="1935.65"/>
    <n v="1235.9100000000001"/>
    <n v="8"/>
    <n v="15485.2"/>
    <n v="9887.2800000000007"/>
    <n v="5597.92"/>
    <n v="0.36150130447136619"/>
    <x v="8"/>
    <n v="5597.92"/>
  </r>
  <r>
    <d v="2022-05-05T00:00:00"/>
    <x v="3"/>
    <x v="2"/>
    <x v="1"/>
    <n v="94.06"/>
    <n v="58.51"/>
    <n v="3"/>
    <n v="282.18"/>
    <n v="175.53"/>
    <n v="106.65"/>
    <n v="0.37795024452477144"/>
    <x v="35"/>
    <n v="106.65"/>
  </r>
  <r>
    <d v="2022-06-27T00:00:00"/>
    <x v="2"/>
    <x v="0"/>
    <x v="3"/>
    <n v="540.19000000000005"/>
    <n v="417.51"/>
    <n v="6"/>
    <n v="3241.1400000000003"/>
    <n v="2505.06"/>
    <n v="736.08000000000038"/>
    <n v="0.22710527777263564"/>
    <x v="18"/>
    <n v="736.08000000000038"/>
  </r>
  <r>
    <d v="2024-04-08T00:00:00"/>
    <x v="4"/>
    <x v="2"/>
    <x v="2"/>
    <n v="1921.16"/>
    <n v="1141.8499999999999"/>
    <n v="6"/>
    <n v="11526.960000000001"/>
    <n v="6851.0999999999995"/>
    <n v="4675.8600000000015"/>
    <n v="0.40564554748172987"/>
    <x v="22"/>
    <n v="4675.8600000000015"/>
  </r>
  <r>
    <d v="2024-11-18T00:00:00"/>
    <x v="8"/>
    <x v="1"/>
    <x v="3"/>
    <n v="610.24"/>
    <n v="497.49"/>
    <n v="8"/>
    <n v="4881.92"/>
    <n v="3979.92"/>
    <n v="902"/>
    <n v="0.18476337178814892"/>
    <x v="2"/>
    <n v="902"/>
  </r>
  <r>
    <d v="2024-12-18T00:00:00"/>
    <x v="10"/>
    <x v="2"/>
    <x v="0"/>
    <n v="258.69"/>
    <n v="167.13"/>
    <n v="1"/>
    <n v="258.69"/>
    <n v="167.13"/>
    <n v="91.56"/>
    <n v="0.35393714484518152"/>
    <x v="23"/>
    <n v="91.56"/>
  </r>
  <r>
    <d v="2022-12-04T00:00:00"/>
    <x v="1"/>
    <x v="1"/>
    <x v="2"/>
    <n v="430.22"/>
    <n v="306.76"/>
    <n v="1"/>
    <n v="430.22"/>
    <n v="306.76"/>
    <n v="123.46000000000004"/>
    <n v="0.28696945748686725"/>
    <x v="33"/>
    <n v="123.46000000000004"/>
  </r>
  <r>
    <d v="2022-03-24T00:00:00"/>
    <x v="7"/>
    <x v="0"/>
    <x v="0"/>
    <n v="201.06"/>
    <n v="141.41"/>
    <n v="1"/>
    <n v="201.06"/>
    <n v="141.41"/>
    <n v="59.650000000000006"/>
    <n v="0.2966776086740277"/>
    <x v="7"/>
    <n v="59.650000000000006"/>
  </r>
  <r>
    <d v="2023-01-28T00:00:00"/>
    <x v="6"/>
    <x v="3"/>
    <x v="0"/>
    <n v="789.18"/>
    <n v="707.66"/>
    <n v="1"/>
    <n v="789.18"/>
    <n v="707.66"/>
    <n v="81.519999999999982"/>
    <n v="0.10329709318533159"/>
    <x v="13"/>
    <n v="81.519999999999982"/>
  </r>
  <r>
    <d v="2023-07-28T00:00:00"/>
    <x v="8"/>
    <x v="1"/>
    <x v="1"/>
    <n v="1503.94"/>
    <n v="978.34"/>
    <n v="1"/>
    <n v="1503.94"/>
    <n v="978.34"/>
    <n v="525.6"/>
    <n v="0.34948202720853228"/>
    <x v="11"/>
    <n v="525.6"/>
  </r>
  <r>
    <d v="2023-02-09T00:00:00"/>
    <x v="2"/>
    <x v="0"/>
    <x v="3"/>
    <n v="1508.43"/>
    <n v="882.2"/>
    <n v="6"/>
    <n v="9050.58"/>
    <n v="5293.2000000000007"/>
    <n v="3757.3799999999992"/>
    <n v="0.41515350397433082"/>
    <x v="27"/>
    <n v="3757.3799999999992"/>
  </r>
  <r>
    <d v="2022-09-10T00:00:00"/>
    <x v="0"/>
    <x v="0"/>
    <x v="3"/>
    <n v="1857.03"/>
    <n v="1508.3"/>
    <n v="8"/>
    <n v="14856.24"/>
    <n v="12066.4"/>
    <n v="2789.84"/>
    <n v="0.18778910410709576"/>
    <x v="12"/>
    <n v="2789.84"/>
  </r>
  <r>
    <d v="2023-12-17T00:00:00"/>
    <x v="5"/>
    <x v="3"/>
    <x v="2"/>
    <n v="1041.8800000000001"/>
    <n v="614.01"/>
    <n v="8"/>
    <n v="8335.0400000000009"/>
    <n v="4912.08"/>
    <n v="3422.9600000000009"/>
    <n v="0.41067109455983419"/>
    <x v="30"/>
    <n v="3422.9600000000009"/>
  </r>
  <r>
    <d v="2022-04-28T00:00:00"/>
    <x v="10"/>
    <x v="2"/>
    <x v="3"/>
    <n v="926.6"/>
    <n v="751.39"/>
    <n v="10"/>
    <n v="9266"/>
    <n v="7513.9"/>
    <n v="1752.1000000000004"/>
    <n v="0.18908914310382047"/>
    <x v="32"/>
    <n v="1752.1000000000004"/>
  </r>
  <r>
    <d v="2024-04-13T00:00:00"/>
    <x v="9"/>
    <x v="3"/>
    <x v="3"/>
    <n v="1933.61"/>
    <n v="1478.66"/>
    <n v="8"/>
    <n v="15468.88"/>
    <n v="11829.28"/>
    <n v="3639.5999999999985"/>
    <n v="0.23528529538014378"/>
    <x v="22"/>
    <n v="3639.5999999999985"/>
  </r>
  <r>
    <d v="2022-12-22T00:00:00"/>
    <x v="10"/>
    <x v="2"/>
    <x v="2"/>
    <n v="737.8"/>
    <n v="447.39"/>
    <n v="5"/>
    <n v="3689"/>
    <n v="2236.9499999999998"/>
    <n v="1452.0500000000002"/>
    <n v="0.39361615613987533"/>
    <x v="33"/>
    <n v="1452.0500000000002"/>
  </r>
  <r>
    <d v="2023-11-19T00:00:00"/>
    <x v="9"/>
    <x v="3"/>
    <x v="0"/>
    <n v="1131.8800000000001"/>
    <n v="628.9"/>
    <n v="9"/>
    <n v="10186.920000000002"/>
    <n v="5660.0999999999995"/>
    <n v="4526.8200000000024"/>
    <n v="0.44437572887585269"/>
    <x v="10"/>
    <n v="4526.8200000000024"/>
  </r>
  <r>
    <d v="2023-08-22T00:00:00"/>
    <x v="6"/>
    <x v="3"/>
    <x v="0"/>
    <n v="478.97"/>
    <n v="282.60000000000002"/>
    <n v="3"/>
    <n v="1436.91"/>
    <n v="847.80000000000007"/>
    <n v="589.11"/>
    <n v="0.40998392383656596"/>
    <x v="14"/>
    <n v="589.11"/>
  </r>
  <r>
    <d v="2023-12-01T00:00:00"/>
    <x v="5"/>
    <x v="3"/>
    <x v="2"/>
    <n v="599.94000000000005"/>
    <n v="455.34"/>
    <n v="7"/>
    <n v="4199.58"/>
    <n v="3187.3799999999997"/>
    <n v="1012.2000000000003"/>
    <n v="0.24102410241024108"/>
    <x v="30"/>
    <n v="1012.2000000000003"/>
  </r>
  <r>
    <d v="2024-05-02T00:00:00"/>
    <x v="3"/>
    <x v="2"/>
    <x v="2"/>
    <n v="1567.47"/>
    <n v="1314.89"/>
    <n v="9"/>
    <n v="14107.23"/>
    <n v="11834.01"/>
    <n v="2273.2199999999993"/>
    <n v="0.16113865018150264"/>
    <x v="3"/>
    <n v="2273.2199999999993"/>
  </r>
  <r>
    <d v="2024-05-22T00:00:00"/>
    <x v="8"/>
    <x v="1"/>
    <x v="3"/>
    <n v="706.95"/>
    <n v="357.38"/>
    <n v="7"/>
    <n v="4948.6500000000005"/>
    <n v="2501.66"/>
    <n v="2446.9900000000007"/>
    <n v="0.49447627130631594"/>
    <x v="3"/>
    <n v="2446.9900000000007"/>
  </r>
  <r>
    <d v="2022-01-22T00:00:00"/>
    <x v="8"/>
    <x v="1"/>
    <x v="2"/>
    <n v="1284.58"/>
    <n v="776.54"/>
    <n v="3"/>
    <n v="3853.74"/>
    <n v="2329.62"/>
    <n v="1524.12"/>
    <n v="0.39549113328870134"/>
    <x v="9"/>
    <n v="1524.12"/>
  </r>
  <r>
    <d v="2023-08-09T00:00:00"/>
    <x v="0"/>
    <x v="0"/>
    <x v="3"/>
    <n v="952.2"/>
    <n v="759.42"/>
    <n v="5"/>
    <n v="4761"/>
    <n v="3797.1"/>
    <n v="963.90000000000009"/>
    <n v="0.20245746691871458"/>
    <x v="14"/>
    <n v="963.90000000000009"/>
  </r>
  <r>
    <d v="2024-04-26T00:00:00"/>
    <x v="3"/>
    <x v="2"/>
    <x v="3"/>
    <n v="560.16999999999996"/>
    <n v="435.15"/>
    <n v="5"/>
    <n v="2800.85"/>
    <n v="2175.75"/>
    <n v="625.09999999999991"/>
    <n v="0.22318224824606814"/>
    <x v="22"/>
    <n v="625.09999999999991"/>
  </r>
  <r>
    <d v="2024-12-30T00:00:00"/>
    <x v="6"/>
    <x v="3"/>
    <x v="1"/>
    <n v="1331.16"/>
    <n v="885.8"/>
    <n v="5"/>
    <n v="6655.8"/>
    <n v="4429"/>
    <n v="2226.8000000000002"/>
    <n v="0.33456534150665584"/>
    <x v="23"/>
    <n v="2226.8000000000002"/>
  </r>
  <r>
    <d v="2024-07-05T00:00:00"/>
    <x v="6"/>
    <x v="3"/>
    <x v="2"/>
    <n v="1973.99"/>
    <n v="1770.19"/>
    <n v="3"/>
    <n v="5921.97"/>
    <n v="5310.57"/>
    <n v="611.40000000000055"/>
    <n v="0.10324267093551648"/>
    <x v="28"/>
    <n v="611.40000000000055"/>
  </r>
  <r>
    <d v="2022-09-14T00:00:00"/>
    <x v="0"/>
    <x v="0"/>
    <x v="1"/>
    <n v="1183.6099999999999"/>
    <n v="682.17"/>
    <n v="5"/>
    <n v="5918.0499999999993"/>
    <n v="3410.85"/>
    <n v="2507.1999999999994"/>
    <n v="0.42365306139691278"/>
    <x v="12"/>
    <n v="2507.1999999999994"/>
  </r>
  <r>
    <d v="2024-08-04T00:00:00"/>
    <x v="10"/>
    <x v="2"/>
    <x v="1"/>
    <n v="1654.71"/>
    <n v="892.6"/>
    <n v="8"/>
    <n v="13237.68"/>
    <n v="7140.8"/>
    <n v="6096.88"/>
    <n v="0.46057013011343378"/>
    <x v="21"/>
    <n v="6096.88"/>
  </r>
  <r>
    <d v="2022-01-31T00:00:00"/>
    <x v="9"/>
    <x v="3"/>
    <x v="0"/>
    <n v="173.47"/>
    <n v="133.57"/>
    <n v="1"/>
    <n v="173.47"/>
    <n v="133.57"/>
    <n v="39.900000000000006"/>
    <n v="0.23001095290251919"/>
    <x v="9"/>
    <n v="39.900000000000006"/>
  </r>
  <r>
    <d v="2022-10-27T00:00:00"/>
    <x v="7"/>
    <x v="0"/>
    <x v="3"/>
    <n v="1369.34"/>
    <n v="1005.09"/>
    <n v="6"/>
    <n v="8216.0399999999991"/>
    <n v="6030.54"/>
    <n v="2185.4999999999991"/>
    <n v="0.26600406035024166"/>
    <x v="25"/>
    <n v="2185.4999999999991"/>
  </r>
  <r>
    <d v="2024-01-28T00:00:00"/>
    <x v="5"/>
    <x v="3"/>
    <x v="2"/>
    <n v="1187.6600000000001"/>
    <n v="676.65"/>
    <n v="4"/>
    <n v="4750.6400000000003"/>
    <n v="2706.6"/>
    <n v="2044.0400000000004"/>
    <n v="0.43026623781216855"/>
    <x v="26"/>
    <n v="2044.0400000000004"/>
  </r>
  <r>
    <d v="2022-05-14T00:00:00"/>
    <x v="7"/>
    <x v="0"/>
    <x v="2"/>
    <n v="1185.6099999999999"/>
    <n v="622.66"/>
    <n v="3"/>
    <n v="3556.83"/>
    <n v="1867.98"/>
    <n v="1688.85"/>
    <n v="0.47481886961142367"/>
    <x v="35"/>
    <n v="1688.85"/>
  </r>
  <r>
    <d v="2023-05-09T00:00:00"/>
    <x v="10"/>
    <x v="2"/>
    <x v="3"/>
    <n v="995.97"/>
    <n v="571.02"/>
    <n v="5"/>
    <n v="4979.8500000000004"/>
    <n v="2855.1"/>
    <n v="2124.7500000000005"/>
    <n v="0.42666947799632526"/>
    <x v="31"/>
    <n v="2124.7500000000005"/>
  </r>
  <r>
    <d v="2023-08-11T00:00:00"/>
    <x v="9"/>
    <x v="3"/>
    <x v="0"/>
    <n v="237.6"/>
    <n v="118.96"/>
    <n v="2"/>
    <n v="475.2"/>
    <n v="237.92"/>
    <n v="237.28"/>
    <n v="0.49932659932659934"/>
    <x v="14"/>
    <n v="237.28"/>
  </r>
  <r>
    <d v="2023-10-01T00:00:00"/>
    <x v="5"/>
    <x v="3"/>
    <x v="1"/>
    <n v="865.5"/>
    <n v="704.96"/>
    <n v="9"/>
    <n v="7789.5"/>
    <n v="6344.64"/>
    <n v="1444.8599999999997"/>
    <n v="0.18548815713460423"/>
    <x v="5"/>
    <n v="1444.8599999999997"/>
  </r>
  <r>
    <d v="2024-11-27T00:00:00"/>
    <x v="8"/>
    <x v="1"/>
    <x v="2"/>
    <n v="1973.89"/>
    <n v="1515.83"/>
    <n v="1"/>
    <n v="1973.89"/>
    <n v="1515.83"/>
    <n v="458.06000000000017"/>
    <n v="0.23205953725891521"/>
    <x v="2"/>
    <n v="458.06000000000017"/>
  </r>
  <r>
    <d v="2024-12-09T00:00:00"/>
    <x v="5"/>
    <x v="3"/>
    <x v="1"/>
    <n v="1201.47"/>
    <n v="998.75"/>
    <n v="8"/>
    <n v="9611.76"/>
    <n v="7990"/>
    <n v="1621.7600000000002"/>
    <n v="0.16872664319541897"/>
    <x v="23"/>
    <n v="1621.7600000000002"/>
  </r>
  <r>
    <d v="2022-02-08T00:00:00"/>
    <x v="7"/>
    <x v="0"/>
    <x v="3"/>
    <n v="1467.47"/>
    <n v="815.29"/>
    <n v="1"/>
    <n v="1467.47"/>
    <n v="815.29"/>
    <n v="652.18000000000006"/>
    <n v="0.44442475825740907"/>
    <x v="20"/>
    <n v="652.18000000000006"/>
  </r>
  <r>
    <d v="2022-04-11T00:00:00"/>
    <x v="9"/>
    <x v="3"/>
    <x v="2"/>
    <n v="1581.06"/>
    <n v="1287.01"/>
    <n v="2"/>
    <n v="3162.12"/>
    <n v="2574.02"/>
    <n v="588.09999999999991"/>
    <n v="0.1859828216512972"/>
    <x v="32"/>
    <n v="588.09999999999991"/>
  </r>
  <r>
    <d v="2023-11-12T00:00:00"/>
    <x v="7"/>
    <x v="0"/>
    <x v="3"/>
    <n v="1823.12"/>
    <n v="1615.76"/>
    <n v="8"/>
    <n v="14584.96"/>
    <n v="12926.08"/>
    <n v="1658.8799999999992"/>
    <n v="0.11373908464610114"/>
    <x v="10"/>
    <n v="1658.8799999999992"/>
  </r>
  <r>
    <d v="2024-04-27T00:00:00"/>
    <x v="10"/>
    <x v="2"/>
    <x v="3"/>
    <n v="94.72"/>
    <n v="62.87"/>
    <n v="4"/>
    <n v="378.88"/>
    <n v="251.48"/>
    <n v="127.4"/>
    <n v="0.33625422297297297"/>
    <x v="22"/>
    <n v="127.4"/>
  </r>
  <r>
    <d v="2024-08-30T00:00:00"/>
    <x v="2"/>
    <x v="0"/>
    <x v="1"/>
    <n v="1382.03"/>
    <n v="1003.01"/>
    <n v="4"/>
    <n v="5528.12"/>
    <n v="4012.04"/>
    <n v="1516.08"/>
    <n v="0.274248750027134"/>
    <x v="21"/>
    <n v="1516.08"/>
  </r>
  <r>
    <d v="2023-01-02T00:00:00"/>
    <x v="3"/>
    <x v="2"/>
    <x v="3"/>
    <n v="1371.42"/>
    <n v="1017.98"/>
    <n v="8"/>
    <n v="10971.36"/>
    <n v="8143.84"/>
    <n v="2827.5200000000004"/>
    <n v="0.25771827740590048"/>
    <x v="13"/>
    <n v="2827.5200000000004"/>
  </r>
  <r>
    <d v="2023-09-25T00:00:00"/>
    <x v="2"/>
    <x v="0"/>
    <x v="1"/>
    <n v="80.61"/>
    <n v="58.12"/>
    <n v="10"/>
    <n v="806.1"/>
    <n v="581.19999999999993"/>
    <n v="224.90000000000009"/>
    <n v="0.27899764297233604"/>
    <x v="24"/>
    <n v="224.90000000000009"/>
  </r>
  <r>
    <d v="2023-06-26T00:00:00"/>
    <x v="2"/>
    <x v="0"/>
    <x v="1"/>
    <n v="90.9"/>
    <n v="62.97"/>
    <n v="4"/>
    <n v="363.6"/>
    <n v="251.88"/>
    <n v="111.72000000000003"/>
    <n v="0.30726072607260729"/>
    <x v="0"/>
    <n v="111.72000000000003"/>
  </r>
  <r>
    <d v="2022-01-04T00:00:00"/>
    <x v="0"/>
    <x v="0"/>
    <x v="1"/>
    <n v="1576.7"/>
    <n v="1262.03"/>
    <n v="7"/>
    <n v="11036.9"/>
    <n v="8834.2099999999991"/>
    <n v="2202.6900000000005"/>
    <n v="0.19957506183801615"/>
    <x v="9"/>
    <n v="2202.6900000000005"/>
  </r>
  <r>
    <d v="2023-09-02T00:00:00"/>
    <x v="0"/>
    <x v="0"/>
    <x v="0"/>
    <n v="575.51"/>
    <n v="338.37"/>
    <n v="1"/>
    <n v="575.51"/>
    <n v="338.37"/>
    <n v="237.14"/>
    <n v="0.41205191916734718"/>
    <x v="24"/>
    <n v="237.14"/>
  </r>
  <r>
    <d v="2022-08-27T00:00:00"/>
    <x v="6"/>
    <x v="3"/>
    <x v="2"/>
    <n v="668.32"/>
    <n v="353.08"/>
    <n v="1"/>
    <n v="668.32"/>
    <n v="353.08"/>
    <n v="315.24000000000007"/>
    <n v="0.47169020828345709"/>
    <x v="15"/>
    <n v="315.24000000000007"/>
  </r>
  <r>
    <d v="2023-02-08T00:00:00"/>
    <x v="8"/>
    <x v="1"/>
    <x v="1"/>
    <n v="1680.52"/>
    <n v="1176.0899999999999"/>
    <n v="7"/>
    <n v="11763.64"/>
    <n v="8232.6299999999992"/>
    <n v="3531.01"/>
    <n v="0.30016304477185635"/>
    <x v="27"/>
    <n v="3531.01"/>
  </r>
  <r>
    <d v="2024-11-21T00:00:00"/>
    <x v="5"/>
    <x v="3"/>
    <x v="0"/>
    <n v="167.88"/>
    <n v="123.41"/>
    <n v="9"/>
    <n v="1510.92"/>
    <n v="1110.69"/>
    <n v="400.23"/>
    <n v="0.26489158923040268"/>
    <x v="2"/>
    <n v="400.23"/>
  </r>
  <r>
    <d v="2024-01-04T00:00:00"/>
    <x v="1"/>
    <x v="1"/>
    <x v="1"/>
    <n v="1178.92"/>
    <n v="724.44"/>
    <n v="10"/>
    <n v="11789.2"/>
    <n v="7244.4000000000005"/>
    <n v="4544.8"/>
    <n v="0.38550537780341326"/>
    <x v="26"/>
    <n v="4544.8"/>
  </r>
  <r>
    <d v="2022-11-01T00:00:00"/>
    <x v="8"/>
    <x v="1"/>
    <x v="1"/>
    <n v="298.69"/>
    <n v="231.41"/>
    <n v="3"/>
    <n v="896.06999999999994"/>
    <n v="694.23"/>
    <n v="201.83999999999992"/>
    <n v="0.22525025946633626"/>
    <x v="1"/>
    <n v="201.83999999999992"/>
  </r>
  <r>
    <d v="2022-04-23T00:00:00"/>
    <x v="9"/>
    <x v="3"/>
    <x v="0"/>
    <n v="1494.04"/>
    <n v="1204.0899999999999"/>
    <n v="3"/>
    <n v="4482.12"/>
    <n v="3612.2699999999995"/>
    <n v="869.85000000000036"/>
    <n v="0.19407110920725024"/>
    <x v="32"/>
    <n v="869.85000000000036"/>
  </r>
  <r>
    <d v="2024-03-04T00:00:00"/>
    <x v="8"/>
    <x v="1"/>
    <x v="1"/>
    <n v="684.04"/>
    <n v="436.44"/>
    <n v="10"/>
    <n v="6840.4"/>
    <n v="4364.3999999999996"/>
    <n v="2476"/>
    <n v="0.36196713642477052"/>
    <x v="29"/>
    <n v="2476"/>
  </r>
  <r>
    <d v="2023-01-08T00:00:00"/>
    <x v="9"/>
    <x v="3"/>
    <x v="2"/>
    <n v="1006.43"/>
    <n v="642.24"/>
    <n v="9"/>
    <n v="9057.869999999999"/>
    <n v="5780.16"/>
    <n v="3277.7099999999991"/>
    <n v="0.36186321949862377"/>
    <x v="13"/>
    <n v="3277.7099999999991"/>
  </r>
  <r>
    <d v="2022-12-03T00:00:00"/>
    <x v="2"/>
    <x v="0"/>
    <x v="0"/>
    <n v="209.37"/>
    <n v="167.88"/>
    <n v="1"/>
    <n v="209.37"/>
    <n v="167.88"/>
    <n v="41.490000000000009"/>
    <n v="0.19816592635048005"/>
    <x v="33"/>
    <n v="41.490000000000009"/>
  </r>
  <r>
    <d v="2024-08-18T00:00:00"/>
    <x v="5"/>
    <x v="3"/>
    <x v="3"/>
    <n v="682.49"/>
    <n v="450.79"/>
    <n v="2"/>
    <n v="1364.98"/>
    <n v="901.58"/>
    <n v="463.4"/>
    <n v="0.33949215373119018"/>
    <x v="21"/>
    <n v="463.4"/>
  </r>
  <r>
    <d v="2023-12-01T00:00:00"/>
    <x v="4"/>
    <x v="2"/>
    <x v="0"/>
    <n v="21.62"/>
    <n v="18.79"/>
    <n v="1"/>
    <n v="21.62"/>
    <n v="18.79"/>
    <n v="2.8300000000000018"/>
    <n v="0.1308973172987975"/>
    <x v="30"/>
    <n v="2.8300000000000018"/>
  </r>
  <r>
    <d v="2024-05-21T00:00:00"/>
    <x v="4"/>
    <x v="2"/>
    <x v="2"/>
    <n v="1286.69"/>
    <n v="981.55"/>
    <n v="7"/>
    <n v="9006.83"/>
    <n v="6870.8499999999995"/>
    <n v="2135.9800000000005"/>
    <n v="0.23715113974617047"/>
    <x v="3"/>
    <n v="2135.9800000000005"/>
  </r>
  <r>
    <d v="2024-10-30T00:00:00"/>
    <x v="5"/>
    <x v="3"/>
    <x v="3"/>
    <n v="1018.3"/>
    <n v="759.68"/>
    <n v="8"/>
    <n v="8146.4"/>
    <n v="6077.44"/>
    <n v="2068.96"/>
    <n v="0.2539723067858195"/>
    <x v="17"/>
    <n v="2068.96"/>
  </r>
  <r>
    <d v="2023-09-26T00:00:00"/>
    <x v="4"/>
    <x v="2"/>
    <x v="1"/>
    <n v="407.8"/>
    <n v="255.82"/>
    <n v="5"/>
    <n v="2039"/>
    <n v="1279.0999999999999"/>
    <n v="759.90000000000009"/>
    <n v="0.37268268759195688"/>
    <x v="24"/>
    <n v="759.90000000000009"/>
  </r>
  <r>
    <d v="2023-02-20T00:00:00"/>
    <x v="3"/>
    <x v="2"/>
    <x v="2"/>
    <n v="777.79"/>
    <n v="435.19"/>
    <n v="9"/>
    <n v="7000.11"/>
    <n v="3916.71"/>
    <n v="3083.3999999999996"/>
    <n v="0.44047879247611821"/>
    <x v="27"/>
    <n v="3083.3999999999996"/>
  </r>
  <r>
    <d v="2024-10-16T00:00:00"/>
    <x v="8"/>
    <x v="1"/>
    <x v="2"/>
    <n v="1453.54"/>
    <n v="756.31"/>
    <n v="5"/>
    <n v="7267.7"/>
    <n v="3781.5499999999997"/>
    <n v="3486.15"/>
    <n v="0.47967720186578977"/>
    <x v="17"/>
    <n v="3486.15"/>
  </r>
  <r>
    <d v="2024-03-05T00:00:00"/>
    <x v="5"/>
    <x v="3"/>
    <x v="3"/>
    <n v="1526.21"/>
    <n v="800.25"/>
    <n v="5"/>
    <n v="7631.05"/>
    <n v="4001.25"/>
    <n v="3629.8"/>
    <n v="0.47566193380989513"/>
    <x v="29"/>
    <n v="3629.8"/>
  </r>
  <r>
    <d v="2023-10-05T00:00:00"/>
    <x v="0"/>
    <x v="0"/>
    <x v="2"/>
    <n v="1878.02"/>
    <n v="1678.32"/>
    <n v="10"/>
    <n v="18780.2"/>
    <n v="16783.2"/>
    <n v="1997"/>
    <n v="0.10633539578918222"/>
    <x v="5"/>
    <n v="1997"/>
  </r>
  <r>
    <d v="2022-05-27T00:00:00"/>
    <x v="9"/>
    <x v="3"/>
    <x v="1"/>
    <n v="1451.3"/>
    <n v="1021.37"/>
    <n v="1"/>
    <n v="1451.3"/>
    <n v="1021.37"/>
    <n v="429.92999999999995"/>
    <n v="0.29623785571556532"/>
    <x v="35"/>
    <n v="429.92999999999995"/>
  </r>
  <r>
    <d v="2023-04-02T00:00:00"/>
    <x v="7"/>
    <x v="0"/>
    <x v="1"/>
    <n v="1049.8800000000001"/>
    <n v="644.39"/>
    <n v="1"/>
    <n v="1049.8800000000001"/>
    <n v="644.39"/>
    <n v="405.49000000000012"/>
    <n v="0.38622509239151148"/>
    <x v="6"/>
    <n v="405.49000000000012"/>
  </r>
  <r>
    <d v="2023-03-01T00:00:00"/>
    <x v="10"/>
    <x v="2"/>
    <x v="2"/>
    <n v="1899.4"/>
    <n v="1697.5"/>
    <n v="8"/>
    <n v="15195.2"/>
    <n v="13580"/>
    <n v="1615.2000000000007"/>
    <n v="0.10629672528166793"/>
    <x v="19"/>
    <n v="1615.2000000000007"/>
  </r>
  <r>
    <d v="2023-11-19T00:00:00"/>
    <x v="0"/>
    <x v="0"/>
    <x v="3"/>
    <n v="963.65"/>
    <n v="735.78"/>
    <n v="3"/>
    <n v="2890.95"/>
    <n v="2207.34"/>
    <n v="683.60999999999967"/>
    <n v="0.23646552171431526"/>
    <x v="10"/>
    <n v="683.60999999999967"/>
  </r>
  <r>
    <d v="2022-08-23T00:00:00"/>
    <x v="0"/>
    <x v="0"/>
    <x v="2"/>
    <n v="438.83"/>
    <n v="255.16"/>
    <n v="10"/>
    <n v="4388.3"/>
    <n v="2551.6"/>
    <n v="1836.7000000000003"/>
    <n v="0.41854476676617375"/>
    <x v="15"/>
    <n v="1836.7000000000003"/>
  </r>
  <r>
    <d v="2024-04-23T00:00:00"/>
    <x v="4"/>
    <x v="2"/>
    <x v="3"/>
    <n v="1644.37"/>
    <n v="1353.15"/>
    <n v="5"/>
    <n v="8221.8499999999985"/>
    <n v="6765.75"/>
    <n v="1456.0999999999985"/>
    <n v="0.17710126066517862"/>
    <x v="22"/>
    <n v="1456.0999999999985"/>
  </r>
  <r>
    <d v="2023-11-12T00:00:00"/>
    <x v="4"/>
    <x v="2"/>
    <x v="3"/>
    <n v="1363.23"/>
    <n v="1165.8399999999999"/>
    <n v="9"/>
    <n v="12269.07"/>
    <n v="10492.56"/>
    <n v="1776.5100000000002"/>
    <n v="0.14479581581978099"/>
    <x v="10"/>
    <n v="1776.5100000000002"/>
  </r>
  <r>
    <d v="2023-01-31T00:00:00"/>
    <x v="7"/>
    <x v="0"/>
    <x v="1"/>
    <n v="929.63"/>
    <n v="761.63"/>
    <n v="4"/>
    <n v="3718.52"/>
    <n v="3046.52"/>
    <n v="672"/>
    <n v="0.18071705947527511"/>
    <x v="13"/>
    <n v="672"/>
  </r>
  <r>
    <d v="2022-10-08T00:00:00"/>
    <x v="10"/>
    <x v="2"/>
    <x v="3"/>
    <n v="736.87"/>
    <n v="416.29"/>
    <n v="9"/>
    <n v="6631.83"/>
    <n v="3746.61"/>
    <n v="2885.22"/>
    <n v="0.43505638715105782"/>
    <x v="25"/>
    <n v="2885.22"/>
  </r>
  <r>
    <d v="2023-07-03T00:00:00"/>
    <x v="10"/>
    <x v="2"/>
    <x v="2"/>
    <n v="1449.21"/>
    <n v="1169.03"/>
    <n v="7"/>
    <n v="10144.470000000001"/>
    <n v="8183.21"/>
    <n v="1961.2600000000011"/>
    <n v="0.19333291931466118"/>
    <x v="11"/>
    <n v="1961.2600000000011"/>
  </r>
  <r>
    <d v="2024-05-16T00:00:00"/>
    <x v="0"/>
    <x v="0"/>
    <x v="3"/>
    <n v="1623.39"/>
    <n v="1234.94"/>
    <n v="6"/>
    <n v="9740.34"/>
    <n v="7409.64"/>
    <n v="2330.6999999999998"/>
    <n v="0.23928322830619875"/>
    <x v="3"/>
    <n v="2330.6999999999998"/>
  </r>
  <r>
    <d v="2023-07-25T00:00:00"/>
    <x v="1"/>
    <x v="1"/>
    <x v="0"/>
    <n v="1088.3599999999999"/>
    <n v="851.97"/>
    <n v="8"/>
    <n v="8706.8799999999992"/>
    <n v="6815.76"/>
    <n v="1891.119999999999"/>
    <n v="0.2171983534859788"/>
    <x v="11"/>
    <n v="1891.119999999999"/>
  </r>
  <r>
    <d v="2022-07-25T00:00:00"/>
    <x v="3"/>
    <x v="2"/>
    <x v="3"/>
    <n v="871.75"/>
    <n v="720.86"/>
    <n v="6"/>
    <n v="5230.5"/>
    <n v="4325.16"/>
    <n v="905.34000000000015"/>
    <n v="0.1730886148551764"/>
    <x v="8"/>
    <n v="905.34000000000015"/>
  </r>
  <r>
    <d v="2022-06-14T00:00:00"/>
    <x v="1"/>
    <x v="1"/>
    <x v="0"/>
    <n v="604.53"/>
    <n v="421.91"/>
    <n v="3"/>
    <n v="1813.59"/>
    <n v="1265.73"/>
    <n v="547.8599999999999"/>
    <n v="0.30208591798587331"/>
    <x v="18"/>
    <n v="547.8599999999999"/>
  </r>
  <r>
    <d v="2024-12-13T00:00:00"/>
    <x v="5"/>
    <x v="3"/>
    <x v="1"/>
    <n v="532.24"/>
    <n v="427.9"/>
    <n v="7"/>
    <n v="3725.6800000000003"/>
    <n v="2995.2999999999997"/>
    <n v="730.38000000000056"/>
    <n v="0.19603938073049765"/>
    <x v="23"/>
    <n v="730.38000000000056"/>
  </r>
  <r>
    <d v="2023-01-07T00:00:00"/>
    <x v="3"/>
    <x v="2"/>
    <x v="2"/>
    <n v="1714.39"/>
    <n v="867.3"/>
    <n v="5"/>
    <n v="8571.9500000000007"/>
    <n v="4336.5"/>
    <n v="4235.4500000000007"/>
    <n v="0.49410577523200677"/>
    <x v="13"/>
    <n v="4235.4500000000007"/>
  </r>
  <r>
    <d v="2022-01-01T00:00:00"/>
    <x v="4"/>
    <x v="2"/>
    <x v="0"/>
    <n v="1023.56"/>
    <n v="555.29"/>
    <n v="6"/>
    <n v="6141.36"/>
    <n v="3331.74"/>
    <n v="2809.62"/>
    <n v="0.45749150025401542"/>
    <x v="9"/>
    <n v="2809.62"/>
  </r>
  <r>
    <d v="2024-11-11T00:00:00"/>
    <x v="3"/>
    <x v="2"/>
    <x v="0"/>
    <n v="905.28"/>
    <n v="633.94000000000005"/>
    <n v="9"/>
    <n v="8147.5199999999995"/>
    <n v="5705.4600000000009"/>
    <n v="2442.0599999999986"/>
    <n v="0.29973047013078813"/>
    <x v="2"/>
    <n v="2442.0599999999986"/>
  </r>
  <r>
    <d v="2022-11-03T00:00:00"/>
    <x v="4"/>
    <x v="2"/>
    <x v="2"/>
    <n v="1007.89"/>
    <n v="607.34"/>
    <n v="4"/>
    <n v="4031.56"/>
    <n v="2429.36"/>
    <n v="1602.1999999999998"/>
    <n v="0.3974144003809939"/>
    <x v="1"/>
    <n v="1602.1999999999998"/>
  </r>
  <r>
    <d v="2023-01-13T00:00:00"/>
    <x v="2"/>
    <x v="0"/>
    <x v="1"/>
    <n v="1612.44"/>
    <n v="965.24"/>
    <n v="3"/>
    <n v="4837.32"/>
    <n v="2895.7200000000003"/>
    <n v="1941.5999999999995"/>
    <n v="0.40137927612810392"/>
    <x v="13"/>
    <n v="1941.5999999999995"/>
  </r>
  <r>
    <d v="2023-10-22T00:00:00"/>
    <x v="9"/>
    <x v="3"/>
    <x v="3"/>
    <n v="1833.35"/>
    <n v="1274.33"/>
    <n v="6"/>
    <n v="11000.099999999999"/>
    <n v="7645.98"/>
    <n v="3354.119999999999"/>
    <n v="0.30491722802519972"/>
    <x v="5"/>
    <n v="3354.119999999999"/>
  </r>
  <r>
    <d v="2022-03-15T00:00:00"/>
    <x v="7"/>
    <x v="0"/>
    <x v="0"/>
    <n v="792.02"/>
    <n v="538.35"/>
    <n v="2"/>
    <n v="1584.04"/>
    <n v="1076.7"/>
    <n v="507.33999999999992"/>
    <n v="0.32028231610312868"/>
    <x v="7"/>
    <n v="507.33999999999992"/>
  </r>
  <r>
    <d v="2022-03-06T00:00:00"/>
    <x v="0"/>
    <x v="0"/>
    <x v="0"/>
    <n v="1616.97"/>
    <n v="1009.53"/>
    <n v="3"/>
    <n v="4850.91"/>
    <n v="3028.59"/>
    <n v="1822.3199999999997"/>
    <n v="0.37566559676431838"/>
    <x v="7"/>
    <n v="1822.3199999999997"/>
  </r>
  <r>
    <d v="2022-06-21T00:00:00"/>
    <x v="2"/>
    <x v="0"/>
    <x v="1"/>
    <n v="776.08"/>
    <n v="487.67"/>
    <n v="2"/>
    <n v="1552.16"/>
    <n v="975.34"/>
    <n v="576.82000000000005"/>
    <n v="0.37162405937532217"/>
    <x v="18"/>
    <n v="576.82000000000005"/>
  </r>
  <r>
    <d v="2023-04-02T00:00:00"/>
    <x v="4"/>
    <x v="2"/>
    <x v="3"/>
    <n v="1764.52"/>
    <n v="1405.79"/>
    <n v="6"/>
    <n v="10587.119999999999"/>
    <n v="8434.74"/>
    <n v="2152.3799999999992"/>
    <n v="0.20330174778409987"/>
    <x v="6"/>
    <n v="2152.3799999999992"/>
  </r>
  <r>
    <d v="2022-06-11T00:00:00"/>
    <x v="9"/>
    <x v="3"/>
    <x v="1"/>
    <n v="365.01"/>
    <n v="201.26"/>
    <n v="2"/>
    <n v="730.02"/>
    <n v="402.52"/>
    <n v="327.5"/>
    <n v="0.44861784608640859"/>
    <x v="18"/>
    <n v="327.5"/>
  </r>
  <r>
    <d v="2024-06-13T00:00:00"/>
    <x v="10"/>
    <x v="2"/>
    <x v="1"/>
    <n v="987.87"/>
    <n v="582.74"/>
    <n v="5"/>
    <n v="4939.3500000000004"/>
    <n v="2913.7"/>
    <n v="2025.6500000000005"/>
    <n v="0.41010456841487247"/>
    <x v="4"/>
    <n v="2025.6500000000005"/>
  </r>
  <r>
    <d v="2022-06-02T00:00:00"/>
    <x v="6"/>
    <x v="3"/>
    <x v="1"/>
    <n v="1764.88"/>
    <n v="1165.43"/>
    <n v="2"/>
    <n v="3529.76"/>
    <n v="2330.86"/>
    <n v="1198.9000000000001"/>
    <n v="0.33965482072435521"/>
    <x v="18"/>
    <n v="1198.9000000000001"/>
  </r>
  <r>
    <d v="2023-07-27T00:00:00"/>
    <x v="7"/>
    <x v="0"/>
    <x v="3"/>
    <n v="1529.75"/>
    <n v="1302.6500000000001"/>
    <n v="2"/>
    <n v="3059.5"/>
    <n v="2605.3000000000002"/>
    <n v="454.19999999999982"/>
    <n v="0.14845563000490269"/>
    <x v="11"/>
    <n v="454.19999999999982"/>
  </r>
  <r>
    <d v="2024-12-01T00:00:00"/>
    <x v="4"/>
    <x v="2"/>
    <x v="1"/>
    <n v="855.77"/>
    <n v="536.91"/>
    <n v="3"/>
    <n v="2567.31"/>
    <n v="1610.73"/>
    <n v="956.57999999999993"/>
    <n v="0.37260011451675096"/>
    <x v="23"/>
    <n v="956.57999999999993"/>
  </r>
  <r>
    <d v="2022-12-13T00:00:00"/>
    <x v="6"/>
    <x v="3"/>
    <x v="3"/>
    <n v="680.7"/>
    <n v="565.75"/>
    <n v="2"/>
    <n v="1361.4"/>
    <n v="1131.5"/>
    <n v="229.90000000000009"/>
    <n v="0.16887028059350673"/>
    <x v="33"/>
    <n v="229.90000000000009"/>
  </r>
  <r>
    <d v="2024-11-07T00:00:00"/>
    <x v="5"/>
    <x v="3"/>
    <x v="3"/>
    <n v="862.82"/>
    <n v="511.66"/>
    <n v="6"/>
    <n v="5176.92"/>
    <n v="3069.96"/>
    <n v="2106.96"/>
    <n v="0.40699102941517351"/>
    <x v="2"/>
    <n v="2106.96"/>
  </r>
  <r>
    <d v="2023-08-08T00:00:00"/>
    <x v="10"/>
    <x v="2"/>
    <x v="2"/>
    <n v="1487.36"/>
    <n v="921.03"/>
    <n v="10"/>
    <n v="14873.599999999999"/>
    <n v="9210.2999999999993"/>
    <n v="5663.2999999999993"/>
    <n v="0.38076188683304646"/>
    <x v="14"/>
    <n v="5663.2999999999993"/>
  </r>
  <r>
    <d v="2022-03-03T00:00:00"/>
    <x v="10"/>
    <x v="2"/>
    <x v="0"/>
    <n v="1678.96"/>
    <n v="1014.45"/>
    <n v="2"/>
    <n v="3357.92"/>
    <n v="2028.9"/>
    <n v="1329.02"/>
    <n v="0.39578667746700336"/>
    <x v="7"/>
    <n v="1329.02"/>
  </r>
  <r>
    <d v="2023-03-22T00:00:00"/>
    <x v="2"/>
    <x v="0"/>
    <x v="2"/>
    <n v="785.26"/>
    <n v="661.95"/>
    <n v="7"/>
    <n v="5496.82"/>
    <n v="4633.6500000000005"/>
    <n v="863.16999999999916"/>
    <n v="0.15703079234903075"/>
    <x v="19"/>
    <n v="863.16999999999916"/>
  </r>
  <r>
    <d v="2023-10-27T00:00:00"/>
    <x v="6"/>
    <x v="3"/>
    <x v="2"/>
    <n v="1829.87"/>
    <n v="1595.24"/>
    <n v="6"/>
    <n v="10979.22"/>
    <n v="9571.44"/>
    <n v="1407.7799999999988"/>
    <n v="0.12822222343663747"/>
    <x v="5"/>
    <n v="1407.7799999999988"/>
  </r>
  <r>
    <d v="2024-03-15T00:00:00"/>
    <x v="10"/>
    <x v="2"/>
    <x v="1"/>
    <n v="1763.72"/>
    <n v="1322.32"/>
    <n v="1"/>
    <n v="1763.72"/>
    <n v="1322.32"/>
    <n v="441.40000000000009"/>
    <n v="0.2502664822080603"/>
    <x v="29"/>
    <n v="441.40000000000009"/>
  </r>
  <r>
    <d v="2023-05-21T00:00:00"/>
    <x v="5"/>
    <x v="3"/>
    <x v="2"/>
    <n v="1378.91"/>
    <n v="1117.26"/>
    <n v="9"/>
    <n v="12410.19"/>
    <n v="10055.34"/>
    <n v="2354.8500000000004"/>
    <n v="0.18975132532217479"/>
    <x v="31"/>
    <n v="2354.8500000000004"/>
  </r>
  <r>
    <d v="2024-02-09T00:00:00"/>
    <x v="7"/>
    <x v="0"/>
    <x v="3"/>
    <n v="1837.81"/>
    <n v="1070.77"/>
    <n v="4"/>
    <n v="7351.24"/>
    <n v="4283.08"/>
    <n v="3068.16"/>
    <n v="0.41736632187222833"/>
    <x v="34"/>
    <n v="3068.16"/>
  </r>
  <r>
    <d v="2024-12-05T00:00:00"/>
    <x v="4"/>
    <x v="2"/>
    <x v="2"/>
    <n v="223.6"/>
    <n v="127.85"/>
    <n v="6"/>
    <n v="1341.6"/>
    <n v="767.09999999999991"/>
    <n v="574.5"/>
    <n v="0.42822003577817536"/>
    <x v="23"/>
    <n v="574.5"/>
  </r>
  <r>
    <d v="2024-11-06T00:00:00"/>
    <x v="0"/>
    <x v="0"/>
    <x v="1"/>
    <n v="1819.77"/>
    <n v="1331.96"/>
    <n v="3"/>
    <n v="5459.3099999999995"/>
    <n v="3995.88"/>
    <n v="1463.4299999999994"/>
    <n v="0.26806134841216189"/>
    <x v="2"/>
    <n v="1463.4299999999994"/>
  </r>
  <r>
    <d v="2024-01-23T00:00:00"/>
    <x v="4"/>
    <x v="2"/>
    <x v="2"/>
    <n v="620.12"/>
    <n v="517.74"/>
    <n v="2"/>
    <n v="1240.24"/>
    <n v="1035.48"/>
    <n v="204.76"/>
    <n v="0.16509707798490614"/>
    <x v="26"/>
    <n v="204.76"/>
  </r>
  <r>
    <d v="2024-03-05T00:00:00"/>
    <x v="4"/>
    <x v="2"/>
    <x v="2"/>
    <n v="268.26"/>
    <n v="177.9"/>
    <n v="1"/>
    <n v="268.26"/>
    <n v="177.9"/>
    <n v="90.359999999999985"/>
    <n v="0.33683739655558037"/>
    <x v="29"/>
    <n v="90.359999999999985"/>
  </r>
  <r>
    <d v="2022-11-08T00:00:00"/>
    <x v="4"/>
    <x v="2"/>
    <x v="3"/>
    <n v="531.76"/>
    <n v="422.05"/>
    <n v="6"/>
    <n v="3190.56"/>
    <n v="2532.3000000000002"/>
    <n v="658.25999999999976"/>
    <n v="0.20631487889273351"/>
    <x v="1"/>
    <n v="658.25999999999976"/>
  </r>
  <r>
    <d v="2022-04-15T00:00:00"/>
    <x v="9"/>
    <x v="3"/>
    <x v="1"/>
    <n v="1243.9100000000001"/>
    <n v="741.93"/>
    <n v="5"/>
    <n v="6219.55"/>
    <n v="3709.6499999999996"/>
    <n v="2509.9000000000005"/>
    <n v="0.4035500960680436"/>
    <x v="32"/>
    <n v="2509.9000000000005"/>
  </r>
  <r>
    <d v="2024-02-12T00:00:00"/>
    <x v="0"/>
    <x v="0"/>
    <x v="1"/>
    <n v="1334.6"/>
    <n v="1003.06"/>
    <n v="3"/>
    <n v="4003.7999999999997"/>
    <n v="3009.18"/>
    <n v="994.61999999999989"/>
    <n v="0.24841900194814925"/>
    <x v="34"/>
    <n v="994.61999999999989"/>
  </r>
  <r>
    <d v="2022-11-22T00:00:00"/>
    <x v="8"/>
    <x v="1"/>
    <x v="2"/>
    <n v="1667.09"/>
    <n v="1113.28"/>
    <n v="10"/>
    <n v="16670.899999999998"/>
    <n v="11132.8"/>
    <n v="5538.0999999999985"/>
    <n v="0.33220162078831972"/>
    <x v="1"/>
    <n v="5538.0999999999985"/>
  </r>
  <r>
    <d v="2023-11-29T00:00:00"/>
    <x v="8"/>
    <x v="1"/>
    <x v="2"/>
    <n v="335.26"/>
    <n v="273.41000000000003"/>
    <n v="8"/>
    <n v="2682.08"/>
    <n v="2187.2800000000002"/>
    <n v="494.79999999999973"/>
    <n v="0.18448368430471862"/>
    <x v="10"/>
    <n v="494.79999999999973"/>
  </r>
  <r>
    <d v="2022-06-04T00:00:00"/>
    <x v="5"/>
    <x v="3"/>
    <x v="2"/>
    <n v="1717.05"/>
    <n v="1027.24"/>
    <n v="5"/>
    <n v="8585.25"/>
    <n v="5136.2"/>
    <n v="3449.05"/>
    <n v="0.40174135872572148"/>
    <x v="18"/>
    <n v="3449.05"/>
  </r>
  <r>
    <d v="2022-05-06T00:00:00"/>
    <x v="4"/>
    <x v="2"/>
    <x v="3"/>
    <n v="460.75"/>
    <n v="344.42"/>
    <n v="3"/>
    <n v="1382.25"/>
    <n v="1033.26"/>
    <n v="348.99"/>
    <n v="0.25247965274009765"/>
    <x v="35"/>
    <n v="348.99"/>
  </r>
  <r>
    <d v="2022-12-06T00:00:00"/>
    <x v="6"/>
    <x v="3"/>
    <x v="1"/>
    <n v="220.23"/>
    <n v="136.75"/>
    <n v="9"/>
    <n v="1982.07"/>
    <n v="1230.75"/>
    <n v="751.31999999999994"/>
    <n v="0.37905825727648368"/>
    <x v="33"/>
    <n v="751.31999999999994"/>
  </r>
  <r>
    <d v="2023-03-09T00:00:00"/>
    <x v="10"/>
    <x v="2"/>
    <x v="3"/>
    <n v="799.29"/>
    <n v="692.55"/>
    <n v="8"/>
    <n v="6394.32"/>
    <n v="5540.4"/>
    <n v="853.92000000000007"/>
    <n v="0.1335435198738881"/>
    <x v="19"/>
    <n v="853.92000000000007"/>
  </r>
  <r>
    <d v="2022-12-21T00:00:00"/>
    <x v="0"/>
    <x v="0"/>
    <x v="3"/>
    <n v="530.51"/>
    <n v="384.41"/>
    <n v="6"/>
    <n v="3183.06"/>
    <n v="2306.46"/>
    <n v="876.59999999999991"/>
    <n v="0.2753953742625021"/>
    <x v="33"/>
    <n v="876.59999999999991"/>
  </r>
  <r>
    <d v="2024-04-04T00:00:00"/>
    <x v="9"/>
    <x v="3"/>
    <x v="1"/>
    <n v="78.12"/>
    <n v="43.09"/>
    <n v="10"/>
    <n v="781.2"/>
    <n v="430.90000000000003"/>
    <n v="350.3"/>
    <n v="0.44841269841269837"/>
    <x v="22"/>
    <n v="350.3"/>
  </r>
  <r>
    <d v="2023-09-28T00:00:00"/>
    <x v="5"/>
    <x v="3"/>
    <x v="3"/>
    <n v="716.91"/>
    <n v="400.75"/>
    <n v="8"/>
    <n v="5735.28"/>
    <n v="3206"/>
    <n v="2529.2799999999997"/>
    <n v="0.44100375221436439"/>
    <x v="24"/>
    <n v="2529.2799999999997"/>
  </r>
  <r>
    <d v="2022-05-03T00:00:00"/>
    <x v="8"/>
    <x v="1"/>
    <x v="0"/>
    <n v="413.53"/>
    <n v="290.55"/>
    <n v="4"/>
    <n v="1654.12"/>
    <n v="1162.2"/>
    <n v="491.91999999999985"/>
    <n v="0.29739075762338879"/>
    <x v="35"/>
    <n v="491.91999999999985"/>
  </r>
  <r>
    <d v="2022-12-19T00:00:00"/>
    <x v="1"/>
    <x v="1"/>
    <x v="3"/>
    <n v="409.18"/>
    <n v="244.57"/>
    <n v="2"/>
    <n v="818.36"/>
    <n v="489.14"/>
    <n v="329.22"/>
    <n v="0.40229238965736352"/>
    <x v="33"/>
    <n v="329.22"/>
  </r>
  <r>
    <d v="2022-10-23T00:00:00"/>
    <x v="6"/>
    <x v="3"/>
    <x v="2"/>
    <n v="1276.79"/>
    <n v="755.59"/>
    <n v="9"/>
    <n v="11491.11"/>
    <n v="6800.31"/>
    <n v="4690.8"/>
    <n v="0.40821121719311709"/>
    <x v="25"/>
    <n v="4690.8"/>
  </r>
  <r>
    <d v="2022-11-15T00:00:00"/>
    <x v="4"/>
    <x v="2"/>
    <x v="3"/>
    <n v="1867.43"/>
    <n v="1117.53"/>
    <n v="4"/>
    <n v="7469.72"/>
    <n v="4470.12"/>
    <n v="2999.6000000000004"/>
    <n v="0.40156793025709131"/>
    <x v="1"/>
    <n v="2999.6000000000004"/>
  </r>
  <r>
    <d v="2022-02-23T00:00:00"/>
    <x v="10"/>
    <x v="2"/>
    <x v="1"/>
    <n v="1045.1600000000001"/>
    <n v="871.22"/>
    <n v="4"/>
    <n v="4180.6400000000003"/>
    <n v="3484.88"/>
    <n v="695.76000000000022"/>
    <n v="0.16642427953614761"/>
    <x v="20"/>
    <n v="695.76000000000022"/>
  </r>
  <r>
    <d v="2023-05-11T00:00:00"/>
    <x v="10"/>
    <x v="2"/>
    <x v="0"/>
    <n v="557.30999999999995"/>
    <n v="361.19"/>
    <n v="5"/>
    <n v="2786.5499999999997"/>
    <n v="1805.95"/>
    <n v="980.59999999999968"/>
    <n v="0.35190468500475491"/>
    <x v="31"/>
    <n v="980.59999999999968"/>
  </r>
  <r>
    <d v="2023-10-30T00:00:00"/>
    <x v="4"/>
    <x v="2"/>
    <x v="3"/>
    <n v="1656.72"/>
    <n v="1188.3699999999999"/>
    <n v="6"/>
    <n v="9940.32"/>
    <n v="7130.2199999999993"/>
    <n v="2810.1000000000004"/>
    <n v="0.28269713651069589"/>
    <x v="5"/>
    <n v="2810.1000000000004"/>
  </r>
  <r>
    <d v="2022-09-07T00:00:00"/>
    <x v="8"/>
    <x v="1"/>
    <x v="2"/>
    <n v="1511.84"/>
    <n v="758.85"/>
    <n v="6"/>
    <n v="9071.0399999999991"/>
    <n v="4553.1000000000004"/>
    <n v="4517.9399999999987"/>
    <n v="0.49806196422901883"/>
    <x v="12"/>
    <n v="4517.9399999999987"/>
  </r>
  <r>
    <d v="2024-05-02T00:00:00"/>
    <x v="1"/>
    <x v="1"/>
    <x v="3"/>
    <n v="1043.01"/>
    <n v="598.89"/>
    <n v="4"/>
    <n v="4172.04"/>
    <n v="2395.56"/>
    <n v="1776.48"/>
    <n v="0.42580608047861479"/>
    <x v="3"/>
    <n v="1776.48"/>
  </r>
  <r>
    <d v="2023-03-17T00:00:00"/>
    <x v="8"/>
    <x v="1"/>
    <x v="1"/>
    <n v="518.46"/>
    <n v="348.43"/>
    <n v="1"/>
    <n v="518.46"/>
    <n v="348.43"/>
    <n v="170.03000000000003"/>
    <n v="0.32795201172703781"/>
    <x v="19"/>
    <n v="170.03000000000003"/>
  </r>
  <r>
    <d v="2023-05-30T00:00:00"/>
    <x v="8"/>
    <x v="1"/>
    <x v="3"/>
    <n v="260.39"/>
    <n v="173.42"/>
    <n v="7"/>
    <n v="1822.73"/>
    <n v="1213.9399999999998"/>
    <n v="608.79000000000019"/>
    <n v="0.33399900149775347"/>
    <x v="31"/>
    <n v="608.79000000000019"/>
  </r>
  <r>
    <d v="2024-03-24T00:00:00"/>
    <x v="8"/>
    <x v="1"/>
    <x v="3"/>
    <n v="987.27"/>
    <n v="504.8"/>
    <n v="7"/>
    <n v="6910.8899999999994"/>
    <n v="3533.6"/>
    <n v="3377.2899999999995"/>
    <n v="0.48869103689973359"/>
    <x v="29"/>
    <n v="3377.2899999999995"/>
  </r>
  <r>
    <d v="2024-07-08T00:00:00"/>
    <x v="8"/>
    <x v="1"/>
    <x v="2"/>
    <n v="694.21"/>
    <n v="355.99"/>
    <n v="6"/>
    <n v="4165.26"/>
    <n v="2135.94"/>
    <n v="2029.3200000000002"/>
    <n v="0.48720127915184169"/>
    <x v="28"/>
    <n v="2029.3200000000002"/>
  </r>
  <r>
    <d v="2024-01-27T00:00:00"/>
    <x v="8"/>
    <x v="1"/>
    <x v="0"/>
    <n v="1328.84"/>
    <n v="1191.06"/>
    <n v="2"/>
    <n v="2657.68"/>
    <n v="2382.12"/>
    <n v="275.55999999999995"/>
    <n v="0.10368441648354955"/>
    <x v="26"/>
    <n v="275.55999999999995"/>
  </r>
  <r>
    <d v="2022-03-16T00:00:00"/>
    <x v="1"/>
    <x v="1"/>
    <x v="1"/>
    <n v="1426.63"/>
    <n v="1054.55"/>
    <n v="3"/>
    <n v="4279.8900000000003"/>
    <n v="3163.6499999999996"/>
    <n v="1116.2400000000007"/>
    <n v="0.26081044138984893"/>
    <x v="7"/>
    <n v="1116.2400000000007"/>
  </r>
  <r>
    <d v="2022-04-16T00:00:00"/>
    <x v="8"/>
    <x v="1"/>
    <x v="0"/>
    <n v="1772.13"/>
    <n v="1044.5"/>
    <n v="8"/>
    <n v="14177.04"/>
    <n v="8356"/>
    <n v="5821.0400000000009"/>
    <n v="0.41059628808270277"/>
    <x v="32"/>
    <n v="5821.0400000000009"/>
  </r>
  <r>
    <d v="2022-03-09T00:00:00"/>
    <x v="8"/>
    <x v="1"/>
    <x v="0"/>
    <n v="1454.05"/>
    <n v="1278.31"/>
    <n v="8"/>
    <n v="11632.4"/>
    <n v="10226.48"/>
    <n v="1405.92"/>
    <n v="0.1208624187613906"/>
    <x v="7"/>
    <n v="1405.92"/>
  </r>
  <r>
    <d v="2022-10-22T00:00:00"/>
    <x v="6"/>
    <x v="3"/>
    <x v="3"/>
    <n v="672.27"/>
    <n v="508.71"/>
    <n v="10"/>
    <n v="6722.7"/>
    <n v="5087.0999999999995"/>
    <n v="1635.6000000000004"/>
    <n v="0.24329510464545501"/>
    <x v="25"/>
    <n v="1635.6000000000004"/>
  </r>
  <r>
    <d v="2024-06-08T00:00:00"/>
    <x v="0"/>
    <x v="0"/>
    <x v="3"/>
    <n v="650.88"/>
    <n v="444.46"/>
    <n v="5"/>
    <n v="3254.4"/>
    <n v="2222.2999999999997"/>
    <n v="1032.1000000000004"/>
    <n v="0.31713987217305811"/>
    <x v="4"/>
    <n v="1032.1000000000004"/>
  </r>
  <r>
    <d v="2022-02-06T00:00:00"/>
    <x v="10"/>
    <x v="2"/>
    <x v="2"/>
    <n v="966.99"/>
    <n v="506.87"/>
    <n v="8"/>
    <n v="7735.92"/>
    <n v="4054.96"/>
    <n v="3680.96"/>
    <n v="0.47582705095192296"/>
    <x v="20"/>
    <n v="3680.96"/>
  </r>
  <r>
    <d v="2023-07-10T00:00:00"/>
    <x v="8"/>
    <x v="1"/>
    <x v="3"/>
    <n v="903.76"/>
    <n v="555.77"/>
    <n v="7"/>
    <n v="6326.32"/>
    <n v="3890.39"/>
    <n v="2435.9299999999998"/>
    <n v="0.38504691511020622"/>
    <x v="11"/>
    <n v="2435.9299999999998"/>
  </r>
  <r>
    <d v="2024-01-17T00:00:00"/>
    <x v="2"/>
    <x v="0"/>
    <x v="3"/>
    <n v="1028.58"/>
    <n v="844.22"/>
    <n v="1"/>
    <n v="1028.58"/>
    <n v="844.22"/>
    <n v="184.3599999999999"/>
    <n v="0.17923739524392843"/>
    <x v="26"/>
    <n v="184.3599999999999"/>
  </r>
  <r>
    <d v="2022-02-08T00:00:00"/>
    <x v="1"/>
    <x v="1"/>
    <x v="1"/>
    <n v="1475.94"/>
    <n v="1108.6199999999999"/>
    <n v="9"/>
    <n v="13283.460000000001"/>
    <n v="9977.5799999999981"/>
    <n v="3305.8800000000028"/>
    <n v="0.24887190536200679"/>
    <x v="20"/>
    <n v="3305.8800000000028"/>
  </r>
  <r>
    <d v="2024-05-29T00:00:00"/>
    <x v="9"/>
    <x v="3"/>
    <x v="3"/>
    <n v="80.400000000000006"/>
    <n v="62.5"/>
    <n v="7"/>
    <n v="562.80000000000007"/>
    <n v="437.5"/>
    <n v="125.30000000000007"/>
    <n v="0.22263681592039811"/>
    <x v="3"/>
    <n v="125.30000000000007"/>
  </r>
  <r>
    <d v="2024-03-21T00:00:00"/>
    <x v="7"/>
    <x v="0"/>
    <x v="0"/>
    <n v="687.2"/>
    <n v="346.79"/>
    <n v="8"/>
    <n v="5497.6"/>
    <n v="2774.32"/>
    <n v="2723.28"/>
    <n v="0.49535797438882423"/>
    <x v="29"/>
    <n v="2723.28"/>
  </r>
  <r>
    <d v="2022-07-21T00:00:00"/>
    <x v="1"/>
    <x v="1"/>
    <x v="2"/>
    <n v="1904.01"/>
    <n v="1170.74"/>
    <n v="1"/>
    <n v="1904.01"/>
    <n v="1170.74"/>
    <n v="733.27"/>
    <n v="0.38511877563668256"/>
    <x v="8"/>
    <n v="733.27"/>
  </r>
  <r>
    <d v="2024-01-02T00:00:00"/>
    <x v="7"/>
    <x v="0"/>
    <x v="0"/>
    <n v="1796.75"/>
    <n v="1174.6400000000001"/>
    <n v="2"/>
    <n v="3593.5"/>
    <n v="2349.2800000000002"/>
    <n v="1244.2199999999998"/>
    <n v="0.34624182551829685"/>
    <x v="26"/>
    <n v="1244.2199999999998"/>
  </r>
  <r>
    <d v="2022-01-26T00:00:00"/>
    <x v="8"/>
    <x v="1"/>
    <x v="1"/>
    <n v="168.47"/>
    <n v="93.5"/>
    <n v="7"/>
    <n v="1179.29"/>
    <n v="654.5"/>
    <n v="524.79"/>
    <n v="0.44500504540867808"/>
    <x v="9"/>
    <n v="524.79"/>
  </r>
  <r>
    <d v="2023-02-03T00:00:00"/>
    <x v="3"/>
    <x v="2"/>
    <x v="3"/>
    <n v="556.14"/>
    <n v="489.26"/>
    <n v="9"/>
    <n v="5005.26"/>
    <n v="4403.34"/>
    <n v="601.92000000000007"/>
    <n v="0.12025748912144425"/>
    <x v="27"/>
    <n v="601.92000000000007"/>
  </r>
  <r>
    <d v="2022-06-02T00:00:00"/>
    <x v="9"/>
    <x v="3"/>
    <x v="2"/>
    <n v="36.409999999999997"/>
    <n v="25.64"/>
    <n v="2"/>
    <n v="72.819999999999993"/>
    <n v="51.28"/>
    <n v="21.539999999999992"/>
    <n v="0.29579785773139239"/>
    <x v="18"/>
    <n v="21.539999999999992"/>
  </r>
  <r>
    <d v="2023-12-06T00:00:00"/>
    <x v="8"/>
    <x v="1"/>
    <x v="2"/>
    <n v="798.86"/>
    <n v="463.19"/>
    <n v="9"/>
    <n v="7189.74"/>
    <n v="4168.71"/>
    <n v="3021.0299999999997"/>
    <n v="0.42018626542823523"/>
    <x v="30"/>
    <n v="3021.0299999999997"/>
  </r>
  <r>
    <d v="2023-07-25T00:00:00"/>
    <x v="4"/>
    <x v="2"/>
    <x v="1"/>
    <n v="988.18"/>
    <n v="517.17999999999995"/>
    <n v="3"/>
    <n v="2964.54"/>
    <n v="1551.54"/>
    <n v="1413"/>
    <n v="0.4766338116537473"/>
    <x v="11"/>
    <n v="1413"/>
  </r>
  <r>
    <d v="2023-05-02T00:00:00"/>
    <x v="5"/>
    <x v="3"/>
    <x v="2"/>
    <n v="1859.99"/>
    <n v="1377.55"/>
    <n v="2"/>
    <n v="3719.98"/>
    <n v="2755.1"/>
    <n v="964.88000000000011"/>
    <n v="0.25937773858999247"/>
    <x v="31"/>
    <n v="964.88000000000011"/>
  </r>
  <r>
    <d v="2022-02-03T00:00:00"/>
    <x v="3"/>
    <x v="2"/>
    <x v="2"/>
    <n v="879.58"/>
    <n v="461.93"/>
    <n v="2"/>
    <n v="1759.16"/>
    <n v="923.86"/>
    <n v="835.30000000000007"/>
    <n v="0.47482889560926805"/>
    <x v="20"/>
    <n v="835.30000000000007"/>
  </r>
  <r>
    <d v="2024-02-13T00:00:00"/>
    <x v="10"/>
    <x v="2"/>
    <x v="0"/>
    <n v="272.22000000000003"/>
    <n v="206.01"/>
    <n v="2"/>
    <n v="544.44000000000005"/>
    <n v="412.02"/>
    <n v="132.42000000000007"/>
    <n v="0.2432223936521932"/>
    <x v="34"/>
    <n v="132.42000000000007"/>
  </r>
  <r>
    <d v="2022-09-02T00:00:00"/>
    <x v="8"/>
    <x v="1"/>
    <x v="1"/>
    <n v="1442.21"/>
    <n v="1108.51"/>
    <n v="2"/>
    <n v="2884.42"/>
    <n v="2217.02"/>
    <n v="667.40000000000009"/>
    <n v="0.2313810055401086"/>
    <x v="12"/>
    <n v="667.40000000000009"/>
  </r>
  <r>
    <d v="2022-11-22T00:00:00"/>
    <x v="10"/>
    <x v="2"/>
    <x v="3"/>
    <n v="1077.73"/>
    <n v="878.44"/>
    <n v="7"/>
    <n v="7544.1100000000006"/>
    <n v="6149.08"/>
    <n v="1395.0300000000007"/>
    <n v="0.18491644474961269"/>
    <x v="1"/>
    <n v="1395.0300000000007"/>
  </r>
  <r>
    <d v="2024-11-03T00:00:00"/>
    <x v="9"/>
    <x v="3"/>
    <x v="0"/>
    <n v="1164.57"/>
    <n v="641.91"/>
    <n v="1"/>
    <n v="1164.57"/>
    <n v="641.91"/>
    <n v="522.66"/>
    <n v="0.44880084494706202"/>
    <x v="2"/>
    <n v="522.66"/>
  </r>
  <r>
    <d v="2022-10-27T00:00:00"/>
    <x v="7"/>
    <x v="0"/>
    <x v="3"/>
    <n v="28.3"/>
    <n v="19.77"/>
    <n v="5"/>
    <n v="141.5"/>
    <n v="98.85"/>
    <n v="42.650000000000006"/>
    <n v="0.30141342756183748"/>
    <x v="25"/>
    <n v="42.650000000000006"/>
  </r>
  <r>
    <d v="2022-05-04T00:00:00"/>
    <x v="4"/>
    <x v="2"/>
    <x v="2"/>
    <n v="850.01"/>
    <n v="544.05999999999995"/>
    <n v="4"/>
    <n v="3400.04"/>
    <n v="2176.2399999999998"/>
    <n v="1223.8000000000002"/>
    <n v="0.35993694191833042"/>
    <x v="35"/>
    <n v="1223.8000000000002"/>
  </r>
  <r>
    <d v="2023-03-22T00:00:00"/>
    <x v="10"/>
    <x v="2"/>
    <x v="3"/>
    <n v="947.73"/>
    <n v="835.98"/>
    <n v="10"/>
    <n v="9477.2999999999993"/>
    <n v="8359.7999999999993"/>
    <n v="1117.5"/>
    <n v="0.11791332974581369"/>
    <x v="19"/>
    <n v="1117.5"/>
  </r>
  <r>
    <d v="2022-03-29T00:00:00"/>
    <x v="5"/>
    <x v="3"/>
    <x v="3"/>
    <n v="1448.52"/>
    <n v="1018.72"/>
    <n v="9"/>
    <n v="13036.68"/>
    <n v="9168.48"/>
    <n v="3868.2000000000007"/>
    <n v="0.29671664871731152"/>
    <x v="7"/>
    <n v="3868.2000000000007"/>
  </r>
  <r>
    <d v="2024-07-06T00:00:00"/>
    <x v="2"/>
    <x v="0"/>
    <x v="2"/>
    <n v="919.84"/>
    <n v="486.83"/>
    <n v="5"/>
    <n v="4599.2"/>
    <n v="2434.15"/>
    <n v="2165.0499999999997"/>
    <n v="0.47074491215863623"/>
    <x v="28"/>
    <n v="2165.0499999999997"/>
  </r>
  <r>
    <d v="2024-02-14T00:00:00"/>
    <x v="1"/>
    <x v="1"/>
    <x v="2"/>
    <n v="1478.44"/>
    <n v="807.94"/>
    <n v="1"/>
    <n v="1478.44"/>
    <n v="807.94"/>
    <n v="670.5"/>
    <n v="0.45351857363166581"/>
    <x v="34"/>
    <n v="670.5"/>
  </r>
  <r>
    <d v="2024-04-23T00:00:00"/>
    <x v="3"/>
    <x v="2"/>
    <x v="1"/>
    <n v="147.28"/>
    <n v="116.15"/>
    <n v="8"/>
    <n v="1178.24"/>
    <n v="929.2"/>
    <n v="249.03999999999996"/>
    <n v="0.21136610537751219"/>
    <x v="22"/>
    <n v="249.03999999999996"/>
  </r>
  <r>
    <d v="2023-12-14T00:00:00"/>
    <x v="5"/>
    <x v="3"/>
    <x v="0"/>
    <n v="120.79"/>
    <n v="75.28"/>
    <n v="5"/>
    <n v="603.95000000000005"/>
    <n v="376.4"/>
    <n v="227.55000000000007"/>
    <n v="0.37676960013246136"/>
    <x v="30"/>
    <n v="227.55000000000007"/>
  </r>
  <r>
    <d v="2024-08-12T00:00:00"/>
    <x v="2"/>
    <x v="0"/>
    <x v="1"/>
    <n v="882.64"/>
    <n v="625.79999999999995"/>
    <n v="7"/>
    <n v="6178.48"/>
    <n v="4380.5999999999995"/>
    <n v="1797.88"/>
    <n v="0.29099066437052484"/>
    <x v="21"/>
    <n v="1797.88"/>
  </r>
  <r>
    <d v="2024-09-18T00:00:00"/>
    <x v="4"/>
    <x v="2"/>
    <x v="1"/>
    <n v="620.16"/>
    <n v="415.69"/>
    <n v="7"/>
    <n v="4341.12"/>
    <n v="2909.83"/>
    <n v="1431.29"/>
    <n v="0.32970523735810114"/>
    <x v="16"/>
    <n v="1431.29"/>
  </r>
  <r>
    <d v="2022-09-18T00:00:00"/>
    <x v="0"/>
    <x v="0"/>
    <x v="2"/>
    <n v="1523.48"/>
    <n v="935.36"/>
    <n v="10"/>
    <n v="15234.8"/>
    <n v="9353.6"/>
    <n v="5881.1999999999989"/>
    <n v="0.38603723055110661"/>
    <x v="12"/>
    <n v="5881.1999999999989"/>
  </r>
  <r>
    <d v="2023-09-10T00:00:00"/>
    <x v="8"/>
    <x v="1"/>
    <x v="3"/>
    <n v="966.71"/>
    <n v="746.83"/>
    <n v="2"/>
    <n v="1933.42"/>
    <n v="1493.66"/>
    <n v="439.76"/>
    <n v="0.22745187284707927"/>
    <x v="24"/>
    <n v="439.76"/>
  </r>
  <r>
    <d v="2024-05-02T00:00:00"/>
    <x v="2"/>
    <x v="0"/>
    <x v="0"/>
    <n v="371.83"/>
    <n v="309.60000000000002"/>
    <n v="2"/>
    <n v="743.66"/>
    <n v="619.20000000000005"/>
    <n v="124.45999999999992"/>
    <n v="0.16736142860984848"/>
    <x v="3"/>
    <n v="124.45999999999992"/>
  </r>
  <r>
    <d v="2022-02-14T00:00:00"/>
    <x v="8"/>
    <x v="1"/>
    <x v="2"/>
    <n v="1146.21"/>
    <n v="668.7"/>
    <n v="1"/>
    <n v="1146.21"/>
    <n v="668.7"/>
    <n v="477.51"/>
    <n v="0.41659905252964113"/>
    <x v="20"/>
    <n v="477.51"/>
  </r>
  <r>
    <d v="2024-06-07T00:00:00"/>
    <x v="4"/>
    <x v="2"/>
    <x v="0"/>
    <n v="1536.62"/>
    <n v="1318.97"/>
    <n v="10"/>
    <n v="15366.199999999999"/>
    <n v="13189.7"/>
    <n v="2176.4999999999982"/>
    <n v="0.14164204552849749"/>
    <x v="4"/>
    <n v="2176.4999999999982"/>
  </r>
  <r>
    <d v="2022-04-09T00:00:00"/>
    <x v="6"/>
    <x v="3"/>
    <x v="2"/>
    <n v="276.57"/>
    <n v="213.44"/>
    <n v="1"/>
    <n v="276.57"/>
    <n v="213.44"/>
    <n v="63.129999999999995"/>
    <n v="0.22826047655204829"/>
    <x v="32"/>
    <n v="63.129999999999995"/>
  </r>
  <r>
    <d v="2024-12-05T00:00:00"/>
    <x v="6"/>
    <x v="3"/>
    <x v="1"/>
    <n v="1070.7"/>
    <n v="620.98"/>
    <n v="2"/>
    <n v="2141.4"/>
    <n v="1241.96"/>
    <n v="899.44"/>
    <n v="0.42002428317922857"/>
    <x v="23"/>
    <n v="899.44"/>
  </r>
  <r>
    <d v="2024-06-23T00:00:00"/>
    <x v="1"/>
    <x v="1"/>
    <x v="2"/>
    <n v="1868.02"/>
    <n v="1378.48"/>
    <n v="4"/>
    <n v="7472.08"/>
    <n v="5513.92"/>
    <n v="1958.1599999999999"/>
    <n v="0.26206357533645247"/>
    <x v="4"/>
    <n v="1958.1599999999999"/>
  </r>
  <r>
    <d v="2022-09-12T00:00:00"/>
    <x v="5"/>
    <x v="3"/>
    <x v="1"/>
    <n v="1750.16"/>
    <n v="1156.26"/>
    <n v="8"/>
    <n v="14001.28"/>
    <n v="9250.08"/>
    <n v="4751.2000000000007"/>
    <n v="0.3393404031631394"/>
    <x v="12"/>
    <n v="4751.2000000000007"/>
  </r>
  <r>
    <d v="2024-07-02T00:00:00"/>
    <x v="5"/>
    <x v="3"/>
    <x v="0"/>
    <n v="581.53"/>
    <n v="344.4"/>
    <n v="3"/>
    <n v="1744.59"/>
    <n v="1033.1999999999998"/>
    <n v="711.3900000000001"/>
    <n v="0.40776916066239066"/>
    <x v="28"/>
    <n v="711.3900000000001"/>
  </r>
  <r>
    <d v="2023-03-11T00:00:00"/>
    <x v="2"/>
    <x v="0"/>
    <x v="3"/>
    <n v="1342.44"/>
    <n v="803.86"/>
    <n v="5"/>
    <n v="6712.2000000000007"/>
    <n v="4019.3"/>
    <n v="2692.9000000000005"/>
    <n v="0.40119483924793664"/>
    <x v="19"/>
    <n v="2692.9000000000005"/>
  </r>
  <r>
    <d v="2023-05-12T00:00:00"/>
    <x v="9"/>
    <x v="3"/>
    <x v="0"/>
    <n v="623.45000000000005"/>
    <n v="488.77"/>
    <n v="2"/>
    <n v="1246.9000000000001"/>
    <n v="977.54"/>
    <n v="269.36000000000013"/>
    <n v="0.21602373887240364"/>
    <x v="31"/>
    <n v="269.36000000000013"/>
  </r>
  <r>
    <d v="2024-03-09T00:00:00"/>
    <x v="9"/>
    <x v="3"/>
    <x v="0"/>
    <n v="1486.84"/>
    <n v="1335.22"/>
    <n v="4"/>
    <n v="5947.36"/>
    <n v="5340.88"/>
    <n v="606.47999999999956"/>
    <n v="0.10197465766323202"/>
    <x v="29"/>
    <n v="606.47999999999956"/>
  </r>
  <r>
    <d v="2024-09-17T00:00:00"/>
    <x v="3"/>
    <x v="2"/>
    <x v="0"/>
    <n v="1729.83"/>
    <n v="1067.75"/>
    <n v="6"/>
    <n v="10378.98"/>
    <n v="6406.5"/>
    <n v="3972.4799999999996"/>
    <n v="0.38274281287756595"/>
    <x v="16"/>
    <n v="3972.4799999999996"/>
  </r>
  <r>
    <d v="2023-08-16T00:00:00"/>
    <x v="7"/>
    <x v="0"/>
    <x v="3"/>
    <n v="473.91"/>
    <n v="358.15"/>
    <n v="1"/>
    <n v="473.91"/>
    <n v="358.15"/>
    <n v="115.76000000000005"/>
    <n v="0.24426578886286435"/>
    <x v="14"/>
    <n v="115.76000000000005"/>
  </r>
  <r>
    <d v="2022-12-09T00:00:00"/>
    <x v="10"/>
    <x v="2"/>
    <x v="2"/>
    <n v="982.01"/>
    <n v="695.72"/>
    <n v="3"/>
    <n v="2946.0299999999997"/>
    <n v="2087.16"/>
    <n v="858.86999999999989"/>
    <n v="0.29153470942251097"/>
    <x v="33"/>
    <n v="858.86999999999989"/>
  </r>
  <r>
    <d v="2024-02-13T00:00:00"/>
    <x v="10"/>
    <x v="2"/>
    <x v="3"/>
    <n v="170.95"/>
    <n v="112.01"/>
    <n v="5"/>
    <n v="854.75"/>
    <n v="560.05000000000007"/>
    <n v="294.69999999999993"/>
    <n v="0.34477917519742607"/>
    <x v="34"/>
    <n v="294.69999999999993"/>
  </r>
  <r>
    <d v="2024-03-19T00:00:00"/>
    <x v="0"/>
    <x v="0"/>
    <x v="1"/>
    <n v="988.31"/>
    <n v="656.47"/>
    <n v="6"/>
    <n v="5929.86"/>
    <n v="3938.82"/>
    <n v="1991.0399999999995"/>
    <n v="0.33576509394825504"/>
    <x v="29"/>
    <n v="1991.0399999999995"/>
  </r>
  <r>
    <d v="2022-06-15T00:00:00"/>
    <x v="9"/>
    <x v="3"/>
    <x v="0"/>
    <n v="1733.36"/>
    <n v="908.59"/>
    <n v="8"/>
    <n v="13866.88"/>
    <n v="7268.72"/>
    <n v="6598.1599999999989"/>
    <n v="0.47582152582267961"/>
    <x v="18"/>
    <n v="6598.1599999999989"/>
  </r>
  <r>
    <d v="2023-02-27T00:00:00"/>
    <x v="8"/>
    <x v="1"/>
    <x v="1"/>
    <n v="1612.39"/>
    <n v="1066.69"/>
    <n v="4"/>
    <n v="6449.56"/>
    <n v="4266.76"/>
    <n v="2182.8000000000002"/>
    <n v="0.33844169214644099"/>
    <x v="27"/>
    <n v="2182.8000000000002"/>
  </r>
  <r>
    <d v="2022-08-11T00:00:00"/>
    <x v="1"/>
    <x v="1"/>
    <x v="2"/>
    <n v="1580.41"/>
    <n v="1228.9100000000001"/>
    <n v="2"/>
    <n v="3160.82"/>
    <n v="2457.8200000000002"/>
    <n v="703"/>
    <n v="0.22241064027689017"/>
    <x v="15"/>
    <n v="703"/>
  </r>
  <r>
    <d v="2022-04-15T00:00:00"/>
    <x v="0"/>
    <x v="0"/>
    <x v="2"/>
    <n v="1170.56"/>
    <n v="634.1"/>
    <n v="3"/>
    <n v="3511.68"/>
    <n v="1902.3000000000002"/>
    <n v="1609.3799999999997"/>
    <n v="0.45829346637506829"/>
    <x v="32"/>
    <n v="1609.3799999999997"/>
  </r>
  <r>
    <d v="2024-02-03T00:00:00"/>
    <x v="7"/>
    <x v="0"/>
    <x v="2"/>
    <n v="1446.92"/>
    <n v="970.75"/>
    <n v="5"/>
    <n v="7234.6"/>
    <n v="4853.75"/>
    <n v="2380.8500000000004"/>
    <n v="0.32909214054681674"/>
    <x v="34"/>
    <n v="2380.8500000000004"/>
  </r>
  <r>
    <d v="2023-05-19T00:00:00"/>
    <x v="5"/>
    <x v="3"/>
    <x v="1"/>
    <n v="581.63"/>
    <n v="430.2"/>
    <n v="6"/>
    <n v="3489.7799999999997"/>
    <n v="2581.1999999999998"/>
    <n v="908.57999999999993"/>
    <n v="0.26035452091535854"/>
    <x v="31"/>
    <n v="908.57999999999993"/>
  </r>
  <r>
    <d v="2023-05-16T00:00:00"/>
    <x v="9"/>
    <x v="3"/>
    <x v="0"/>
    <n v="843.38"/>
    <n v="755.32"/>
    <n v="1"/>
    <n v="843.38"/>
    <n v="755.32"/>
    <n v="88.059999999999945"/>
    <n v="0.10441319452678502"/>
    <x v="31"/>
    <n v="88.059999999999945"/>
  </r>
  <r>
    <d v="2024-06-01T00:00:00"/>
    <x v="3"/>
    <x v="2"/>
    <x v="2"/>
    <n v="817.34"/>
    <n v="610.6"/>
    <n v="8"/>
    <n v="6538.72"/>
    <n v="4884.8"/>
    <n v="1653.92"/>
    <n v="0.25294247192110997"/>
    <x v="4"/>
    <n v="1653.92"/>
  </r>
  <r>
    <d v="2023-01-14T00:00:00"/>
    <x v="2"/>
    <x v="0"/>
    <x v="0"/>
    <n v="1624.76"/>
    <n v="1396.04"/>
    <n v="2"/>
    <n v="3249.52"/>
    <n v="2792.08"/>
    <n v="457.44000000000005"/>
    <n v="0.14077156010733896"/>
    <x v="13"/>
    <n v="457.44000000000005"/>
  </r>
  <r>
    <d v="2022-02-27T00:00:00"/>
    <x v="0"/>
    <x v="0"/>
    <x v="0"/>
    <n v="1861.13"/>
    <n v="1288.51"/>
    <n v="5"/>
    <n v="9305.6500000000015"/>
    <n v="6442.55"/>
    <n v="2863.1000000000013"/>
    <n v="0.30767329525610793"/>
    <x v="20"/>
    <n v="2863.1000000000013"/>
  </r>
  <r>
    <d v="2023-07-19T00:00:00"/>
    <x v="10"/>
    <x v="2"/>
    <x v="0"/>
    <n v="811.17"/>
    <n v="423.02"/>
    <n v="9"/>
    <n v="7300.53"/>
    <n v="3807.18"/>
    <n v="3493.35"/>
    <n v="0.47850635501806033"/>
    <x v="11"/>
    <n v="3493.35"/>
  </r>
  <r>
    <d v="2024-04-11T00:00:00"/>
    <x v="6"/>
    <x v="3"/>
    <x v="1"/>
    <n v="541.76"/>
    <n v="376.29"/>
    <n v="10"/>
    <n v="5417.6"/>
    <n v="3762.9"/>
    <n v="1654.7000000000003"/>
    <n v="0.30543044890726523"/>
    <x v="22"/>
    <n v="1654.7000000000003"/>
  </r>
  <r>
    <d v="2024-09-09T00:00:00"/>
    <x v="9"/>
    <x v="3"/>
    <x v="2"/>
    <n v="713.2"/>
    <n v="426.13"/>
    <n v="8"/>
    <n v="5705.6"/>
    <n v="3409.04"/>
    <n v="2296.5600000000004"/>
    <n v="0.40250981491867643"/>
    <x v="16"/>
    <n v="2296.5600000000004"/>
  </r>
  <r>
    <d v="2024-05-14T00:00:00"/>
    <x v="9"/>
    <x v="3"/>
    <x v="0"/>
    <n v="1949.49"/>
    <n v="1119.1400000000001"/>
    <n v="2"/>
    <n v="3898.98"/>
    <n v="2238.2800000000002"/>
    <n v="1660.6999999999998"/>
    <n v="0.42593191039707817"/>
    <x v="3"/>
    <n v="1660.6999999999998"/>
  </r>
  <r>
    <d v="2024-04-27T00:00:00"/>
    <x v="1"/>
    <x v="1"/>
    <x v="0"/>
    <n v="1699.71"/>
    <n v="942.63"/>
    <n v="7"/>
    <n v="11897.970000000001"/>
    <n v="6598.41"/>
    <n v="5299.5600000000013"/>
    <n v="0.44541715939777971"/>
    <x v="22"/>
    <n v="5299.5600000000013"/>
  </r>
  <r>
    <d v="2022-12-07T00:00:00"/>
    <x v="3"/>
    <x v="2"/>
    <x v="1"/>
    <n v="1331.73"/>
    <n v="1143.47"/>
    <n v="4"/>
    <n v="5326.92"/>
    <n v="4573.88"/>
    <n v="753.04"/>
    <n v="0.14136499140216108"/>
    <x v="33"/>
    <n v="753.04"/>
  </r>
  <r>
    <d v="2022-06-13T00:00:00"/>
    <x v="4"/>
    <x v="2"/>
    <x v="3"/>
    <n v="1764.33"/>
    <n v="926.21"/>
    <n v="1"/>
    <n v="1764.33"/>
    <n v="926.21"/>
    <n v="838.11999999999989"/>
    <n v="0.47503584930256809"/>
    <x v="18"/>
    <n v="838.11999999999989"/>
  </r>
  <r>
    <d v="2024-12-04T00:00:00"/>
    <x v="7"/>
    <x v="0"/>
    <x v="2"/>
    <n v="749.91"/>
    <n v="521.45000000000005"/>
    <n v="8"/>
    <n v="5999.28"/>
    <n v="4171.6000000000004"/>
    <n v="1827.6799999999994"/>
    <n v="0.30464989132029169"/>
    <x v="23"/>
    <n v="1827.6799999999994"/>
  </r>
  <r>
    <d v="2022-01-30T00:00:00"/>
    <x v="7"/>
    <x v="0"/>
    <x v="2"/>
    <n v="1113.26"/>
    <n v="998.1"/>
    <n v="4"/>
    <n v="4453.04"/>
    <n v="3992.4"/>
    <n v="460.63999999999987"/>
    <n v="0.10344393942115945"/>
    <x v="9"/>
    <n v="460.63999999999987"/>
  </r>
  <r>
    <d v="2023-12-03T00:00:00"/>
    <x v="4"/>
    <x v="2"/>
    <x v="1"/>
    <n v="907.49"/>
    <n v="475.11"/>
    <n v="4"/>
    <n v="3629.96"/>
    <n v="1900.44"/>
    <n v="1729.52"/>
    <n v="0.47645704084893498"/>
    <x v="30"/>
    <n v="1729.52"/>
  </r>
  <r>
    <d v="2022-02-26T00:00:00"/>
    <x v="2"/>
    <x v="0"/>
    <x v="1"/>
    <n v="489.65"/>
    <n v="377.49"/>
    <n v="10"/>
    <n v="4896.5"/>
    <n v="3774.9"/>
    <n v="1121.5999999999999"/>
    <n v="0.22906157459409782"/>
    <x v="20"/>
    <n v="1121.5999999999999"/>
  </r>
  <r>
    <d v="2022-01-26T00:00:00"/>
    <x v="9"/>
    <x v="3"/>
    <x v="3"/>
    <n v="702.03"/>
    <n v="551.41999999999996"/>
    <n v="4"/>
    <n v="2808.12"/>
    <n v="2205.6799999999998"/>
    <n v="602.44000000000005"/>
    <n v="0.21453499138213469"/>
    <x v="9"/>
    <n v="602.44000000000005"/>
  </r>
  <r>
    <d v="2024-03-01T00:00:00"/>
    <x v="9"/>
    <x v="3"/>
    <x v="0"/>
    <n v="858.03"/>
    <n v="557.48"/>
    <n v="9"/>
    <n v="7722.2699999999995"/>
    <n v="5017.32"/>
    <n v="2704.95"/>
    <n v="0.35027912776942532"/>
    <x v="29"/>
    <n v="2704.95"/>
  </r>
  <r>
    <d v="2024-09-25T00:00:00"/>
    <x v="6"/>
    <x v="3"/>
    <x v="1"/>
    <n v="1602.64"/>
    <n v="836.64"/>
    <n v="2"/>
    <n v="3205.28"/>
    <n v="1673.28"/>
    <n v="1532.0000000000002"/>
    <n v="0.47796136374981285"/>
    <x v="16"/>
    <n v="1532.0000000000002"/>
  </r>
  <r>
    <d v="2022-06-20T00:00:00"/>
    <x v="4"/>
    <x v="2"/>
    <x v="1"/>
    <n v="1552.58"/>
    <n v="930.23"/>
    <n v="4"/>
    <n v="6210.32"/>
    <n v="3720.92"/>
    <n v="2489.3999999999996"/>
    <n v="0.40084890955699543"/>
    <x v="18"/>
    <n v="2489.3999999999996"/>
  </r>
  <r>
    <d v="2024-09-05T00:00:00"/>
    <x v="8"/>
    <x v="1"/>
    <x v="1"/>
    <n v="1309.28"/>
    <n v="1106.9000000000001"/>
    <n v="7"/>
    <n v="9164.9599999999991"/>
    <n v="7748.3000000000011"/>
    <n v="1416.659999999998"/>
    <n v="0.15457350604912604"/>
    <x v="16"/>
    <n v="1416.659999999998"/>
  </r>
  <r>
    <d v="2022-07-06T00:00:00"/>
    <x v="4"/>
    <x v="2"/>
    <x v="1"/>
    <n v="793.28"/>
    <n v="555.26"/>
    <n v="9"/>
    <n v="7139.5199999999995"/>
    <n v="4997.34"/>
    <n v="2142.1799999999994"/>
    <n v="0.30004538120209756"/>
    <x v="8"/>
    <n v="2142.1799999999994"/>
  </r>
  <r>
    <d v="2022-08-26T00:00:00"/>
    <x v="2"/>
    <x v="0"/>
    <x v="3"/>
    <n v="1202.57"/>
    <n v="964.29"/>
    <n v="2"/>
    <n v="2405.14"/>
    <n v="1928.58"/>
    <n v="476.55999999999995"/>
    <n v="0.19814231188205259"/>
    <x v="15"/>
    <n v="476.55999999999995"/>
  </r>
  <r>
    <d v="2022-06-29T00:00:00"/>
    <x v="5"/>
    <x v="3"/>
    <x v="3"/>
    <n v="62.37"/>
    <n v="34.130000000000003"/>
    <n v="4"/>
    <n v="249.48"/>
    <n v="136.52000000000001"/>
    <n v="112.95999999999998"/>
    <n v="0.45278178611511938"/>
    <x v="18"/>
    <n v="112.95999999999998"/>
  </r>
  <r>
    <d v="2023-08-25T00:00:00"/>
    <x v="7"/>
    <x v="0"/>
    <x v="1"/>
    <n v="1255.6600000000001"/>
    <n v="899.66"/>
    <n v="5"/>
    <n v="6278.3"/>
    <n v="4498.3"/>
    <n v="1780"/>
    <n v="0.28351623847219787"/>
    <x v="14"/>
    <n v="1780"/>
  </r>
  <r>
    <d v="2024-02-12T00:00:00"/>
    <x v="1"/>
    <x v="1"/>
    <x v="0"/>
    <n v="142.68"/>
    <n v="78.91"/>
    <n v="7"/>
    <n v="998.76"/>
    <n v="552.37"/>
    <n v="446.39"/>
    <n v="0.44694421082141855"/>
    <x v="34"/>
    <n v="446.39"/>
  </r>
  <r>
    <d v="2024-01-05T00:00:00"/>
    <x v="4"/>
    <x v="2"/>
    <x v="2"/>
    <n v="911.3"/>
    <n v="735.05"/>
    <n v="4"/>
    <n v="3645.2"/>
    <n v="2940.2"/>
    <n v="705"/>
    <n v="0.19340502578733679"/>
    <x v="26"/>
    <n v="705"/>
  </r>
  <r>
    <d v="2023-01-03T00:00:00"/>
    <x v="4"/>
    <x v="2"/>
    <x v="1"/>
    <n v="1288.58"/>
    <n v="870.62"/>
    <n v="8"/>
    <n v="10308.64"/>
    <n v="6964.96"/>
    <n v="3343.6799999999994"/>
    <n v="0.32435704418817607"/>
    <x v="13"/>
    <n v="3343.6799999999994"/>
  </r>
  <r>
    <d v="2024-09-24T00:00:00"/>
    <x v="3"/>
    <x v="2"/>
    <x v="2"/>
    <n v="787.8"/>
    <n v="608.16999999999996"/>
    <n v="7"/>
    <n v="5514.5999999999995"/>
    <n v="4257.1899999999996"/>
    <n v="1257.4099999999999"/>
    <n v="0.22801472454937802"/>
    <x v="16"/>
    <n v="1257.4099999999999"/>
  </r>
  <r>
    <d v="2022-05-22T00:00:00"/>
    <x v="10"/>
    <x v="2"/>
    <x v="0"/>
    <n v="1130.06"/>
    <n v="617.57000000000005"/>
    <n v="6"/>
    <n v="6780.36"/>
    <n v="3705.42"/>
    <n v="3074.9399999999996"/>
    <n v="0.45350689343928635"/>
    <x v="35"/>
    <n v="3074.9399999999996"/>
  </r>
  <r>
    <d v="2022-03-29T00:00:00"/>
    <x v="8"/>
    <x v="1"/>
    <x v="0"/>
    <n v="1227.29"/>
    <n v="924.83"/>
    <n v="10"/>
    <n v="12272.9"/>
    <n v="9248.3000000000011"/>
    <n v="3024.5999999999985"/>
    <n v="0.24644542039778689"/>
    <x v="7"/>
    <n v="3024.5999999999985"/>
  </r>
  <r>
    <d v="2024-05-10T00:00:00"/>
    <x v="8"/>
    <x v="1"/>
    <x v="2"/>
    <n v="1101.97"/>
    <n v="673.12"/>
    <n v="2"/>
    <n v="2203.94"/>
    <n v="1346.24"/>
    <n v="857.7"/>
    <n v="0.38916667422888102"/>
    <x v="3"/>
    <n v="857.7"/>
  </r>
  <r>
    <d v="2022-07-12T00:00:00"/>
    <x v="6"/>
    <x v="3"/>
    <x v="0"/>
    <n v="1113.28"/>
    <n v="762.32"/>
    <n v="3"/>
    <n v="3339.84"/>
    <n v="2286.96"/>
    <n v="1052.8800000000001"/>
    <n v="0.3152486346651337"/>
    <x v="8"/>
    <n v="1052.8800000000001"/>
  </r>
  <r>
    <d v="2022-03-22T00:00:00"/>
    <x v="4"/>
    <x v="2"/>
    <x v="2"/>
    <n v="856.53"/>
    <n v="769.53"/>
    <n v="7"/>
    <n v="5995.71"/>
    <n v="5386.71"/>
    <n v="609"/>
    <n v="0.10157262442646492"/>
    <x v="7"/>
    <n v="609"/>
  </r>
  <r>
    <d v="2023-04-05T00:00:00"/>
    <x v="5"/>
    <x v="3"/>
    <x v="1"/>
    <n v="337.05"/>
    <n v="232.71"/>
    <n v="3"/>
    <n v="1011.1500000000001"/>
    <n v="698.13"/>
    <n v="313.0200000000001"/>
    <n v="0.30956831330663115"/>
    <x v="6"/>
    <n v="313.0200000000001"/>
  </r>
  <r>
    <d v="2022-12-19T00:00:00"/>
    <x v="8"/>
    <x v="1"/>
    <x v="1"/>
    <n v="1709.72"/>
    <n v="1034.67"/>
    <n v="7"/>
    <n v="11968.04"/>
    <n v="7242.6900000000005"/>
    <n v="4725.3500000000004"/>
    <n v="0.3948307325176052"/>
    <x v="33"/>
    <n v="4725.3500000000004"/>
  </r>
  <r>
    <d v="2022-08-11T00:00:00"/>
    <x v="7"/>
    <x v="0"/>
    <x v="2"/>
    <n v="1546.6"/>
    <n v="1149.3800000000001"/>
    <n v="1"/>
    <n v="1546.6"/>
    <n v="1149.3800000000001"/>
    <n v="397.2199999999998"/>
    <n v="0.25683434630803043"/>
    <x v="15"/>
    <n v="397.2199999999998"/>
  </r>
  <r>
    <d v="2024-09-01T00:00:00"/>
    <x v="5"/>
    <x v="3"/>
    <x v="3"/>
    <n v="1708.73"/>
    <n v="1446.99"/>
    <n v="4"/>
    <n v="6834.92"/>
    <n v="5787.96"/>
    <n v="1046.96"/>
    <n v="0.1531780913309885"/>
    <x v="16"/>
    <n v="1046.96"/>
  </r>
  <r>
    <d v="2022-03-18T00:00:00"/>
    <x v="6"/>
    <x v="3"/>
    <x v="1"/>
    <n v="1884.3"/>
    <n v="1511.99"/>
    <n v="7"/>
    <n v="13190.1"/>
    <n v="10583.93"/>
    <n v="2606.17"/>
    <n v="0.1975853101947673"/>
    <x v="7"/>
    <n v="2606.17"/>
  </r>
  <r>
    <d v="2022-10-08T00:00:00"/>
    <x v="0"/>
    <x v="0"/>
    <x v="2"/>
    <n v="528.85"/>
    <n v="405.78"/>
    <n v="1"/>
    <n v="528.85"/>
    <n v="405.78"/>
    <n v="123.07000000000005"/>
    <n v="0.2327124893637138"/>
    <x v="25"/>
    <n v="123.07000000000005"/>
  </r>
  <r>
    <d v="2023-06-20T00:00:00"/>
    <x v="8"/>
    <x v="1"/>
    <x v="0"/>
    <n v="1765.37"/>
    <n v="973.48"/>
    <n v="5"/>
    <n v="8826.8499999999985"/>
    <n v="4867.3999999999996"/>
    <n v="3959.4499999999989"/>
    <n v="0.44856885525413931"/>
    <x v="0"/>
    <n v="3959.4499999999989"/>
  </r>
  <r>
    <d v="2023-03-09T00:00:00"/>
    <x v="7"/>
    <x v="0"/>
    <x v="2"/>
    <n v="1546.64"/>
    <n v="852.39"/>
    <n v="4"/>
    <n v="6186.56"/>
    <n v="3409.56"/>
    <n v="2777.0000000000005"/>
    <n v="0.44887627372885741"/>
    <x v="19"/>
    <n v="2777.0000000000005"/>
  </r>
  <r>
    <d v="2023-05-19T00:00:00"/>
    <x v="6"/>
    <x v="3"/>
    <x v="3"/>
    <n v="791.83"/>
    <n v="556.91"/>
    <n v="4"/>
    <n v="3167.32"/>
    <n v="2227.64"/>
    <n v="939.68000000000029"/>
    <n v="0.29667984289557109"/>
    <x v="31"/>
    <n v="939.68000000000029"/>
  </r>
  <r>
    <d v="2022-09-22T00:00:00"/>
    <x v="10"/>
    <x v="2"/>
    <x v="2"/>
    <n v="1005.54"/>
    <n v="873.93"/>
    <n v="7"/>
    <n v="7038.78"/>
    <n v="6117.5099999999993"/>
    <n v="921.27000000000044"/>
    <n v="0.13088489766692529"/>
    <x v="12"/>
    <n v="921.27000000000044"/>
  </r>
  <r>
    <d v="2023-02-13T00:00:00"/>
    <x v="8"/>
    <x v="1"/>
    <x v="0"/>
    <n v="1181.54"/>
    <n v="828.88"/>
    <n v="3"/>
    <n v="3544.62"/>
    <n v="2486.64"/>
    <n v="1057.98"/>
    <n v="0.2984748717775107"/>
    <x v="27"/>
    <n v="1057.98"/>
  </r>
  <r>
    <d v="2024-03-10T00:00:00"/>
    <x v="9"/>
    <x v="3"/>
    <x v="3"/>
    <n v="141.80000000000001"/>
    <n v="111.7"/>
    <n v="4"/>
    <n v="567.20000000000005"/>
    <n v="446.8"/>
    <n v="120.40000000000003"/>
    <n v="0.21227080394922429"/>
    <x v="29"/>
    <n v="120.40000000000003"/>
  </r>
  <r>
    <d v="2023-01-24T00:00:00"/>
    <x v="6"/>
    <x v="3"/>
    <x v="1"/>
    <n v="1217.67"/>
    <n v="797.47"/>
    <n v="8"/>
    <n v="9741.36"/>
    <n v="6379.76"/>
    <n v="3361.6000000000004"/>
    <n v="0.34508528583277903"/>
    <x v="13"/>
    <n v="3361.6000000000004"/>
  </r>
  <r>
    <d v="2024-01-20T00:00:00"/>
    <x v="5"/>
    <x v="3"/>
    <x v="0"/>
    <n v="931.57"/>
    <n v="524.66999999999996"/>
    <n v="3"/>
    <n v="2794.71"/>
    <n v="1574.0099999999998"/>
    <n v="1220.7000000000003"/>
    <n v="0.43678950588790977"/>
    <x v="26"/>
    <n v="1220.7000000000003"/>
  </r>
  <r>
    <d v="2022-06-13T00:00:00"/>
    <x v="10"/>
    <x v="2"/>
    <x v="2"/>
    <n v="1712.24"/>
    <n v="1454.63"/>
    <n v="7"/>
    <n v="11985.68"/>
    <n v="10182.41"/>
    <n v="1803.2700000000004"/>
    <n v="0.15045203943372429"/>
    <x v="18"/>
    <n v="1803.2700000000004"/>
  </r>
  <r>
    <d v="2024-08-01T00:00:00"/>
    <x v="6"/>
    <x v="3"/>
    <x v="3"/>
    <n v="1535.84"/>
    <n v="1129.96"/>
    <n v="6"/>
    <n v="9215.0399999999991"/>
    <n v="6779.76"/>
    <n v="2435.2799999999988"/>
    <n v="0.26427232003333673"/>
    <x v="21"/>
    <n v="2435.2799999999988"/>
  </r>
  <r>
    <d v="2022-01-04T00:00:00"/>
    <x v="6"/>
    <x v="3"/>
    <x v="1"/>
    <n v="722.46"/>
    <n v="576.09"/>
    <n v="10"/>
    <n v="7224.6"/>
    <n v="5760.9000000000005"/>
    <n v="1463.6999999999998"/>
    <n v="0.20259945187276801"/>
    <x v="9"/>
    <n v="1463.6999999999998"/>
  </r>
  <r>
    <d v="2024-02-01T00:00:00"/>
    <x v="3"/>
    <x v="2"/>
    <x v="3"/>
    <n v="316.89999999999998"/>
    <n v="282.72000000000003"/>
    <n v="9"/>
    <n v="2852.1"/>
    <n v="2544.4800000000005"/>
    <n v="307.61999999999944"/>
    <n v="0.10785736825496983"/>
    <x v="34"/>
    <n v="307.61999999999944"/>
  </r>
  <r>
    <d v="2024-05-26T00:00:00"/>
    <x v="6"/>
    <x v="3"/>
    <x v="2"/>
    <n v="955.87"/>
    <n v="524.13"/>
    <n v="4"/>
    <n v="3823.48"/>
    <n v="2096.52"/>
    <n v="1726.96"/>
    <n v="0.45167229853431951"/>
    <x v="3"/>
    <n v="1726.96"/>
  </r>
  <r>
    <d v="2022-11-27T00:00:00"/>
    <x v="5"/>
    <x v="3"/>
    <x v="3"/>
    <n v="744.49"/>
    <n v="460.97"/>
    <n v="5"/>
    <n v="3722.45"/>
    <n v="2304.8500000000004"/>
    <n v="1417.5999999999995"/>
    <n v="0.3808244570108395"/>
    <x v="1"/>
    <n v="1417.5999999999995"/>
  </r>
  <r>
    <d v="2024-01-18T00:00:00"/>
    <x v="5"/>
    <x v="3"/>
    <x v="3"/>
    <n v="1045.8699999999999"/>
    <n v="891.28"/>
    <n v="8"/>
    <n v="8366.9599999999991"/>
    <n v="7130.24"/>
    <n v="1236.7199999999993"/>
    <n v="0.14780995726046253"/>
    <x v="26"/>
    <n v="1236.7199999999993"/>
  </r>
  <r>
    <d v="2022-06-02T00:00:00"/>
    <x v="0"/>
    <x v="0"/>
    <x v="2"/>
    <n v="69.23"/>
    <n v="54.72"/>
    <n v="1"/>
    <n v="69.23"/>
    <n v="54.72"/>
    <n v="14.510000000000005"/>
    <n v="0.20959121768019651"/>
    <x v="18"/>
    <n v="14.510000000000005"/>
  </r>
  <r>
    <d v="2024-06-02T00:00:00"/>
    <x v="9"/>
    <x v="3"/>
    <x v="3"/>
    <n v="1764.55"/>
    <n v="1587.66"/>
    <n v="7"/>
    <n v="12351.85"/>
    <n v="11113.62"/>
    <n v="1238.2299999999996"/>
    <n v="0.10024652177609018"/>
    <x v="4"/>
    <n v="1238.2299999999996"/>
  </r>
  <r>
    <d v="2022-01-06T00:00:00"/>
    <x v="0"/>
    <x v="0"/>
    <x v="1"/>
    <n v="1043.19"/>
    <n v="709.03"/>
    <n v="1"/>
    <n v="1043.19"/>
    <n v="709.03"/>
    <n v="334.16000000000008"/>
    <n v="0.3203251564911474"/>
    <x v="9"/>
    <n v="334.16000000000008"/>
  </r>
  <r>
    <d v="2024-09-06T00:00:00"/>
    <x v="3"/>
    <x v="2"/>
    <x v="0"/>
    <n v="442.53"/>
    <n v="265.63"/>
    <n v="3"/>
    <n v="1327.59"/>
    <n v="796.89"/>
    <n v="530.69999999999993"/>
    <n v="0.39974690981402389"/>
    <x v="16"/>
    <n v="530.69999999999993"/>
  </r>
  <r>
    <d v="2024-01-16T00:00:00"/>
    <x v="4"/>
    <x v="2"/>
    <x v="3"/>
    <n v="1315.66"/>
    <n v="994.69"/>
    <n v="5"/>
    <n v="6578.3"/>
    <n v="4973.4500000000007"/>
    <n v="1604.8499999999995"/>
    <n v="0.24396120578264893"/>
    <x v="26"/>
    <n v="1604.8499999999995"/>
  </r>
  <r>
    <d v="2023-10-03T00:00:00"/>
    <x v="8"/>
    <x v="1"/>
    <x v="1"/>
    <n v="1125.3699999999999"/>
    <n v="828.33"/>
    <n v="6"/>
    <n v="6752.2199999999993"/>
    <n v="4969.9800000000005"/>
    <n v="1782.2399999999989"/>
    <n v="0.26394874574584343"/>
    <x v="5"/>
    <n v="1782.2399999999989"/>
  </r>
  <r>
    <d v="2022-10-23T00:00:00"/>
    <x v="10"/>
    <x v="2"/>
    <x v="1"/>
    <n v="1589.12"/>
    <n v="1165.01"/>
    <n v="7"/>
    <n v="11123.84"/>
    <n v="8155.07"/>
    <n v="2968.7700000000004"/>
    <n v="0.26688355819573101"/>
    <x v="25"/>
    <n v="2968.7700000000004"/>
  </r>
  <r>
    <d v="2023-07-27T00:00:00"/>
    <x v="7"/>
    <x v="0"/>
    <x v="1"/>
    <n v="599.04999999999995"/>
    <n v="519.73"/>
    <n v="10"/>
    <n v="5990.5"/>
    <n v="5197.3"/>
    <n v="793.19999999999982"/>
    <n v="0.13240964861029961"/>
    <x v="11"/>
    <n v="793.19999999999982"/>
  </r>
  <r>
    <d v="2023-11-07T00:00:00"/>
    <x v="2"/>
    <x v="0"/>
    <x v="3"/>
    <n v="1833.4"/>
    <n v="1145.6400000000001"/>
    <n v="5"/>
    <n v="9167"/>
    <n v="5728.2000000000007"/>
    <n v="3438.7999999999993"/>
    <n v="0.37512817715719421"/>
    <x v="10"/>
    <n v="3438.7999999999993"/>
  </r>
  <r>
    <d v="2024-05-30T00:00:00"/>
    <x v="1"/>
    <x v="1"/>
    <x v="0"/>
    <n v="1298.29"/>
    <n v="1144.78"/>
    <n v="8"/>
    <n v="10386.32"/>
    <n v="9158.24"/>
    <n v="1228.08"/>
    <n v="0.11824014665444546"/>
    <x v="3"/>
    <n v="1228.08"/>
  </r>
  <r>
    <d v="2024-10-18T00:00:00"/>
    <x v="1"/>
    <x v="1"/>
    <x v="2"/>
    <n v="642.49"/>
    <n v="374.39"/>
    <n v="10"/>
    <n v="6424.9"/>
    <n v="3743.8999999999996"/>
    <n v="2681"/>
    <n v="0.41728275926473568"/>
    <x v="17"/>
    <n v="2681"/>
  </r>
  <r>
    <d v="2024-05-27T00:00:00"/>
    <x v="5"/>
    <x v="3"/>
    <x v="3"/>
    <n v="1389.17"/>
    <n v="850.55"/>
    <n v="10"/>
    <n v="13891.7"/>
    <n v="8505.5"/>
    <n v="5386.2000000000007"/>
    <n v="0.38772792386820909"/>
    <x v="3"/>
    <n v="5386.2000000000007"/>
  </r>
  <r>
    <d v="2023-11-21T00:00:00"/>
    <x v="0"/>
    <x v="0"/>
    <x v="0"/>
    <n v="1357.49"/>
    <n v="737.86"/>
    <n v="1"/>
    <n v="1357.49"/>
    <n v="737.86"/>
    <n v="619.63"/>
    <n v="0.45645271788374131"/>
    <x v="10"/>
    <n v="619.63"/>
  </r>
  <r>
    <d v="2022-01-07T00:00:00"/>
    <x v="7"/>
    <x v="0"/>
    <x v="2"/>
    <n v="1214"/>
    <n v="717.36"/>
    <n v="8"/>
    <n v="9712"/>
    <n v="5738.88"/>
    <n v="3973.12"/>
    <n v="0.40909390444810545"/>
    <x v="9"/>
    <n v="3973.12"/>
  </r>
  <r>
    <d v="2023-07-19T00:00:00"/>
    <x v="4"/>
    <x v="2"/>
    <x v="3"/>
    <n v="1713.72"/>
    <n v="916.37"/>
    <n v="1"/>
    <n v="1713.72"/>
    <n v="916.37"/>
    <n v="797.35"/>
    <n v="0.46527437387671267"/>
    <x v="11"/>
    <n v="797.35"/>
  </r>
  <r>
    <d v="2023-06-25T00:00:00"/>
    <x v="0"/>
    <x v="0"/>
    <x v="1"/>
    <n v="1209.01"/>
    <n v="852.65"/>
    <n v="7"/>
    <n v="8463.07"/>
    <n v="5968.55"/>
    <n v="2494.5199999999995"/>
    <n v="0.29475355869678493"/>
    <x v="0"/>
    <n v="2494.5199999999995"/>
  </r>
  <r>
    <d v="2023-06-18T00:00:00"/>
    <x v="1"/>
    <x v="1"/>
    <x v="0"/>
    <n v="1090.8399999999999"/>
    <n v="618.66999999999996"/>
    <n v="9"/>
    <n v="9817.56"/>
    <n v="5568.03"/>
    <n v="4249.53"/>
    <n v="0.43284991382787574"/>
    <x v="0"/>
    <n v="4249.53"/>
  </r>
  <r>
    <d v="2022-11-16T00:00:00"/>
    <x v="10"/>
    <x v="2"/>
    <x v="2"/>
    <n v="261.72000000000003"/>
    <n v="166.37"/>
    <n v="8"/>
    <n v="2093.7600000000002"/>
    <n v="1330.96"/>
    <n v="762.80000000000018"/>
    <n v="0.36432064802078562"/>
    <x v="1"/>
    <n v="762.80000000000018"/>
  </r>
  <r>
    <d v="2022-01-20T00:00:00"/>
    <x v="8"/>
    <x v="1"/>
    <x v="2"/>
    <n v="818.12"/>
    <n v="644.97"/>
    <n v="4"/>
    <n v="3272.48"/>
    <n v="2579.88"/>
    <n v="692.59999999999991"/>
    <n v="0.21164376864029724"/>
    <x v="9"/>
    <n v="692.59999999999991"/>
  </r>
  <r>
    <d v="2024-03-21T00:00:00"/>
    <x v="6"/>
    <x v="3"/>
    <x v="2"/>
    <n v="719.32"/>
    <n v="636.83000000000004"/>
    <n v="5"/>
    <n v="3596.6000000000004"/>
    <n v="3184.15"/>
    <n v="412.45000000000027"/>
    <n v="0.11467775120947568"/>
    <x v="29"/>
    <n v="412.45000000000027"/>
  </r>
  <r>
    <d v="2024-07-14T00:00:00"/>
    <x v="3"/>
    <x v="2"/>
    <x v="1"/>
    <n v="389.02"/>
    <n v="316.81"/>
    <n v="4"/>
    <n v="1556.08"/>
    <n v="1267.24"/>
    <n v="288.83999999999992"/>
    <n v="0.18562027659246308"/>
    <x v="28"/>
    <n v="288.83999999999992"/>
  </r>
  <r>
    <d v="2023-04-08T00:00:00"/>
    <x v="5"/>
    <x v="3"/>
    <x v="3"/>
    <n v="282.8"/>
    <n v="162.07"/>
    <n v="10"/>
    <n v="2828"/>
    <n v="1620.6999999999998"/>
    <n v="1207.3000000000002"/>
    <n v="0.42690947666195195"/>
    <x v="6"/>
    <n v="1207.3000000000002"/>
  </r>
  <r>
    <d v="2024-09-10T00:00:00"/>
    <x v="4"/>
    <x v="2"/>
    <x v="3"/>
    <n v="106.03"/>
    <n v="89.35"/>
    <n v="6"/>
    <n v="636.18000000000006"/>
    <n v="536.09999999999991"/>
    <n v="100.08000000000015"/>
    <n v="0.15731396774497805"/>
    <x v="16"/>
    <n v="100.08000000000015"/>
  </r>
  <r>
    <d v="2024-07-06T00:00:00"/>
    <x v="1"/>
    <x v="1"/>
    <x v="0"/>
    <n v="126.14"/>
    <n v="105.7"/>
    <n v="1"/>
    <n v="126.14"/>
    <n v="105.7"/>
    <n v="20.439999999999998"/>
    <n v="0.16204217536071031"/>
    <x v="28"/>
    <n v="20.439999999999998"/>
  </r>
  <r>
    <d v="2024-01-03T00:00:00"/>
    <x v="10"/>
    <x v="2"/>
    <x v="2"/>
    <n v="1860.52"/>
    <n v="1040.75"/>
    <n v="3"/>
    <n v="5581.5599999999995"/>
    <n v="3122.25"/>
    <n v="2459.3099999999995"/>
    <n v="0.44061337690538122"/>
    <x v="26"/>
    <n v="2459.3099999999995"/>
  </r>
  <r>
    <d v="2023-07-09T00:00:00"/>
    <x v="9"/>
    <x v="3"/>
    <x v="3"/>
    <n v="323.04000000000002"/>
    <n v="252.75"/>
    <n v="8"/>
    <n v="2584.3200000000002"/>
    <n v="2022"/>
    <n v="562.32000000000016"/>
    <n v="0.21758915304606247"/>
    <x v="11"/>
    <n v="562.32000000000016"/>
  </r>
  <r>
    <d v="2023-06-10T00:00:00"/>
    <x v="5"/>
    <x v="3"/>
    <x v="0"/>
    <n v="179.11"/>
    <n v="144.37"/>
    <n v="5"/>
    <n v="895.55000000000007"/>
    <n v="721.85"/>
    <n v="173.70000000000005"/>
    <n v="0.19395901959689579"/>
    <x v="0"/>
    <n v="173.70000000000005"/>
  </r>
  <r>
    <d v="2023-11-23T00:00:00"/>
    <x v="10"/>
    <x v="2"/>
    <x v="2"/>
    <n v="1336.2"/>
    <n v="993.08"/>
    <n v="6"/>
    <n v="8017.2000000000007"/>
    <n v="5958.4800000000005"/>
    <n v="2058.7200000000003"/>
    <n v="0.2567879060020955"/>
    <x v="10"/>
    <n v="2058.7200000000003"/>
  </r>
  <r>
    <d v="2023-10-05T00:00:00"/>
    <x v="3"/>
    <x v="2"/>
    <x v="1"/>
    <n v="1623.67"/>
    <n v="921.39"/>
    <n v="5"/>
    <n v="8118.35"/>
    <n v="4606.95"/>
    <n v="3511.4000000000005"/>
    <n v="0.43252631384456208"/>
    <x v="5"/>
    <n v="3511.4000000000005"/>
  </r>
  <r>
    <d v="2022-10-16T00:00:00"/>
    <x v="2"/>
    <x v="0"/>
    <x v="3"/>
    <n v="944.34"/>
    <n v="650.28"/>
    <n v="8"/>
    <n v="7554.72"/>
    <n v="5202.24"/>
    <n v="2352.4800000000005"/>
    <n v="0.31139208335980689"/>
    <x v="25"/>
    <n v="2352.4800000000005"/>
  </r>
  <r>
    <d v="2024-03-14T00:00:00"/>
    <x v="1"/>
    <x v="1"/>
    <x v="1"/>
    <n v="1715.25"/>
    <n v="884.65"/>
    <n v="5"/>
    <n v="8576.25"/>
    <n v="4423.25"/>
    <n v="4153"/>
    <n v="0.48424427925958313"/>
    <x v="29"/>
    <n v="4153"/>
  </r>
  <r>
    <d v="2023-01-13T00:00:00"/>
    <x v="3"/>
    <x v="2"/>
    <x v="1"/>
    <n v="1584.85"/>
    <n v="1090.44"/>
    <n v="8"/>
    <n v="12678.8"/>
    <n v="8723.52"/>
    <n v="3955.2799999999988"/>
    <n v="0.31196012240906074"/>
    <x v="13"/>
    <n v="3955.2799999999988"/>
  </r>
  <r>
    <d v="2024-05-15T00:00:00"/>
    <x v="2"/>
    <x v="0"/>
    <x v="0"/>
    <n v="1216.45"/>
    <n v="627.49"/>
    <n v="8"/>
    <n v="9731.6"/>
    <n v="5019.92"/>
    <n v="4711.68"/>
    <n v="0.48416293312507708"/>
    <x v="3"/>
    <n v="4711.68"/>
  </r>
  <r>
    <d v="2023-08-13T00:00:00"/>
    <x v="2"/>
    <x v="0"/>
    <x v="3"/>
    <n v="819.06"/>
    <n v="636.99"/>
    <n v="4"/>
    <n v="3276.24"/>
    <n v="2547.96"/>
    <n v="728.27999999999975"/>
    <n v="0.22229140722291402"/>
    <x v="14"/>
    <n v="728.27999999999975"/>
  </r>
  <r>
    <d v="2024-07-16T00:00:00"/>
    <x v="10"/>
    <x v="2"/>
    <x v="0"/>
    <n v="282.24"/>
    <n v="188.82"/>
    <n v="7"/>
    <n v="1975.68"/>
    <n v="1321.74"/>
    <n v="653.94000000000005"/>
    <n v="0.33099489795918369"/>
    <x v="28"/>
    <n v="653.94000000000005"/>
  </r>
  <r>
    <d v="2022-11-04T00:00:00"/>
    <x v="2"/>
    <x v="0"/>
    <x v="1"/>
    <n v="1593.55"/>
    <n v="1321.85"/>
    <n v="7"/>
    <n v="11154.85"/>
    <n v="9252.9499999999989"/>
    <n v="1901.9000000000015"/>
    <n v="0.1704998274293246"/>
    <x v="1"/>
    <n v="1901.9000000000015"/>
  </r>
  <r>
    <d v="2022-04-08T00:00:00"/>
    <x v="9"/>
    <x v="3"/>
    <x v="3"/>
    <n v="1411.15"/>
    <n v="1106.3"/>
    <n v="2"/>
    <n v="2822.3"/>
    <n v="2212.6"/>
    <n v="609.70000000000027"/>
    <n v="0.21602947950253348"/>
    <x v="32"/>
    <n v="609.70000000000027"/>
  </r>
  <r>
    <d v="2022-10-06T00:00:00"/>
    <x v="3"/>
    <x v="2"/>
    <x v="1"/>
    <n v="906.52"/>
    <n v="534.05999999999995"/>
    <n v="4"/>
    <n v="3626.08"/>
    <n v="2136.2399999999998"/>
    <n v="1489.8400000000001"/>
    <n v="0.41086793451881926"/>
    <x v="25"/>
    <n v="1489.8400000000001"/>
  </r>
  <r>
    <d v="2023-01-13T00:00:00"/>
    <x v="8"/>
    <x v="1"/>
    <x v="2"/>
    <n v="1802.32"/>
    <n v="1524.81"/>
    <n v="10"/>
    <n v="18023.2"/>
    <n v="15248.099999999999"/>
    <n v="2775.1000000000022"/>
    <n v="0.15397376714456934"/>
    <x v="13"/>
    <n v="2775.1000000000022"/>
  </r>
  <r>
    <d v="2023-07-02T00:00:00"/>
    <x v="5"/>
    <x v="3"/>
    <x v="0"/>
    <n v="300.77999999999997"/>
    <n v="265.04000000000002"/>
    <n v="2"/>
    <n v="601.55999999999995"/>
    <n v="530.08000000000004"/>
    <n v="71.479999999999905"/>
    <n v="0.11882438991954238"/>
    <x v="11"/>
    <n v="71.479999999999905"/>
  </r>
  <r>
    <d v="2024-04-14T00:00:00"/>
    <x v="5"/>
    <x v="3"/>
    <x v="1"/>
    <n v="580.74"/>
    <n v="514.70000000000005"/>
    <n v="4"/>
    <n v="2322.96"/>
    <n v="2058.8000000000002"/>
    <n v="264.15999999999985"/>
    <n v="0.11371698178186446"/>
    <x v="22"/>
    <n v="264.15999999999985"/>
  </r>
  <r>
    <d v="2024-07-04T00:00:00"/>
    <x v="1"/>
    <x v="1"/>
    <x v="2"/>
    <n v="145.21"/>
    <n v="97.37"/>
    <n v="9"/>
    <n v="1306.8900000000001"/>
    <n v="876.33"/>
    <n v="430.56000000000006"/>
    <n v="0.32945389435989259"/>
    <x v="28"/>
    <n v="430.56000000000006"/>
  </r>
  <r>
    <d v="2024-06-27T00:00:00"/>
    <x v="3"/>
    <x v="2"/>
    <x v="3"/>
    <n v="419.18"/>
    <n v="300.61"/>
    <n v="5"/>
    <n v="2095.9"/>
    <n v="1503.0500000000002"/>
    <n v="592.84999999999991"/>
    <n v="0.28286177775657229"/>
    <x v="4"/>
    <n v="592.84999999999991"/>
  </r>
  <r>
    <d v="2024-01-03T00:00:00"/>
    <x v="2"/>
    <x v="0"/>
    <x v="2"/>
    <n v="185.29"/>
    <n v="156.85"/>
    <n v="3"/>
    <n v="555.87"/>
    <n v="470.54999999999995"/>
    <n v="85.32000000000005"/>
    <n v="0.15348912515516228"/>
    <x v="26"/>
    <n v="85.32000000000005"/>
  </r>
  <r>
    <d v="2023-07-20T00:00:00"/>
    <x v="6"/>
    <x v="3"/>
    <x v="2"/>
    <n v="301.11"/>
    <n v="159.72"/>
    <n v="1"/>
    <n v="301.11"/>
    <n v="159.72"/>
    <n v="141.39000000000001"/>
    <n v="0.46956261831224472"/>
    <x v="11"/>
    <n v="141.39000000000001"/>
  </r>
  <r>
    <d v="2023-10-29T00:00:00"/>
    <x v="0"/>
    <x v="0"/>
    <x v="0"/>
    <n v="1727.18"/>
    <n v="980.58"/>
    <n v="9"/>
    <n v="15544.62"/>
    <n v="8825.2200000000012"/>
    <n v="6719.4"/>
    <n v="0.43226531108512134"/>
    <x v="5"/>
    <n v="6719.4"/>
  </r>
  <r>
    <d v="2022-11-02T00:00:00"/>
    <x v="4"/>
    <x v="2"/>
    <x v="0"/>
    <n v="128.46"/>
    <n v="112.87"/>
    <n v="3"/>
    <n v="385.38"/>
    <n v="338.61"/>
    <n v="46.769999999999982"/>
    <n v="0.12136073485910007"/>
    <x v="1"/>
    <n v="46.769999999999982"/>
  </r>
  <r>
    <d v="2023-07-22T00:00:00"/>
    <x v="10"/>
    <x v="2"/>
    <x v="2"/>
    <n v="1132.99"/>
    <n v="868.89"/>
    <n v="6"/>
    <n v="6797.9400000000005"/>
    <n v="5213.34"/>
    <n v="1584.6000000000004"/>
    <n v="0.23310002736123006"/>
    <x v="11"/>
    <n v="1584.6000000000004"/>
  </r>
  <r>
    <d v="2024-12-22T00:00:00"/>
    <x v="0"/>
    <x v="0"/>
    <x v="3"/>
    <n v="759.87"/>
    <n v="623.99"/>
    <n v="1"/>
    <n v="759.87"/>
    <n v="623.99"/>
    <n v="135.88"/>
    <n v="0.17882006132627948"/>
    <x v="23"/>
    <n v="135.88"/>
  </r>
  <r>
    <d v="2022-11-05T00:00:00"/>
    <x v="7"/>
    <x v="0"/>
    <x v="0"/>
    <n v="1731.16"/>
    <n v="1221.73"/>
    <n v="5"/>
    <n v="8655.8000000000011"/>
    <n v="6108.65"/>
    <n v="2547.1500000000015"/>
    <n v="0.29427089350493324"/>
    <x v="1"/>
    <n v="2547.1500000000015"/>
  </r>
  <r>
    <d v="2023-03-13T00:00:00"/>
    <x v="10"/>
    <x v="2"/>
    <x v="1"/>
    <n v="365.26"/>
    <n v="303.23"/>
    <n v="2"/>
    <n v="730.52"/>
    <n v="606.46"/>
    <n v="124.05999999999995"/>
    <n v="0.16982423479165518"/>
    <x v="19"/>
    <n v="124.05999999999995"/>
  </r>
  <r>
    <d v="2022-01-21T00:00:00"/>
    <x v="7"/>
    <x v="0"/>
    <x v="3"/>
    <n v="460.29"/>
    <n v="259.75"/>
    <n v="1"/>
    <n v="460.29"/>
    <n v="259.75"/>
    <n v="200.54000000000002"/>
    <n v="0.43568185274500859"/>
    <x v="9"/>
    <n v="200.54000000000002"/>
  </r>
  <r>
    <d v="2024-02-18T00:00:00"/>
    <x v="6"/>
    <x v="3"/>
    <x v="1"/>
    <n v="1047.94"/>
    <n v="533.63"/>
    <n v="9"/>
    <n v="9431.4600000000009"/>
    <n v="4802.67"/>
    <n v="4628.7900000000009"/>
    <n v="0.49078191499513335"/>
    <x v="34"/>
    <n v="4628.7900000000009"/>
  </r>
  <r>
    <d v="2024-03-23T00:00:00"/>
    <x v="3"/>
    <x v="2"/>
    <x v="1"/>
    <n v="1150.8"/>
    <n v="589.42999999999995"/>
    <n v="3"/>
    <n v="3452.3999999999996"/>
    <n v="1768.29"/>
    <n v="1684.1099999999997"/>
    <n v="0.4878084810566562"/>
    <x v="29"/>
    <n v="1684.1099999999997"/>
  </r>
  <r>
    <d v="2024-09-23T00:00:00"/>
    <x v="8"/>
    <x v="1"/>
    <x v="3"/>
    <n v="1683.53"/>
    <n v="1073.02"/>
    <n v="6"/>
    <n v="10101.18"/>
    <n v="6438.12"/>
    <n v="3663.0600000000004"/>
    <n v="0.36263684044834371"/>
    <x v="16"/>
    <n v="3663.0600000000004"/>
  </r>
  <r>
    <d v="2024-01-19T00:00:00"/>
    <x v="2"/>
    <x v="0"/>
    <x v="2"/>
    <n v="273.76"/>
    <n v="188.88"/>
    <n v="10"/>
    <n v="2737.6"/>
    <n v="1888.8"/>
    <n v="848.8"/>
    <n v="0.31005260081823494"/>
    <x v="26"/>
    <n v="848.8"/>
  </r>
  <r>
    <d v="2022-11-16T00:00:00"/>
    <x v="10"/>
    <x v="2"/>
    <x v="2"/>
    <n v="324.77"/>
    <n v="264.38"/>
    <n v="2"/>
    <n v="649.54"/>
    <n v="528.76"/>
    <n v="120.77999999999997"/>
    <n v="0.18594697786125564"/>
    <x v="1"/>
    <n v="120.77999999999997"/>
  </r>
  <r>
    <d v="2024-03-30T00:00:00"/>
    <x v="8"/>
    <x v="1"/>
    <x v="0"/>
    <n v="658.93"/>
    <n v="586.75"/>
    <n v="1"/>
    <n v="658.93"/>
    <n v="586.75"/>
    <n v="72.17999999999995"/>
    <n v="0.1095412259268814"/>
    <x v="29"/>
    <n v="72.17999999999995"/>
  </r>
  <r>
    <d v="2022-09-18T00:00:00"/>
    <x v="3"/>
    <x v="2"/>
    <x v="0"/>
    <n v="1893.39"/>
    <n v="1595.58"/>
    <n v="1"/>
    <n v="1893.39"/>
    <n v="1595.58"/>
    <n v="297.81000000000017"/>
    <n v="0.15728930648202438"/>
    <x v="12"/>
    <n v="297.81000000000017"/>
  </r>
  <r>
    <d v="2022-07-16T00:00:00"/>
    <x v="4"/>
    <x v="2"/>
    <x v="1"/>
    <n v="746.07"/>
    <n v="600.58000000000004"/>
    <n v="2"/>
    <n v="1492.14"/>
    <n v="1201.1600000000001"/>
    <n v="290.98"/>
    <n v="0.19500851126569893"/>
    <x v="8"/>
    <n v="290.98"/>
  </r>
  <r>
    <d v="2024-10-28T00:00:00"/>
    <x v="3"/>
    <x v="2"/>
    <x v="0"/>
    <n v="726.76"/>
    <n v="532.94000000000005"/>
    <n v="5"/>
    <n v="3633.8"/>
    <n v="2664.7000000000003"/>
    <n v="969.09999999999991"/>
    <n v="0.26669051681435407"/>
    <x v="17"/>
    <n v="969.09999999999991"/>
  </r>
  <r>
    <d v="2024-09-15T00:00:00"/>
    <x v="4"/>
    <x v="2"/>
    <x v="1"/>
    <n v="221.25"/>
    <n v="182.17"/>
    <n v="10"/>
    <n v="2212.5"/>
    <n v="1821.6999999999998"/>
    <n v="390.80000000000018"/>
    <n v="0.17663276836158201"/>
    <x v="16"/>
    <n v="390.80000000000018"/>
  </r>
  <r>
    <d v="2023-05-09T00:00:00"/>
    <x v="9"/>
    <x v="3"/>
    <x v="0"/>
    <n v="1652.88"/>
    <n v="1416.11"/>
    <n v="4"/>
    <n v="6611.52"/>
    <n v="5664.44"/>
    <n v="947.08000000000084"/>
    <n v="0.14324693867673405"/>
    <x v="31"/>
    <n v="947.08000000000084"/>
  </r>
  <r>
    <d v="2022-10-23T00:00:00"/>
    <x v="7"/>
    <x v="0"/>
    <x v="2"/>
    <n v="217.68"/>
    <n v="162.09"/>
    <n v="2"/>
    <n v="435.36"/>
    <n v="324.18"/>
    <n v="111.18"/>
    <n v="0.25537486218302097"/>
    <x v="25"/>
    <n v="111.18"/>
  </r>
  <r>
    <d v="2024-08-23T00:00:00"/>
    <x v="8"/>
    <x v="1"/>
    <x v="2"/>
    <n v="1571.65"/>
    <n v="1088.1600000000001"/>
    <n v="6"/>
    <n v="9429.9000000000015"/>
    <n v="6528.9600000000009"/>
    <n v="2900.9400000000005"/>
    <n v="0.30763210638500937"/>
    <x v="21"/>
    <n v="2900.9400000000005"/>
  </r>
  <r>
    <d v="2024-09-19T00:00:00"/>
    <x v="10"/>
    <x v="2"/>
    <x v="1"/>
    <n v="1502.22"/>
    <n v="950.67"/>
    <n v="7"/>
    <n v="10515.54"/>
    <n v="6654.69"/>
    <n v="3860.8500000000013"/>
    <n v="0.36715660821983476"/>
    <x v="16"/>
    <n v="3860.8500000000013"/>
  </r>
  <r>
    <d v="2023-08-01T00:00:00"/>
    <x v="6"/>
    <x v="3"/>
    <x v="0"/>
    <n v="1290.7"/>
    <n v="906.34"/>
    <n v="5"/>
    <n v="6453.5"/>
    <n v="4531.7"/>
    <n v="1921.8000000000002"/>
    <n v="0.2977918958704579"/>
    <x v="14"/>
    <n v="1921.8000000000002"/>
  </r>
  <r>
    <d v="2022-06-12T00:00:00"/>
    <x v="4"/>
    <x v="2"/>
    <x v="1"/>
    <n v="1875.95"/>
    <n v="1273.94"/>
    <n v="1"/>
    <n v="1875.95"/>
    <n v="1273.94"/>
    <n v="602.01"/>
    <n v="0.32090940590101014"/>
    <x v="18"/>
    <n v="602.01"/>
  </r>
  <r>
    <d v="2023-03-11T00:00:00"/>
    <x v="7"/>
    <x v="0"/>
    <x v="0"/>
    <n v="1728.05"/>
    <n v="1516.86"/>
    <n v="3"/>
    <n v="5184.1499999999996"/>
    <n v="4550.58"/>
    <n v="633.56999999999971"/>
    <n v="0.12221289893232251"/>
    <x v="19"/>
    <n v="633.56999999999971"/>
  </r>
  <r>
    <d v="2023-05-14T00:00:00"/>
    <x v="7"/>
    <x v="0"/>
    <x v="3"/>
    <n v="991.88"/>
    <n v="674.04"/>
    <n v="2"/>
    <n v="1983.76"/>
    <n v="1348.08"/>
    <n v="635.68000000000006"/>
    <n v="0.32044198895027626"/>
    <x v="31"/>
    <n v="635.68000000000006"/>
  </r>
  <r>
    <d v="2022-06-20T00:00:00"/>
    <x v="2"/>
    <x v="0"/>
    <x v="3"/>
    <n v="341.26"/>
    <n v="208.02"/>
    <n v="1"/>
    <n v="341.26"/>
    <n v="208.02"/>
    <n v="133.23999999999998"/>
    <n v="0.39043544511516143"/>
    <x v="18"/>
    <n v="133.23999999999998"/>
  </r>
  <r>
    <d v="2022-02-21T00:00:00"/>
    <x v="9"/>
    <x v="3"/>
    <x v="0"/>
    <n v="800.41"/>
    <n v="603.4"/>
    <n v="10"/>
    <n v="8004.0999999999995"/>
    <n v="6034"/>
    <n v="1970.0999999999995"/>
    <n v="0.24613635511800197"/>
    <x v="20"/>
    <n v="1970.0999999999995"/>
  </r>
  <r>
    <d v="2023-05-12T00:00:00"/>
    <x v="10"/>
    <x v="2"/>
    <x v="0"/>
    <n v="729.96"/>
    <n v="579.04"/>
    <n v="4"/>
    <n v="2919.84"/>
    <n v="2316.16"/>
    <n v="603.68000000000029"/>
    <n v="0.20675105485232076"/>
    <x v="31"/>
    <n v="603.68000000000029"/>
  </r>
  <r>
    <d v="2024-09-14T00:00:00"/>
    <x v="2"/>
    <x v="0"/>
    <x v="2"/>
    <n v="1672.51"/>
    <n v="1385.09"/>
    <n v="6"/>
    <n v="10035.06"/>
    <n v="8310.5399999999991"/>
    <n v="1724.5200000000004"/>
    <n v="0.17184949566818739"/>
    <x v="16"/>
    <n v="1724.5200000000004"/>
  </r>
  <r>
    <d v="2023-07-26T00:00:00"/>
    <x v="8"/>
    <x v="1"/>
    <x v="2"/>
    <n v="1592.55"/>
    <n v="1233.68"/>
    <n v="5"/>
    <n v="7962.75"/>
    <n v="6168.4000000000005"/>
    <n v="1794.3499999999995"/>
    <n v="0.22534300335939211"/>
    <x v="11"/>
    <n v="1794.3499999999995"/>
  </r>
  <r>
    <d v="2022-09-08T00:00:00"/>
    <x v="4"/>
    <x v="2"/>
    <x v="2"/>
    <n v="1516.89"/>
    <n v="877.75"/>
    <n v="8"/>
    <n v="12135.12"/>
    <n v="7022"/>
    <n v="5113.1200000000008"/>
    <n v="0.4213489442214004"/>
    <x v="12"/>
    <n v="5113.1200000000008"/>
  </r>
  <r>
    <d v="2022-03-18T00:00:00"/>
    <x v="4"/>
    <x v="2"/>
    <x v="1"/>
    <n v="1988.65"/>
    <n v="1570.94"/>
    <n v="4"/>
    <n v="7954.6"/>
    <n v="6283.76"/>
    <n v="1670.8400000000001"/>
    <n v="0.2100470168204561"/>
    <x v="7"/>
    <n v="1670.8400000000001"/>
  </r>
  <r>
    <d v="2024-04-02T00:00:00"/>
    <x v="4"/>
    <x v="2"/>
    <x v="3"/>
    <n v="889.96"/>
    <n v="571.26"/>
    <n v="4"/>
    <n v="3559.84"/>
    <n v="2285.04"/>
    <n v="1274.8000000000002"/>
    <n v="0.358105982291339"/>
    <x v="22"/>
    <n v="1274.8000000000002"/>
  </r>
  <r>
    <d v="2024-05-16T00:00:00"/>
    <x v="2"/>
    <x v="0"/>
    <x v="3"/>
    <n v="1171.43"/>
    <n v="730.16"/>
    <n v="6"/>
    <n v="7028.58"/>
    <n v="4380.96"/>
    <n v="2647.62"/>
    <n v="0.37669344305677677"/>
    <x v="3"/>
    <n v="2647.62"/>
  </r>
  <r>
    <d v="2023-12-17T00:00:00"/>
    <x v="4"/>
    <x v="2"/>
    <x v="2"/>
    <n v="749.18"/>
    <n v="620.36"/>
    <n v="1"/>
    <n v="749.18"/>
    <n v="620.36"/>
    <n v="128.81999999999994"/>
    <n v="0.17194799647614717"/>
    <x v="30"/>
    <n v="128.81999999999994"/>
  </r>
  <r>
    <d v="2024-10-24T00:00:00"/>
    <x v="1"/>
    <x v="1"/>
    <x v="3"/>
    <n v="56.42"/>
    <n v="31.69"/>
    <n v="3"/>
    <n v="169.26"/>
    <n v="95.070000000000007"/>
    <n v="74.189999999999984"/>
    <n v="0.4383197447713576"/>
    <x v="17"/>
    <n v="74.189999999999984"/>
  </r>
  <r>
    <d v="2023-10-31T00:00:00"/>
    <x v="7"/>
    <x v="0"/>
    <x v="1"/>
    <n v="618.52"/>
    <n v="381.24"/>
    <n v="4"/>
    <n v="2474.08"/>
    <n v="1524.96"/>
    <n v="949.11999999999989"/>
    <n v="0.38362542844208752"/>
    <x v="5"/>
    <n v="949.11999999999989"/>
  </r>
  <r>
    <d v="2024-04-28T00:00:00"/>
    <x v="9"/>
    <x v="3"/>
    <x v="0"/>
    <n v="1040.3599999999999"/>
    <n v="856.7"/>
    <n v="6"/>
    <n v="6242.16"/>
    <n v="5140.2000000000007"/>
    <n v="1101.9599999999991"/>
    <n v="0.17653504556115177"/>
    <x v="22"/>
    <n v="1101.9599999999991"/>
  </r>
  <r>
    <d v="2022-09-21T00:00:00"/>
    <x v="1"/>
    <x v="1"/>
    <x v="3"/>
    <n v="435.96"/>
    <n v="268.37"/>
    <n v="10"/>
    <n v="4359.5999999999995"/>
    <n v="2683.7"/>
    <n v="1675.8999999999996"/>
    <n v="0.38441600146802457"/>
    <x v="12"/>
    <n v="1675.8999999999996"/>
  </r>
  <r>
    <d v="2022-07-06T00:00:00"/>
    <x v="5"/>
    <x v="3"/>
    <x v="2"/>
    <n v="529.19000000000005"/>
    <n v="423.51"/>
    <n v="5"/>
    <n v="2645.9500000000003"/>
    <n v="2117.5500000000002"/>
    <n v="528.40000000000009"/>
    <n v="0.19970143048810449"/>
    <x v="8"/>
    <n v="528.40000000000009"/>
  </r>
  <r>
    <d v="2024-02-24T00:00:00"/>
    <x v="7"/>
    <x v="0"/>
    <x v="0"/>
    <n v="338.65"/>
    <n v="286.99"/>
    <n v="5"/>
    <n v="1693.25"/>
    <n v="1434.95"/>
    <n v="258.29999999999995"/>
    <n v="0.15254687730695404"/>
    <x v="34"/>
    <n v="258.29999999999995"/>
  </r>
  <r>
    <d v="2024-02-18T00:00:00"/>
    <x v="6"/>
    <x v="3"/>
    <x v="0"/>
    <n v="1681.62"/>
    <n v="1387.63"/>
    <n v="9"/>
    <n v="15134.579999999998"/>
    <n v="12488.670000000002"/>
    <n v="2645.9099999999962"/>
    <n v="0.17482546591976761"/>
    <x v="34"/>
    <n v="2645.9099999999962"/>
  </r>
  <r>
    <d v="2023-03-19T00:00:00"/>
    <x v="9"/>
    <x v="3"/>
    <x v="2"/>
    <n v="1918.5"/>
    <n v="1205.33"/>
    <n v="5"/>
    <n v="9592.5"/>
    <n v="6026.65"/>
    <n v="3565.8500000000004"/>
    <n v="0.37173312483711235"/>
    <x v="19"/>
    <n v="3565.8500000000004"/>
  </r>
  <r>
    <d v="2022-07-07T00:00:00"/>
    <x v="8"/>
    <x v="1"/>
    <x v="3"/>
    <n v="900.03"/>
    <n v="712.9"/>
    <n v="7"/>
    <n v="6300.21"/>
    <n v="4990.3"/>
    <n v="1309.9099999999999"/>
    <n v="0.20791529171249845"/>
    <x v="8"/>
    <n v="1309.9099999999999"/>
  </r>
  <r>
    <d v="2023-06-05T00:00:00"/>
    <x v="4"/>
    <x v="2"/>
    <x v="1"/>
    <n v="584.6"/>
    <n v="437.68"/>
    <n v="2"/>
    <n v="1169.2"/>
    <n v="875.36"/>
    <n v="293.84000000000003"/>
    <n v="0.25131713992473487"/>
    <x v="0"/>
    <n v="293.84000000000003"/>
  </r>
  <r>
    <d v="2023-05-16T00:00:00"/>
    <x v="6"/>
    <x v="3"/>
    <x v="2"/>
    <n v="1949.11"/>
    <n v="1523.1"/>
    <n v="9"/>
    <n v="17541.989999999998"/>
    <n v="13707.9"/>
    <n v="3834.0899999999983"/>
    <n v="0.21856642262365894"/>
    <x v="31"/>
    <n v="3834.0899999999983"/>
  </r>
  <r>
    <d v="2022-03-04T00:00:00"/>
    <x v="5"/>
    <x v="3"/>
    <x v="0"/>
    <n v="1110.81"/>
    <n v="987.89"/>
    <n v="1"/>
    <n v="1110.81"/>
    <n v="987.89"/>
    <n v="122.91999999999996"/>
    <n v="0.11065798831483328"/>
    <x v="7"/>
    <n v="122.91999999999996"/>
  </r>
  <r>
    <d v="2024-06-21T00:00:00"/>
    <x v="1"/>
    <x v="1"/>
    <x v="1"/>
    <n v="163.18"/>
    <n v="134.86000000000001"/>
    <n v="8"/>
    <n v="1305.44"/>
    <n v="1078.8800000000001"/>
    <n v="226.55999999999995"/>
    <n v="0.17355068023042033"/>
    <x v="4"/>
    <n v="226.55999999999995"/>
  </r>
  <r>
    <d v="2023-03-04T00:00:00"/>
    <x v="8"/>
    <x v="1"/>
    <x v="0"/>
    <n v="1183.8"/>
    <n v="967.46"/>
    <n v="4"/>
    <n v="4735.2"/>
    <n v="3869.84"/>
    <n v="865.35999999999967"/>
    <n v="0.18275046460550762"/>
    <x v="19"/>
    <n v="865.35999999999967"/>
  </r>
  <r>
    <d v="2023-04-07T00:00:00"/>
    <x v="7"/>
    <x v="0"/>
    <x v="1"/>
    <n v="1496.14"/>
    <n v="831.01"/>
    <n v="9"/>
    <n v="13465.26"/>
    <n v="7479.09"/>
    <n v="5986.17"/>
    <n v="0.44456401138930851"/>
    <x v="6"/>
    <n v="5986.17"/>
  </r>
  <r>
    <d v="2022-04-06T00:00:00"/>
    <x v="3"/>
    <x v="2"/>
    <x v="2"/>
    <n v="24.3"/>
    <n v="13.86"/>
    <n v="5"/>
    <n v="121.5"/>
    <n v="69.3"/>
    <n v="52.2"/>
    <n v="0.42962962962962964"/>
    <x v="32"/>
    <n v="52.2"/>
  </r>
  <r>
    <d v="2024-12-23T00:00:00"/>
    <x v="3"/>
    <x v="2"/>
    <x v="2"/>
    <n v="755.05"/>
    <n v="432.93"/>
    <n v="9"/>
    <n v="6795.45"/>
    <n v="3896.37"/>
    <n v="2899.08"/>
    <n v="0.42662075359247731"/>
    <x v="23"/>
    <n v="2899.08"/>
  </r>
  <r>
    <d v="2022-10-07T00:00:00"/>
    <x v="2"/>
    <x v="0"/>
    <x v="0"/>
    <n v="466.3"/>
    <n v="280.55"/>
    <n v="5"/>
    <n v="2331.5"/>
    <n v="1402.75"/>
    <n v="928.75"/>
    <n v="0.39834870255200516"/>
    <x v="25"/>
    <n v="928.75"/>
  </r>
  <r>
    <d v="2024-11-03T00:00:00"/>
    <x v="7"/>
    <x v="0"/>
    <x v="2"/>
    <n v="1047.53"/>
    <n v="616.4"/>
    <n v="2"/>
    <n v="2095.06"/>
    <n v="1232.8"/>
    <n v="862.26"/>
    <n v="0.41156816511221639"/>
    <x v="2"/>
    <n v="862.26"/>
  </r>
  <r>
    <d v="2022-01-16T00:00:00"/>
    <x v="10"/>
    <x v="2"/>
    <x v="3"/>
    <n v="42.12"/>
    <n v="29.53"/>
    <n v="3"/>
    <n v="126.35999999999999"/>
    <n v="88.59"/>
    <n v="37.769999999999982"/>
    <n v="0.29890788224121545"/>
    <x v="9"/>
    <n v="37.769999999999982"/>
  </r>
  <r>
    <d v="2022-06-02T00:00:00"/>
    <x v="5"/>
    <x v="3"/>
    <x v="3"/>
    <n v="735.97"/>
    <n v="587.29"/>
    <n v="7"/>
    <n v="5151.79"/>
    <n v="4111.03"/>
    <n v="1040.7600000000002"/>
    <n v="0.20201910403956688"/>
    <x v="18"/>
    <n v="1040.7600000000002"/>
  </r>
  <r>
    <d v="2024-08-17T00:00:00"/>
    <x v="8"/>
    <x v="1"/>
    <x v="1"/>
    <n v="1820.2"/>
    <n v="1022.25"/>
    <n v="1"/>
    <n v="1820.2"/>
    <n v="1022.25"/>
    <n v="797.95"/>
    <n v="0.43838589166025715"/>
    <x v="21"/>
    <n v="797.95"/>
  </r>
  <r>
    <d v="2022-10-18T00:00:00"/>
    <x v="4"/>
    <x v="2"/>
    <x v="1"/>
    <n v="1138.6199999999999"/>
    <n v="672.57"/>
    <n v="3"/>
    <n v="3415.8599999999997"/>
    <n v="2017.71"/>
    <n v="1398.1499999999996"/>
    <n v="0.40931127153923164"/>
    <x v="25"/>
    <n v="1398.1499999999996"/>
  </r>
  <r>
    <d v="2022-02-08T00:00:00"/>
    <x v="10"/>
    <x v="2"/>
    <x v="1"/>
    <n v="1779.18"/>
    <n v="1118.03"/>
    <n v="3"/>
    <n v="5337.54"/>
    <n v="3354.09"/>
    <n v="1983.4499999999998"/>
    <n v="0.37160377252442134"/>
    <x v="20"/>
    <n v="1983.4499999999998"/>
  </r>
  <r>
    <d v="2023-01-10T00:00:00"/>
    <x v="10"/>
    <x v="2"/>
    <x v="3"/>
    <n v="206.46"/>
    <n v="142.58000000000001"/>
    <n v="3"/>
    <n v="619.38"/>
    <n v="427.74"/>
    <n v="191.64"/>
    <n v="0.30940618037392231"/>
    <x v="13"/>
    <n v="191.64"/>
  </r>
  <r>
    <d v="2023-12-28T00:00:00"/>
    <x v="3"/>
    <x v="2"/>
    <x v="3"/>
    <n v="634.38"/>
    <n v="353.02"/>
    <n v="2"/>
    <n v="1268.76"/>
    <n v="706.04"/>
    <n v="562.72"/>
    <n v="0.44351965698792523"/>
    <x v="30"/>
    <n v="562.72"/>
  </r>
  <r>
    <d v="2022-01-31T00:00:00"/>
    <x v="4"/>
    <x v="2"/>
    <x v="1"/>
    <n v="1716.9"/>
    <n v="1369.13"/>
    <n v="10"/>
    <n v="17169"/>
    <n v="13691.300000000001"/>
    <n v="3477.6999999999989"/>
    <n v="0.2025569340089696"/>
    <x v="9"/>
    <n v="3477.6999999999989"/>
  </r>
  <r>
    <d v="2022-12-11T00:00:00"/>
    <x v="9"/>
    <x v="3"/>
    <x v="1"/>
    <n v="1221.3"/>
    <n v="811.71"/>
    <n v="9"/>
    <n v="10991.699999999999"/>
    <n v="7305.39"/>
    <n v="3686.3099999999986"/>
    <n v="0.33537214443625635"/>
    <x v="33"/>
    <n v="3686.3099999999986"/>
  </r>
  <r>
    <d v="2022-06-01T00:00:00"/>
    <x v="3"/>
    <x v="2"/>
    <x v="3"/>
    <n v="1090.42"/>
    <n v="669.64"/>
    <n v="4"/>
    <n v="4361.68"/>
    <n v="2678.56"/>
    <n v="1683.1200000000003"/>
    <n v="0.38588800645622795"/>
    <x v="18"/>
    <n v="1683.1200000000003"/>
  </r>
  <r>
    <d v="2022-09-12T00:00:00"/>
    <x v="10"/>
    <x v="2"/>
    <x v="3"/>
    <n v="214.26"/>
    <n v="109.74"/>
    <n v="10"/>
    <n v="2142.6"/>
    <n v="1097.3999999999999"/>
    <n v="1045.2"/>
    <n v="0.48781853822458698"/>
    <x v="12"/>
    <n v="1045.2"/>
  </r>
  <r>
    <d v="2024-11-25T00:00:00"/>
    <x v="4"/>
    <x v="2"/>
    <x v="1"/>
    <n v="1629.58"/>
    <n v="1376.68"/>
    <n v="1"/>
    <n v="1629.58"/>
    <n v="1376.68"/>
    <n v="252.89999999999986"/>
    <n v="0.15519336270695508"/>
    <x v="2"/>
    <n v="252.89999999999986"/>
  </r>
  <r>
    <d v="2022-11-24T00:00:00"/>
    <x v="7"/>
    <x v="0"/>
    <x v="1"/>
    <n v="587.65"/>
    <n v="434.94"/>
    <n v="7"/>
    <n v="4113.55"/>
    <n v="3044.58"/>
    <n v="1068.9700000000003"/>
    <n v="0.25986556623840729"/>
    <x v="1"/>
    <n v="1068.9700000000003"/>
  </r>
  <r>
    <d v="2023-02-14T00:00:00"/>
    <x v="7"/>
    <x v="0"/>
    <x v="3"/>
    <n v="1916.32"/>
    <n v="1488.49"/>
    <n v="8"/>
    <n v="15330.56"/>
    <n v="11907.92"/>
    <n v="3422.6399999999994"/>
    <n v="0.22325603239542452"/>
    <x v="27"/>
    <n v="3422.6399999999994"/>
  </r>
  <r>
    <d v="2024-04-30T00:00:00"/>
    <x v="2"/>
    <x v="0"/>
    <x v="3"/>
    <n v="499.73"/>
    <n v="278.55"/>
    <n v="1"/>
    <n v="499.73"/>
    <n v="278.55"/>
    <n v="221.18"/>
    <n v="0.44259900346186942"/>
    <x v="22"/>
    <n v="221.18"/>
  </r>
  <r>
    <d v="2024-05-29T00:00:00"/>
    <x v="8"/>
    <x v="1"/>
    <x v="0"/>
    <n v="865.6"/>
    <n v="574.04"/>
    <n v="5"/>
    <n v="4328"/>
    <n v="2870.2"/>
    <n v="1457.8000000000002"/>
    <n v="0.336829944547135"/>
    <x v="3"/>
    <n v="1457.8000000000002"/>
  </r>
  <r>
    <d v="2024-05-23T00:00:00"/>
    <x v="0"/>
    <x v="0"/>
    <x v="3"/>
    <n v="784.81"/>
    <n v="408.26"/>
    <n v="6"/>
    <n v="4708.8599999999997"/>
    <n v="2449.56"/>
    <n v="2259.2999999999997"/>
    <n v="0.47979765803188029"/>
    <x v="3"/>
    <n v="2259.2999999999997"/>
  </r>
  <r>
    <d v="2022-09-08T00:00:00"/>
    <x v="3"/>
    <x v="2"/>
    <x v="0"/>
    <n v="368.17"/>
    <n v="293.10000000000002"/>
    <n v="6"/>
    <n v="2209.02"/>
    <n v="1758.6000000000001"/>
    <n v="450.41999999999985"/>
    <n v="0.20390037211070966"/>
    <x v="12"/>
    <n v="450.41999999999985"/>
  </r>
  <r>
    <d v="2023-01-16T00:00:00"/>
    <x v="4"/>
    <x v="2"/>
    <x v="2"/>
    <n v="319.26"/>
    <n v="177.9"/>
    <n v="10"/>
    <n v="3192.6"/>
    <n v="1779"/>
    <n v="1413.6"/>
    <n v="0.44277391467769217"/>
    <x v="13"/>
    <n v="1413.6"/>
  </r>
  <r>
    <d v="2022-06-01T00:00:00"/>
    <x v="2"/>
    <x v="0"/>
    <x v="2"/>
    <n v="747.65"/>
    <n v="428.31"/>
    <n v="4"/>
    <n v="2990.6"/>
    <n v="1713.24"/>
    <n v="1277.3599999999999"/>
    <n v="0.42712499164047346"/>
    <x v="18"/>
    <n v="1277.3599999999999"/>
  </r>
  <r>
    <d v="2023-11-15T00:00:00"/>
    <x v="1"/>
    <x v="1"/>
    <x v="0"/>
    <n v="408.46"/>
    <n v="357.47"/>
    <n v="8"/>
    <n v="3267.68"/>
    <n v="2859.76"/>
    <n v="407.91999999999962"/>
    <n v="0.12483474514028291"/>
    <x v="10"/>
    <n v="407.91999999999962"/>
  </r>
  <r>
    <d v="2024-05-05T00:00:00"/>
    <x v="3"/>
    <x v="2"/>
    <x v="3"/>
    <n v="286.99"/>
    <n v="146.4"/>
    <n v="7"/>
    <n v="2008.93"/>
    <n v="1024.8"/>
    <n v="984.13000000000011"/>
    <n v="0.48987769608697174"/>
    <x v="3"/>
    <n v="984.13000000000011"/>
  </r>
  <r>
    <d v="2022-03-10T00:00:00"/>
    <x v="9"/>
    <x v="3"/>
    <x v="3"/>
    <n v="343.27"/>
    <n v="239.9"/>
    <n v="9"/>
    <n v="3089.43"/>
    <n v="2159.1"/>
    <n v="930.32999999999993"/>
    <n v="0.3011332187490896"/>
    <x v="7"/>
    <n v="930.32999999999993"/>
  </r>
  <r>
    <d v="2024-09-20T00:00:00"/>
    <x v="8"/>
    <x v="1"/>
    <x v="3"/>
    <n v="694.17"/>
    <n v="560.42999999999995"/>
    <n v="2"/>
    <n v="1388.34"/>
    <n v="1120.8599999999999"/>
    <n v="267.48"/>
    <n v="0.19266173991961627"/>
    <x v="16"/>
    <n v="267.48"/>
  </r>
  <r>
    <d v="2023-03-14T00:00:00"/>
    <x v="10"/>
    <x v="2"/>
    <x v="3"/>
    <n v="911.31"/>
    <n v="734.91"/>
    <n v="9"/>
    <n v="8201.7899999999991"/>
    <n v="6614.19"/>
    <n v="1587.5999999999995"/>
    <n v="0.19356750172828122"/>
    <x v="19"/>
    <n v="1587.5999999999995"/>
  </r>
  <r>
    <d v="2023-06-18T00:00:00"/>
    <x v="9"/>
    <x v="3"/>
    <x v="3"/>
    <n v="1381.83"/>
    <n v="1062.1300000000001"/>
    <n v="2"/>
    <n v="2763.66"/>
    <n v="2124.2600000000002"/>
    <n v="639.39999999999964"/>
    <n v="0.23135986336958947"/>
    <x v="0"/>
    <n v="639.39999999999964"/>
  </r>
  <r>
    <d v="2023-09-11T00:00:00"/>
    <x v="7"/>
    <x v="0"/>
    <x v="2"/>
    <n v="1146.4100000000001"/>
    <n v="862.85"/>
    <n v="8"/>
    <n v="9171.2800000000007"/>
    <n v="6902.8"/>
    <n v="2268.4800000000005"/>
    <n v="0.24734606292687611"/>
    <x v="24"/>
    <n v="2268.4800000000005"/>
  </r>
  <r>
    <d v="2022-07-30T00:00:00"/>
    <x v="7"/>
    <x v="0"/>
    <x v="2"/>
    <n v="592.58000000000004"/>
    <n v="297.25"/>
    <n v="2"/>
    <n v="1185.1600000000001"/>
    <n v="594.5"/>
    <n v="590.66000000000008"/>
    <n v="0.4983799655742685"/>
    <x v="8"/>
    <n v="590.66000000000008"/>
  </r>
  <r>
    <d v="2022-10-14T00:00:00"/>
    <x v="1"/>
    <x v="1"/>
    <x v="0"/>
    <n v="161.25"/>
    <n v="86.98"/>
    <n v="7"/>
    <n v="1128.75"/>
    <n v="608.86"/>
    <n v="519.89"/>
    <n v="0.46058914728682171"/>
    <x v="25"/>
    <n v="519.89"/>
  </r>
  <r>
    <d v="2024-05-17T00:00:00"/>
    <x v="4"/>
    <x v="2"/>
    <x v="0"/>
    <n v="484.34"/>
    <n v="376.76"/>
    <n v="6"/>
    <n v="2906.04"/>
    <n v="2260.56"/>
    <n v="645.48"/>
    <n v="0.22211669488375935"/>
    <x v="3"/>
    <n v="645.48"/>
  </r>
  <r>
    <d v="2022-01-13T00:00:00"/>
    <x v="1"/>
    <x v="1"/>
    <x v="1"/>
    <n v="1068.7"/>
    <n v="904.31"/>
    <n v="6"/>
    <n v="6412.2000000000007"/>
    <n v="5425.86"/>
    <n v="986.34000000000106"/>
    <n v="0.15382240104800241"/>
    <x v="9"/>
    <n v="986.34000000000106"/>
  </r>
  <r>
    <d v="2023-12-24T00:00:00"/>
    <x v="4"/>
    <x v="2"/>
    <x v="3"/>
    <n v="566.26"/>
    <n v="320.47000000000003"/>
    <n v="1"/>
    <n v="566.26"/>
    <n v="320.47000000000003"/>
    <n v="245.78999999999996"/>
    <n v="0.43405855967223533"/>
    <x v="30"/>
    <n v="245.78999999999996"/>
  </r>
  <r>
    <d v="2023-01-03T00:00:00"/>
    <x v="5"/>
    <x v="3"/>
    <x v="2"/>
    <n v="1496.95"/>
    <n v="1248.18"/>
    <n v="8"/>
    <n v="11975.6"/>
    <n v="9985.44"/>
    <n v="1990.1599999999999"/>
    <n v="0.16618457530311631"/>
    <x v="13"/>
    <n v="1990.1599999999999"/>
  </r>
  <r>
    <d v="2023-03-15T00:00:00"/>
    <x v="5"/>
    <x v="3"/>
    <x v="3"/>
    <n v="1532.91"/>
    <n v="1320.54"/>
    <n v="9"/>
    <n v="13796.19"/>
    <n v="11884.86"/>
    <n v="1911.33"/>
    <n v="0.13854042311681702"/>
    <x v="19"/>
    <n v="1911.33"/>
  </r>
  <r>
    <d v="2024-06-13T00:00:00"/>
    <x v="0"/>
    <x v="0"/>
    <x v="2"/>
    <n v="1469.32"/>
    <n v="1318.79"/>
    <n v="4"/>
    <n v="5877.28"/>
    <n v="5275.16"/>
    <n v="602.11999999999989"/>
    <n v="0.10244875180355537"/>
    <x v="4"/>
    <n v="602.11999999999989"/>
  </r>
  <r>
    <d v="2023-01-07T00:00:00"/>
    <x v="10"/>
    <x v="2"/>
    <x v="1"/>
    <n v="294.54000000000002"/>
    <n v="226.49"/>
    <n v="7"/>
    <n v="2061.7800000000002"/>
    <n v="1585.43"/>
    <n v="476.35000000000014"/>
    <n v="0.23103822910300811"/>
    <x v="13"/>
    <n v="476.35000000000014"/>
  </r>
  <r>
    <d v="2024-09-11T00:00:00"/>
    <x v="4"/>
    <x v="2"/>
    <x v="3"/>
    <n v="106.16"/>
    <n v="85.27"/>
    <n v="2"/>
    <n v="212.32"/>
    <n v="170.54"/>
    <n v="41.78"/>
    <n v="0.19677844762622457"/>
    <x v="16"/>
    <n v="41.78"/>
  </r>
  <r>
    <d v="2023-04-05T00:00:00"/>
    <x v="10"/>
    <x v="2"/>
    <x v="0"/>
    <n v="1454.79"/>
    <n v="867.58"/>
    <n v="4"/>
    <n v="5819.16"/>
    <n v="3470.32"/>
    <n v="2348.8399999999997"/>
    <n v="0.40363901319090723"/>
    <x v="6"/>
    <n v="2348.8399999999997"/>
  </r>
  <r>
    <d v="2022-02-24T00:00:00"/>
    <x v="6"/>
    <x v="3"/>
    <x v="2"/>
    <n v="1206.07"/>
    <n v="968.84"/>
    <n v="2"/>
    <n v="2412.14"/>
    <n v="1937.68"/>
    <n v="474.45999999999981"/>
    <n v="0.19669670914623522"/>
    <x v="20"/>
    <n v="474.45999999999981"/>
  </r>
  <r>
    <d v="2024-11-12T00:00:00"/>
    <x v="2"/>
    <x v="0"/>
    <x v="0"/>
    <n v="1695.46"/>
    <n v="925.81"/>
    <n v="10"/>
    <n v="16954.599999999999"/>
    <n v="9258.0999999999985"/>
    <n v="7696.5"/>
    <n v="0.45394760124096117"/>
    <x v="2"/>
    <n v="7696.5"/>
  </r>
  <r>
    <d v="2023-07-27T00:00:00"/>
    <x v="6"/>
    <x v="3"/>
    <x v="1"/>
    <n v="1496.32"/>
    <n v="1038.44"/>
    <n v="3"/>
    <n v="4488.96"/>
    <n v="3115.32"/>
    <n v="1373.6399999999999"/>
    <n v="0.30600406330196744"/>
    <x v="11"/>
    <n v="1373.6399999999999"/>
  </r>
  <r>
    <d v="2022-06-11T00:00:00"/>
    <x v="6"/>
    <x v="3"/>
    <x v="0"/>
    <n v="1140.47"/>
    <n v="695.97"/>
    <n v="8"/>
    <n v="9123.76"/>
    <n v="5567.76"/>
    <n v="3556"/>
    <n v="0.38975159364121809"/>
    <x v="18"/>
    <n v="3556"/>
  </r>
  <r>
    <d v="2023-08-30T00:00:00"/>
    <x v="4"/>
    <x v="2"/>
    <x v="2"/>
    <n v="177.82"/>
    <n v="90.77"/>
    <n v="2"/>
    <n v="355.64"/>
    <n v="181.54"/>
    <n v="174.1"/>
    <n v="0.48953998425373974"/>
    <x v="14"/>
    <n v="174.1"/>
  </r>
  <r>
    <d v="2022-08-30T00:00:00"/>
    <x v="5"/>
    <x v="3"/>
    <x v="3"/>
    <n v="1784.18"/>
    <n v="1408.01"/>
    <n v="8"/>
    <n v="14273.44"/>
    <n v="11264.08"/>
    <n v="3009.3600000000006"/>
    <n v="0.21083635059242906"/>
    <x v="15"/>
    <n v="3009.3600000000006"/>
  </r>
  <r>
    <d v="2023-05-16T00:00:00"/>
    <x v="5"/>
    <x v="3"/>
    <x v="3"/>
    <n v="1085.52"/>
    <n v="957.77"/>
    <n v="4"/>
    <n v="4342.08"/>
    <n v="3831.08"/>
    <n v="511"/>
    <n v="0.11768553320067802"/>
    <x v="31"/>
    <n v="511"/>
  </r>
  <r>
    <d v="2023-11-30T00:00:00"/>
    <x v="1"/>
    <x v="1"/>
    <x v="0"/>
    <n v="971.11"/>
    <n v="593.25"/>
    <n v="5"/>
    <n v="4855.55"/>
    <n v="2966.25"/>
    <n v="1889.3000000000002"/>
    <n v="0.38910113169465871"/>
    <x v="10"/>
    <n v="1889.3000000000002"/>
  </r>
  <r>
    <d v="2022-01-25T00:00:00"/>
    <x v="9"/>
    <x v="3"/>
    <x v="2"/>
    <n v="1530.16"/>
    <n v="939.21"/>
    <n v="9"/>
    <n v="13771.44"/>
    <n v="8452.89"/>
    <n v="5318.5500000000011"/>
    <n v="0.38620144298635445"/>
    <x v="9"/>
    <n v="5318.5500000000011"/>
  </r>
  <r>
    <d v="2024-03-18T00:00:00"/>
    <x v="2"/>
    <x v="0"/>
    <x v="2"/>
    <n v="1034.54"/>
    <n v="697.34"/>
    <n v="3"/>
    <n v="3103.62"/>
    <n v="2092.02"/>
    <n v="1011.5999999999999"/>
    <n v="0.32594196454462854"/>
    <x v="29"/>
    <n v="1011.5999999999999"/>
  </r>
  <r>
    <d v="2022-02-06T00:00:00"/>
    <x v="5"/>
    <x v="3"/>
    <x v="1"/>
    <n v="1260.3800000000001"/>
    <n v="1065.1300000000001"/>
    <n v="7"/>
    <n v="8822.66"/>
    <n v="7455.9100000000008"/>
    <n v="1366.7499999999991"/>
    <n v="0.15491359748647224"/>
    <x v="20"/>
    <n v="1366.7499999999991"/>
  </r>
  <r>
    <d v="2022-10-16T00:00:00"/>
    <x v="0"/>
    <x v="0"/>
    <x v="2"/>
    <n v="1489.7"/>
    <n v="1149.78"/>
    <n v="1"/>
    <n v="1489.7"/>
    <n v="1149.78"/>
    <n v="339.92000000000007"/>
    <n v="0.22818017050412839"/>
    <x v="25"/>
    <n v="339.92000000000007"/>
  </r>
  <r>
    <d v="2024-05-03T00:00:00"/>
    <x v="7"/>
    <x v="0"/>
    <x v="3"/>
    <n v="1207.6600000000001"/>
    <n v="784.43"/>
    <n v="1"/>
    <n v="1207.6600000000001"/>
    <n v="784.43"/>
    <n v="423.23000000000013"/>
    <n v="0.35045459814848556"/>
    <x v="3"/>
    <n v="423.23000000000013"/>
  </r>
  <r>
    <d v="2022-09-23T00:00:00"/>
    <x v="9"/>
    <x v="3"/>
    <x v="0"/>
    <n v="130.35"/>
    <n v="69.97"/>
    <n v="5"/>
    <n v="651.75"/>
    <n v="349.85"/>
    <n v="301.89999999999998"/>
    <n v="0.46321442270809354"/>
    <x v="12"/>
    <n v="301.89999999999998"/>
  </r>
  <r>
    <d v="2022-10-11T00:00:00"/>
    <x v="7"/>
    <x v="0"/>
    <x v="0"/>
    <n v="752.12"/>
    <n v="645.78"/>
    <n v="2"/>
    <n v="1504.24"/>
    <n v="1291.56"/>
    <n v="212.68000000000006"/>
    <n v="0.1413870127107377"/>
    <x v="25"/>
    <n v="212.68000000000006"/>
  </r>
  <r>
    <d v="2022-01-27T00:00:00"/>
    <x v="2"/>
    <x v="0"/>
    <x v="2"/>
    <n v="675"/>
    <n v="372.06"/>
    <n v="10"/>
    <n v="6750"/>
    <n v="3720.6"/>
    <n v="3029.4"/>
    <n v="0.44880000000000003"/>
    <x v="9"/>
    <n v="3029.4"/>
  </r>
  <r>
    <d v="2024-07-04T00:00:00"/>
    <x v="4"/>
    <x v="2"/>
    <x v="3"/>
    <n v="1796.2"/>
    <n v="922.61"/>
    <n v="8"/>
    <n v="14369.6"/>
    <n v="7380.88"/>
    <n v="6988.72"/>
    <n v="0.4863545262220243"/>
    <x v="28"/>
    <n v="6988.72"/>
  </r>
  <r>
    <d v="2023-08-23T00:00:00"/>
    <x v="1"/>
    <x v="1"/>
    <x v="2"/>
    <n v="1024.6400000000001"/>
    <n v="800.57"/>
    <n v="2"/>
    <n v="2049.2800000000002"/>
    <n v="1601.14"/>
    <n v="448.1400000000001"/>
    <n v="0.2186816833229232"/>
    <x v="14"/>
    <n v="448.1400000000001"/>
  </r>
  <r>
    <d v="2022-02-24T00:00:00"/>
    <x v="3"/>
    <x v="2"/>
    <x v="2"/>
    <n v="1596.98"/>
    <n v="1198.51"/>
    <n v="6"/>
    <n v="9581.880000000001"/>
    <n v="7191.0599999999995"/>
    <n v="2390.8200000000015"/>
    <n v="0.24951470901326267"/>
    <x v="20"/>
    <n v="2390.8200000000015"/>
  </r>
  <r>
    <d v="2022-08-10T00:00:00"/>
    <x v="9"/>
    <x v="3"/>
    <x v="2"/>
    <n v="668.23"/>
    <n v="439.21"/>
    <n v="5"/>
    <n v="3341.15"/>
    <n v="2196.0499999999997"/>
    <n v="1145.1000000000004"/>
    <n v="0.3427263068105294"/>
    <x v="15"/>
    <n v="1145.1000000000004"/>
  </r>
  <r>
    <d v="2024-12-15T00:00:00"/>
    <x v="0"/>
    <x v="0"/>
    <x v="1"/>
    <n v="1947.78"/>
    <n v="1743.43"/>
    <n v="3"/>
    <n v="5843.34"/>
    <n v="5230.29"/>
    <n v="613.05000000000018"/>
    <n v="0.10491431270472028"/>
    <x v="23"/>
    <n v="613.05000000000018"/>
  </r>
  <r>
    <d v="2024-10-23T00:00:00"/>
    <x v="6"/>
    <x v="3"/>
    <x v="1"/>
    <n v="338.88"/>
    <n v="194.29"/>
    <n v="7"/>
    <n v="2372.16"/>
    <n v="1360.03"/>
    <n v="1012.1299999999999"/>
    <n v="0.4266702077431539"/>
    <x v="17"/>
    <n v="1012.1299999999999"/>
  </r>
  <r>
    <d v="2023-03-09T00:00:00"/>
    <x v="3"/>
    <x v="2"/>
    <x v="3"/>
    <n v="427.68"/>
    <n v="337.91"/>
    <n v="6"/>
    <n v="2566.08"/>
    <n v="2027.46"/>
    <n v="538.61999999999989"/>
    <n v="0.20989992517770292"/>
    <x v="19"/>
    <n v="538.61999999999989"/>
  </r>
  <r>
    <d v="2023-12-11T00:00:00"/>
    <x v="3"/>
    <x v="2"/>
    <x v="2"/>
    <n v="520.38"/>
    <n v="349.48"/>
    <n v="10"/>
    <n v="5203.8"/>
    <n v="3494.8"/>
    <n v="1709"/>
    <n v="0.32841385141627272"/>
    <x v="30"/>
    <n v="1709"/>
  </r>
  <r>
    <d v="2023-03-18T00:00:00"/>
    <x v="10"/>
    <x v="2"/>
    <x v="2"/>
    <n v="252.99"/>
    <n v="175.98"/>
    <n v="3"/>
    <n v="758.97"/>
    <n v="527.93999999999994"/>
    <n v="231.03000000000009"/>
    <n v="0.30439938337483707"/>
    <x v="19"/>
    <n v="231.03000000000009"/>
  </r>
  <r>
    <d v="2022-06-27T00:00:00"/>
    <x v="2"/>
    <x v="0"/>
    <x v="0"/>
    <n v="433.95"/>
    <n v="378.47"/>
    <n v="7"/>
    <n v="3037.65"/>
    <n v="2649.29"/>
    <n v="388.36000000000013"/>
    <n v="0.1278488305104275"/>
    <x v="18"/>
    <n v="388.36000000000013"/>
  </r>
  <r>
    <d v="2023-03-15T00:00:00"/>
    <x v="2"/>
    <x v="0"/>
    <x v="0"/>
    <n v="1486.1"/>
    <n v="1116.56"/>
    <n v="4"/>
    <n v="5944.4"/>
    <n v="4466.24"/>
    <n v="1478.1599999999999"/>
    <n v="0.24866428907879684"/>
    <x v="19"/>
    <n v="1478.1599999999999"/>
  </r>
  <r>
    <d v="2024-02-28T00:00:00"/>
    <x v="1"/>
    <x v="1"/>
    <x v="1"/>
    <n v="276.31"/>
    <n v="218.52"/>
    <n v="9"/>
    <n v="2486.79"/>
    <n v="1966.68"/>
    <n v="520.1099999999999"/>
    <n v="0.20914914407730445"/>
    <x v="34"/>
    <n v="520.1099999999999"/>
  </r>
  <r>
    <d v="2023-10-28T00:00:00"/>
    <x v="6"/>
    <x v="3"/>
    <x v="1"/>
    <n v="965.11"/>
    <n v="861.25"/>
    <n v="4"/>
    <n v="3860.44"/>
    <n v="3445"/>
    <n v="415.44000000000005"/>
    <n v="0.10761467604728996"/>
    <x v="5"/>
    <n v="415.44000000000005"/>
  </r>
  <r>
    <d v="2024-07-26T00:00:00"/>
    <x v="7"/>
    <x v="0"/>
    <x v="0"/>
    <n v="907.31"/>
    <n v="751.94"/>
    <n v="10"/>
    <n v="9073.0999999999985"/>
    <n v="7519.4000000000005"/>
    <n v="1553.699999999998"/>
    <n v="0.17124246398695026"/>
    <x v="28"/>
    <n v="1553.699999999998"/>
  </r>
  <r>
    <d v="2022-04-06T00:00:00"/>
    <x v="7"/>
    <x v="0"/>
    <x v="1"/>
    <n v="1466.61"/>
    <n v="1221.97"/>
    <n v="8"/>
    <n v="11732.88"/>
    <n v="9775.76"/>
    <n v="1957.119999999999"/>
    <n v="0.16680644479445789"/>
    <x v="32"/>
    <n v="1957.119999999999"/>
  </r>
  <r>
    <d v="2022-09-20T00:00:00"/>
    <x v="1"/>
    <x v="1"/>
    <x v="2"/>
    <n v="1682.31"/>
    <n v="954.39"/>
    <n v="8"/>
    <n v="13458.48"/>
    <n v="7635.12"/>
    <n v="5823.36"/>
    <n v="0.43269076448454802"/>
    <x v="12"/>
    <n v="5823.36"/>
  </r>
  <r>
    <d v="2023-02-25T00:00:00"/>
    <x v="4"/>
    <x v="2"/>
    <x v="2"/>
    <n v="987.95"/>
    <n v="880.32"/>
    <n v="6"/>
    <n v="5927.7000000000007"/>
    <n v="5281.92"/>
    <n v="645.78000000000065"/>
    <n v="0.10894276026114692"/>
    <x v="27"/>
    <n v="645.78000000000065"/>
  </r>
  <r>
    <d v="2023-02-18T00:00:00"/>
    <x v="0"/>
    <x v="0"/>
    <x v="2"/>
    <n v="163.65"/>
    <n v="118.77"/>
    <n v="4"/>
    <n v="654.6"/>
    <n v="475.08"/>
    <n v="179.52000000000004"/>
    <n v="0.27424381301558209"/>
    <x v="27"/>
    <n v="179.52000000000004"/>
  </r>
  <r>
    <d v="2022-07-20T00:00:00"/>
    <x v="8"/>
    <x v="1"/>
    <x v="3"/>
    <n v="731.2"/>
    <n v="480.64"/>
    <n v="4"/>
    <n v="2924.8"/>
    <n v="1922.56"/>
    <n v="1002.2400000000002"/>
    <n v="0.34266958424507665"/>
    <x v="8"/>
    <n v="1002.2400000000002"/>
  </r>
  <r>
    <d v="2022-06-03T00:00:00"/>
    <x v="1"/>
    <x v="1"/>
    <x v="3"/>
    <n v="1826.14"/>
    <n v="1248.1199999999999"/>
    <n v="7"/>
    <n v="12782.980000000001"/>
    <n v="8736.84"/>
    <n v="4046.1400000000012"/>
    <n v="0.31652556759065575"/>
    <x v="18"/>
    <n v="4046.1400000000012"/>
  </r>
  <r>
    <d v="2023-06-28T00:00:00"/>
    <x v="1"/>
    <x v="1"/>
    <x v="0"/>
    <n v="51.97"/>
    <n v="28.47"/>
    <n v="5"/>
    <n v="259.85000000000002"/>
    <n v="142.35"/>
    <n v="117.50000000000003"/>
    <n v="0.45218395228016173"/>
    <x v="0"/>
    <n v="117.50000000000003"/>
  </r>
  <r>
    <d v="2023-07-06T00:00:00"/>
    <x v="1"/>
    <x v="1"/>
    <x v="0"/>
    <n v="1358.21"/>
    <n v="710.67"/>
    <n v="3"/>
    <n v="4074.63"/>
    <n v="2132.0099999999998"/>
    <n v="1942.6200000000003"/>
    <n v="0.47675985304187135"/>
    <x v="11"/>
    <n v="1942.6200000000003"/>
  </r>
  <r>
    <d v="2022-12-13T00:00:00"/>
    <x v="6"/>
    <x v="3"/>
    <x v="2"/>
    <n v="846.77"/>
    <n v="454.55"/>
    <n v="5"/>
    <n v="4233.8500000000004"/>
    <n v="2272.75"/>
    <n v="1961.1000000000004"/>
    <n v="0.46319543677740121"/>
    <x v="33"/>
    <n v="1961.1000000000004"/>
  </r>
  <r>
    <d v="2024-07-12T00:00:00"/>
    <x v="8"/>
    <x v="1"/>
    <x v="1"/>
    <n v="1462.04"/>
    <n v="1173.08"/>
    <n v="7"/>
    <n v="10234.279999999999"/>
    <n v="8211.56"/>
    <n v="2022.7199999999993"/>
    <n v="0.19764165139120676"/>
    <x v="28"/>
    <n v="2022.7199999999993"/>
  </r>
  <r>
    <d v="2024-01-13T00:00:00"/>
    <x v="1"/>
    <x v="1"/>
    <x v="0"/>
    <n v="995.72"/>
    <n v="742.77"/>
    <n v="1"/>
    <n v="995.72"/>
    <n v="742.77"/>
    <n v="252.95000000000005"/>
    <n v="0.25403727955650185"/>
    <x v="26"/>
    <n v="252.95000000000005"/>
  </r>
  <r>
    <d v="2023-11-30T00:00:00"/>
    <x v="9"/>
    <x v="3"/>
    <x v="0"/>
    <n v="822.43"/>
    <n v="710.87"/>
    <n v="2"/>
    <n v="1644.86"/>
    <n v="1421.74"/>
    <n v="223.11999999999989"/>
    <n v="0.13564680276740873"/>
    <x v="10"/>
    <n v="223.11999999999989"/>
  </r>
  <r>
    <d v="2022-07-24T00:00:00"/>
    <x v="3"/>
    <x v="2"/>
    <x v="3"/>
    <n v="760.25"/>
    <n v="403.47"/>
    <n v="3"/>
    <n v="2280.75"/>
    <n v="1210.4100000000001"/>
    <n v="1070.3399999999999"/>
    <n v="0.46929299572509037"/>
    <x v="8"/>
    <n v="1070.3399999999999"/>
  </r>
  <r>
    <d v="2024-12-28T00:00:00"/>
    <x v="7"/>
    <x v="0"/>
    <x v="0"/>
    <n v="307.27"/>
    <n v="231.69"/>
    <n v="6"/>
    <n v="1843.62"/>
    <n v="1390.1399999999999"/>
    <n v="453.48"/>
    <n v="0.2459725973899177"/>
    <x v="23"/>
    <n v="453.48"/>
  </r>
  <r>
    <d v="2023-02-07T00:00:00"/>
    <x v="5"/>
    <x v="3"/>
    <x v="3"/>
    <n v="1324.18"/>
    <n v="855.61"/>
    <n v="6"/>
    <n v="7945.08"/>
    <n v="5133.66"/>
    <n v="2811.42"/>
    <n v="0.35385672642692084"/>
    <x v="27"/>
    <n v="2811.42"/>
  </r>
  <r>
    <d v="2023-12-12T00:00:00"/>
    <x v="1"/>
    <x v="1"/>
    <x v="1"/>
    <n v="588.52"/>
    <n v="419.61"/>
    <n v="10"/>
    <n v="5885.2"/>
    <n v="4196.1000000000004"/>
    <n v="1689.0999999999995"/>
    <n v="0.2870080880853666"/>
    <x v="30"/>
    <n v="1689.0999999999995"/>
  </r>
  <r>
    <d v="2022-02-24T00:00:00"/>
    <x v="0"/>
    <x v="0"/>
    <x v="3"/>
    <n v="871.36"/>
    <n v="755.04"/>
    <n v="7"/>
    <n v="6099.52"/>
    <n v="5285.28"/>
    <n v="814.24000000000069"/>
    <n v="0.13349247153874413"/>
    <x v="20"/>
    <n v="814.24000000000069"/>
  </r>
  <r>
    <d v="2022-05-18T00:00:00"/>
    <x v="6"/>
    <x v="3"/>
    <x v="2"/>
    <n v="1443.07"/>
    <n v="1225.3900000000001"/>
    <n v="8"/>
    <n v="11544.56"/>
    <n v="9803.1200000000008"/>
    <n v="1741.4399999999987"/>
    <n v="0.15084507335056502"/>
    <x v="35"/>
    <n v="1741.4399999999987"/>
  </r>
  <r>
    <d v="2024-02-28T00:00:00"/>
    <x v="1"/>
    <x v="1"/>
    <x v="2"/>
    <n v="965.97"/>
    <n v="495.64"/>
    <n v="6"/>
    <n v="5795.82"/>
    <n v="2973.84"/>
    <n v="2821.9799999999996"/>
    <n v="0.48689917906353192"/>
    <x v="34"/>
    <n v="2821.9799999999996"/>
  </r>
  <r>
    <d v="2024-06-04T00:00:00"/>
    <x v="0"/>
    <x v="0"/>
    <x v="1"/>
    <n v="852.26"/>
    <n v="507.09"/>
    <n v="8"/>
    <n v="6818.08"/>
    <n v="4056.72"/>
    <n v="2761.36"/>
    <n v="0.4050055147490203"/>
    <x v="4"/>
    <n v="2761.36"/>
  </r>
  <r>
    <d v="2022-05-04T00:00:00"/>
    <x v="6"/>
    <x v="3"/>
    <x v="1"/>
    <n v="246.74"/>
    <n v="179"/>
    <n v="8"/>
    <n v="1973.92"/>
    <n v="1432"/>
    <n v="541.92000000000007"/>
    <n v="0.27454000162113967"/>
    <x v="35"/>
    <n v="541.92000000000007"/>
  </r>
  <r>
    <d v="2023-09-29T00:00:00"/>
    <x v="4"/>
    <x v="2"/>
    <x v="3"/>
    <n v="1293.92"/>
    <n v="779.84"/>
    <n v="8"/>
    <n v="10351.36"/>
    <n v="6238.72"/>
    <n v="4112.6400000000003"/>
    <n v="0.3973043155681959"/>
    <x v="24"/>
    <n v="4112.6400000000003"/>
  </r>
  <r>
    <d v="2022-03-17T00:00:00"/>
    <x v="4"/>
    <x v="2"/>
    <x v="0"/>
    <n v="1972.4"/>
    <n v="1625.21"/>
    <n v="9"/>
    <n v="17751.600000000002"/>
    <n v="14626.89"/>
    <n v="3124.7100000000028"/>
    <n v="0.17602413303589548"/>
    <x v="7"/>
    <n v="3124.7100000000028"/>
  </r>
  <r>
    <d v="2022-05-08T00:00:00"/>
    <x v="3"/>
    <x v="2"/>
    <x v="2"/>
    <n v="1242.53"/>
    <n v="1097.19"/>
    <n v="4"/>
    <n v="4970.12"/>
    <n v="4388.76"/>
    <n v="581.35999999999967"/>
    <n v="0.11697101880839893"/>
    <x v="35"/>
    <n v="581.35999999999967"/>
  </r>
  <r>
    <d v="2024-05-05T00:00:00"/>
    <x v="2"/>
    <x v="0"/>
    <x v="2"/>
    <n v="1336.69"/>
    <n v="836.4"/>
    <n v="2"/>
    <n v="2673.38"/>
    <n v="1672.8"/>
    <n v="1000.5800000000002"/>
    <n v="0.37427526202784495"/>
    <x v="3"/>
    <n v="1000.5800000000002"/>
  </r>
  <r>
    <d v="2024-01-12T00:00:00"/>
    <x v="1"/>
    <x v="1"/>
    <x v="0"/>
    <n v="915.29"/>
    <n v="783.63"/>
    <n v="3"/>
    <n v="2745.87"/>
    <n v="2350.89"/>
    <n v="394.98"/>
    <n v="0.14384512012586176"/>
    <x v="26"/>
    <n v="394.98"/>
  </r>
  <r>
    <d v="2023-12-16T00:00:00"/>
    <x v="10"/>
    <x v="2"/>
    <x v="3"/>
    <n v="1420.18"/>
    <n v="1233.54"/>
    <n v="10"/>
    <n v="14201.800000000001"/>
    <n v="12335.4"/>
    <n v="1866.4000000000015"/>
    <n v="0.13141996085003319"/>
    <x v="30"/>
    <n v="1866.4000000000015"/>
  </r>
  <r>
    <d v="2024-06-30T00:00:00"/>
    <x v="2"/>
    <x v="0"/>
    <x v="2"/>
    <n v="425.55"/>
    <n v="251.17"/>
    <n v="5"/>
    <n v="2127.75"/>
    <n v="1255.8499999999999"/>
    <n v="871.90000000000009"/>
    <n v="0.40977558453765717"/>
    <x v="4"/>
    <n v="871.90000000000009"/>
  </r>
  <r>
    <d v="2023-09-01T00:00:00"/>
    <x v="9"/>
    <x v="3"/>
    <x v="2"/>
    <n v="1939.67"/>
    <n v="1227.03"/>
    <n v="5"/>
    <n v="9698.35"/>
    <n v="6135.15"/>
    <n v="3563.2000000000007"/>
    <n v="0.36740270252156298"/>
    <x v="24"/>
    <n v="3563.2000000000007"/>
  </r>
  <r>
    <d v="2022-03-09T00:00:00"/>
    <x v="5"/>
    <x v="3"/>
    <x v="2"/>
    <n v="1644.55"/>
    <n v="842.1"/>
    <n v="1"/>
    <n v="1644.55"/>
    <n v="842.1"/>
    <n v="802.44999999999993"/>
    <n v="0.48794503055547106"/>
    <x v="7"/>
    <n v="802.44999999999993"/>
  </r>
  <r>
    <d v="2024-09-16T00:00:00"/>
    <x v="8"/>
    <x v="1"/>
    <x v="3"/>
    <n v="1607.75"/>
    <n v="1028.1099999999999"/>
    <n v="4"/>
    <n v="6431"/>
    <n v="4112.4399999999996"/>
    <n v="2318.5600000000004"/>
    <n v="0.36052868916187225"/>
    <x v="16"/>
    <n v="2318.5600000000004"/>
  </r>
  <r>
    <d v="2024-03-22T00:00:00"/>
    <x v="0"/>
    <x v="0"/>
    <x v="1"/>
    <n v="820.32"/>
    <n v="624.67999999999995"/>
    <n v="2"/>
    <n v="1640.64"/>
    <n v="1249.3599999999999"/>
    <n v="391.2800000000002"/>
    <n v="0.23849229568948713"/>
    <x v="29"/>
    <n v="391.2800000000002"/>
  </r>
  <r>
    <d v="2024-11-27T00:00:00"/>
    <x v="4"/>
    <x v="2"/>
    <x v="1"/>
    <n v="1003.13"/>
    <n v="677.14"/>
    <n v="8"/>
    <n v="8025.04"/>
    <n v="5417.12"/>
    <n v="2607.92"/>
    <n v="0.32497283502636748"/>
    <x v="2"/>
    <n v="2607.92"/>
  </r>
  <r>
    <d v="2022-08-23T00:00:00"/>
    <x v="1"/>
    <x v="1"/>
    <x v="1"/>
    <n v="693.66"/>
    <n v="377.3"/>
    <n v="8"/>
    <n v="5549.28"/>
    <n v="3018.4"/>
    <n v="2530.8799999999997"/>
    <n v="0.45607358071677762"/>
    <x v="15"/>
    <n v="2530.8799999999997"/>
  </r>
  <r>
    <d v="2022-12-25T00:00:00"/>
    <x v="7"/>
    <x v="0"/>
    <x v="2"/>
    <n v="620.11"/>
    <n v="426.82"/>
    <n v="8"/>
    <n v="4960.88"/>
    <n v="3414.56"/>
    <n v="1546.3200000000002"/>
    <n v="0.31170276241312028"/>
    <x v="33"/>
    <n v="1546.3200000000002"/>
  </r>
  <r>
    <d v="2022-09-23T00:00:00"/>
    <x v="0"/>
    <x v="0"/>
    <x v="3"/>
    <n v="1358.57"/>
    <n v="988.35"/>
    <n v="7"/>
    <n v="9509.99"/>
    <n v="6918.45"/>
    <n v="2591.54"/>
    <n v="0.27250712145859252"/>
    <x v="12"/>
    <n v="2591.54"/>
  </r>
  <r>
    <d v="2024-03-05T00:00:00"/>
    <x v="5"/>
    <x v="3"/>
    <x v="3"/>
    <n v="313.77999999999997"/>
    <n v="170.74"/>
    <n v="1"/>
    <n v="313.77999999999997"/>
    <n v="170.74"/>
    <n v="143.03999999999996"/>
    <n v="0.45586079418700992"/>
    <x v="29"/>
    <n v="143.03999999999996"/>
  </r>
  <r>
    <d v="2024-07-31T00:00:00"/>
    <x v="1"/>
    <x v="1"/>
    <x v="3"/>
    <n v="1359.16"/>
    <n v="843.62"/>
    <n v="3"/>
    <n v="4077.4800000000005"/>
    <n v="2530.86"/>
    <n v="1546.6200000000003"/>
    <n v="0.37930780776361872"/>
    <x v="28"/>
    <n v="1546.6200000000003"/>
  </r>
  <r>
    <d v="2022-06-03T00:00:00"/>
    <x v="6"/>
    <x v="3"/>
    <x v="2"/>
    <n v="854.03"/>
    <n v="430.86"/>
    <n v="7"/>
    <n v="5978.21"/>
    <n v="3016.02"/>
    <n v="2962.19"/>
    <n v="0.49549781623596362"/>
    <x v="18"/>
    <n v="2962.19"/>
  </r>
  <r>
    <d v="2023-06-08T00:00:00"/>
    <x v="9"/>
    <x v="3"/>
    <x v="0"/>
    <n v="1259.3699999999999"/>
    <n v="743.35"/>
    <n v="10"/>
    <n v="12593.699999999999"/>
    <n v="7433.5"/>
    <n v="5160.1999999999989"/>
    <n v="0.40974455481709104"/>
    <x v="0"/>
    <n v="5160.1999999999989"/>
  </r>
  <r>
    <d v="2024-11-12T00:00:00"/>
    <x v="1"/>
    <x v="1"/>
    <x v="1"/>
    <n v="1940.3"/>
    <n v="1400.23"/>
    <n v="1"/>
    <n v="1940.3"/>
    <n v="1400.23"/>
    <n v="540.06999999999994"/>
    <n v="0.2783435551203422"/>
    <x v="2"/>
    <n v="540.06999999999994"/>
  </r>
  <r>
    <d v="2023-02-14T00:00:00"/>
    <x v="3"/>
    <x v="2"/>
    <x v="0"/>
    <n v="1010.33"/>
    <n v="768.58"/>
    <n v="7"/>
    <n v="7072.31"/>
    <n v="5380.06"/>
    <n v="1692.25"/>
    <n v="0.23927825561945107"/>
    <x v="27"/>
    <n v="1692.25"/>
  </r>
  <r>
    <d v="2022-03-27T00:00:00"/>
    <x v="3"/>
    <x v="2"/>
    <x v="0"/>
    <n v="592.79"/>
    <n v="523.72"/>
    <n v="1"/>
    <n v="592.79"/>
    <n v="523.72"/>
    <n v="69.069999999999936"/>
    <n v="0.1165168103375562"/>
    <x v="7"/>
    <n v="69.069999999999936"/>
  </r>
  <r>
    <d v="2022-12-17T00:00:00"/>
    <x v="0"/>
    <x v="0"/>
    <x v="0"/>
    <n v="1841.83"/>
    <n v="1254.22"/>
    <n v="3"/>
    <n v="5525.49"/>
    <n v="3762.66"/>
    <n v="1762.83"/>
    <n v="0.31903595880184382"/>
    <x v="33"/>
    <n v="1762.83"/>
  </r>
  <r>
    <d v="2024-01-18T00:00:00"/>
    <x v="6"/>
    <x v="3"/>
    <x v="2"/>
    <n v="762.08"/>
    <n v="441.99"/>
    <n v="2"/>
    <n v="1524.16"/>
    <n v="883.98"/>
    <n v="640.18000000000006"/>
    <n v="0.42002152005038845"/>
    <x v="26"/>
    <n v="640.18000000000006"/>
  </r>
  <r>
    <d v="2024-03-11T00:00:00"/>
    <x v="9"/>
    <x v="3"/>
    <x v="1"/>
    <n v="475.95"/>
    <n v="274.48"/>
    <n v="9"/>
    <n v="4283.55"/>
    <n v="2470.3200000000002"/>
    <n v="1813.23"/>
    <n v="0.42330076688727808"/>
    <x v="29"/>
    <n v="1813.23"/>
  </r>
  <r>
    <d v="2022-07-22T00:00:00"/>
    <x v="5"/>
    <x v="3"/>
    <x v="3"/>
    <n v="1146.5899999999999"/>
    <n v="611.12"/>
    <n v="1"/>
    <n v="1146.5899999999999"/>
    <n v="611.12"/>
    <n v="535.46999999999991"/>
    <n v="0.46701087572715616"/>
    <x v="8"/>
    <n v="535.46999999999991"/>
  </r>
  <r>
    <d v="2022-04-22T00:00:00"/>
    <x v="3"/>
    <x v="2"/>
    <x v="1"/>
    <n v="514.72"/>
    <n v="379.27"/>
    <n v="8"/>
    <n v="4117.76"/>
    <n v="3034.16"/>
    <n v="1083.6000000000004"/>
    <n v="0.26315278209511977"/>
    <x v="32"/>
    <n v="1083.6000000000004"/>
  </r>
  <r>
    <d v="2023-10-20T00:00:00"/>
    <x v="3"/>
    <x v="2"/>
    <x v="2"/>
    <n v="1651.38"/>
    <n v="988.45"/>
    <n v="5"/>
    <n v="8256.9000000000015"/>
    <n v="4942.25"/>
    <n v="3314.6500000000015"/>
    <n v="0.40144000775109312"/>
    <x v="5"/>
    <n v="3314.6500000000015"/>
  </r>
  <r>
    <d v="2024-03-20T00:00:00"/>
    <x v="7"/>
    <x v="0"/>
    <x v="3"/>
    <n v="1316.2"/>
    <n v="925.85"/>
    <n v="6"/>
    <n v="7897.2000000000007"/>
    <n v="5555.1"/>
    <n v="2342.1000000000004"/>
    <n v="0.29657346907764781"/>
    <x v="29"/>
    <n v="2342.1000000000004"/>
  </r>
  <r>
    <d v="2024-08-13T00:00:00"/>
    <x v="7"/>
    <x v="0"/>
    <x v="3"/>
    <n v="1557.23"/>
    <n v="1179.8599999999999"/>
    <n v="3"/>
    <n v="4671.6900000000005"/>
    <n v="3539.58"/>
    <n v="1132.1100000000006"/>
    <n v="0.24233414460291683"/>
    <x v="21"/>
    <n v="1132.1100000000006"/>
  </r>
  <r>
    <d v="2024-11-10T00:00:00"/>
    <x v="8"/>
    <x v="1"/>
    <x v="2"/>
    <n v="1863.15"/>
    <n v="1627.7"/>
    <n v="2"/>
    <n v="3726.3"/>
    <n v="3255.4"/>
    <n v="470.90000000000009"/>
    <n v="0.12637200440114862"/>
    <x v="2"/>
    <n v="470.90000000000009"/>
  </r>
  <r>
    <d v="2023-04-10T00:00:00"/>
    <x v="3"/>
    <x v="2"/>
    <x v="1"/>
    <n v="533.53"/>
    <n v="317.35000000000002"/>
    <n v="2"/>
    <n v="1067.06"/>
    <n v="634.70000000000005"/>
    <n v="432.3599999999999"/>
    <n v="0.40518808689295815"/>
    <x v="6"/>
    <n v="432.3599999999999"/>
  </r>
  <r>
    <d v="2022-11-11T00:00:00"/>
    <x v="5"/>
    <x v="3"/>
    <x v="3"/>
    <n v="1441.05"/>
    <n v="1096.51"/>
    <n v="10"/>
    <n v="14410.5"/>
    <n v="10965.1"/>
    <n v="3445.3999999999996"/>
    <n v="0.23908955275667046"/>
    <x v="1"/>
    <n v="3445.3999999999996"/>
  </r>
  <r>
    <d v="2023-07-28T00:00:00"/>
    <x v="2"/>
    <x v="0"/>
    <x v="2"/>
    <n v="1185.33"/>
    <n v="716.09"/>
    <n v="8"/>
    <n v="9482.64"/>
    <n v="5728.72"/>
    <n v="3753.9199999999992"/>
    <n v="0.3958728792825626"/>
    <x v="11"/>
    <n v="3753.9199999999992"/>
  </r>
  <r>
    <d v="2024-11-24T00:00:00"/>
    <x v="0"/>
    <x v="0"/>
    <x v="1"/>
    <n v="172.6"/>
    <n v="132.18"/>
    <n v="6"/>
    <n v="1035.5999999999999"/>
    <n v="793.08"/>
    <n v="242.51999999999987"/>
    <n v="0.23418308227114706"/>
    <x v="2"/>
    <n v="242.51999999999987"/>
  </r>
  <r>
    <d v="2023-03-31T00:00:00"/>
    <x v="8"/>
    <x v="1"/>
    <x v="3"/>
    <n v="316.64999999999998"/>
    <n v="185.55"/>
    <n v="7"/>
    <n v="2216.5499999999997"/>
    <n v="1298.8500000000001"/>
    <n v="917.69999999999959"/>
    <n v="0.41402179062055883"/>
    <x v="19"/>
    <n v="917.69999999999959"/>
  </r>
  <r>
    <d v="2022-04-26T00:00:00"/>
    <x v="7"/>
    <x v="0"/>
    <x v="0"/>
    <n v="1546.31"/>
    <n v="1258.6099999999999"/>
    <n v="6"/>
    <n v="9277.86"/>
    <n v="7551.66"/>
    <n v="1726.2000000000007"/>
    <n v="0.1860558361518713"/>
    <x v="32"/>
    <n v="1726.2000000000007"/>
  </r>
  <r>
    <d v="2022-08-16T00:00:00"/>
    <x v="4"/>
    <x v="2"/>
    <x v="2"/>
    <n v="1678.38"/>
    <n v="1022.49"/>
    <n v="10"/>
    <n v="16783.800000000003"/>
    <n v="10224.9"/>
    <n v="6558.9000000000033"/>
    <n v="0.39078754513280678"/>
    <x v="15"/>
    <n v="6558.9000000000033"/>
  </r>
  <r>
    <d v="2023-07-24T00:00:00"/>
    <x v="10"/>
    <x v="2"/>
    <x v="3"/>
    <n v="1583.36"/>
    <n v="1147.06"/>
    <n v="6"/>
    <n v="9500.16"/>
    <n v="6882.36"/>
    <n v="2617.8000000000002"/>
    <n v="0.27555325383993534"/>
    <x v="11"/>
    <n v="2617.8000000000002"/>
  </r>
  <r>
    <d v="2023-04-16T00:00:00"/>
    <x v="4"/>
    <x v="2"/>
    <x v="2"/>
    <n v="373.76"/>
    <n v="240.77"/>
    <n v="8"/>
    <n v="2990.08"/>
    <n v="1926.16"/>
    <n v="1063.9199999999998"/>
    <n v="0.35581656678082185"/>
    <x v="6"/>
    <n v="1063.9199999999998"/>
  </r>
  <r>
    <d v="2022-02-03T00:00:00"/>
    <x v="1"/>
    <x v="1"/>
    <x v="0"/>
    <n v="1748.01"/>
    <n v="1258.27"/>
    <n v="4"/>
    <n v="6992.04"/>
    <n v="5033.08"/>
    <n v="1958.96"/>
    <n v="0.28017002191062979"/>
    <x v="20"/>
    <n v="1958.96"/>
  </r>
  <r>
    <d v="2023-10-02T00:00:00"/>
    <x v="10"/>
    <x v="2"/>
    <x v="1"/>
    <n v="1111.82"/>
    <n v="823.26"/>
    <n v="7"/>
    <n v="7782.74"/>
    <n v="5762.82"/>
    <n v="2019.92"/>
    <n v="0.2595384144915544"/>
    <x v="5"/>
    <n v="2019.92"/>
  </r>
  <r>
    <d v="2022-10-03T00:00:00"/>
    <x v="8"/>
    <x v="1"/>
    <x v="3"/>
    <n v="1175.3399999999999"/>
    <n v="827.47"/>
    <n v="7"/>
    <n v="8227.3799999999992"/>
    <n v="5792.29"/>
    <n v="2435.0899999999992"/>
    <n v="0.29597393094764063"/>
    <x v="25"/>
    <n v="2435.0899999999992"/>
  </r>
  <r>
    <d v="2024-06-23T00:00:00"/>
    <x v="2"/>
    <x v="0"/>
    <x v="3"/>
    <n v="1879.18"/>
    <n v="1468.24"/>
    <n v="3"/>
    <n v="5637.54"/>
    <n v="4404.72"/>
    <n v="1232.8199999999997"/>
    <n v="0.21868048829808742"/>
    <x v="4"/>
    <n v="1232.8199999999997"/>
  </r>
  <r>
    <d v="2024-05-10T00:00:00"/>
    <x v="8"/>
    <x v="1"/>
    <x v="0"/>
    <n v="1634.93"/>
    <n v="1209.17"/>
    <n v="3"/>
    <n v="4904.79"/>
    <n v="3627.51"/>
    <n v="1277.2799999999997"/>
    <n v="0.26041481898307567"/>
    <x v="3"/>
    <n v="1277.2799999999997"/>
  </r>
  <r>
    <d v="2023-02-20T00:00:00"/>
    <x v="2"/>
    <x v="0"/>
    <x v="1"/>
    <n v="1531.74"/>
    <n v="873.32"/>
    <n v="8"/>
    <n v="12253.92"/>
    <n v="6986.56"/>
    <n v="5267.36"/>
    <n v="0.4298510191024586"/>
    <x v="27"/>
    <n v="5267.36"/>
  </r>
  <r>
    <d v="2022-09-02T00:00:00"/>
    <x v="7"/>
    <x v="0"/>
    <x v="0"/>
    <n v="1195.05"/>
    <n v="933.39"/>
    <n v="7"/>
    <n v="8365.35"/>
    <n v="6533.73"/>
    <n v="1831.6200000000008"/>
    <n v="0.21895318187523544"/>
    <x v="12"/>
    <n v="1831.6200000000008"/>
  </r>
  <r>
    <d v="2023-02-07T00:00:00"/>
    <x v="9"/>
    <x v="3"/>
    <x v="2"/>
    <n v="1448.65"/>
    <n v="1135.76"/>
    <n v="9"/>
    <n v="13037.85"/>
    <n v="10221.84"/>
    <n v="2816.01"/>
    <n v="0.21598729851931109"/>
    <x v="27"/>
    <n v="2816.01"/>
  </r>
  <r>
    <d v="2022-02-14T00:00:00"/>
    <x v="8"/>
    <x v="1"/>
    <x v="0"/>
    <n v="1794.22"/>
    <n v="1083.78"/>
    <n v="2"/>
    <n v="3588.44"/>
    <n v="2167.56"/>
    <n v="1420.88"/>
    <n v="0.39596036160560022"/>
    <x v="20"/>
    <n v="1420.88"/>
  </r>
  <r>
    <d v="2022-09-29T00:00:00"/>
    <x v="10"/>
    <x v="2"/>
    <x v="0"/>
    <n v="1161.8800000000001"/>
    <n v="824.6"/>
    <n v="5"/>
    <n v="5809.4000000000005"/>
    <n v="4123"/>
    <n v="1686.4000000000005"/>
    <n v="0.29028815368196376"/>
    <x v="12"/>
    <n v="1686.4000000000005"/>
  </r>
  <r>
    <d v="2024-07-28T00:00:00"/>
    <x v="10"/>
    <x v="2"/>
    <x v="1"/>
    <n v="1033.1400000000001"/>
    <n v="714.55"/>
    <n v="7"/>
    <n v="7231.9800000000005"/>
    <n v="5001.8499999999995"/>
    <n v="2230.130000000001"/>
    <n v="0.30837059837001773"/>
    <x v="28"/>
    <n v="2230.130000000001"/>
  </r>
  <r>
    <d v="2024-09-28T00:00:00"/>
    <x v="6"/>
    <x v="3"/>
    <x v="2"/>
    <n v="463.86"/>
    <n v="350.24"/>
    <n v="5"/>
    <n v="2319.3000000000002"/>
    <n v="1751.2"/>
    <n v="568.10000000000014"/>
    <n v="0.24494459535204591"/>
    <x v="16"/>
    <n v="568.10000000000014"/>
  </r>
  <r>
    <d v="2023-08-11T00:00:00"/>
    <x v="3"/>
    <x v="2"/>
    <x v="2"/>
    <n v="568.70000000000005"/>
    <n v="366.28"/>
    <n v="5"/>
    <n v="2843.5"/>
    <n v="1831.3999999999999"/>
    <n v="1012.1000000000001"/>
    <n v="0.35593458765605773"/>
    <x v="14"/>
    <n v="1012.1000000000001"/>
  </r>
  <r>
    <d v="2022-07-16T00:00:00"/>
    <x v="0"/>
    <x v="0"/>
    <x v="1"/>
    <n v="314.73"/>
    <n v="214.06"/>
    <n v="6"/>
    <n v="1888.38"/>
    <n v="1284.3600000000001"/>
    <n v="604.02"/>
    <n v="0.3198614685603533"/>
    <x v="8"/>
    <n v="604.02"/>
  </r>
  <r>
    <d v="2024-03-22T00:00:00"/>
    <x v="5"/>
    <x v="3"/>
    <x v="3"/>
    <n v="108.81"/>
    <n v="56.03"/>
    <n v="7"/>
    <n v="761.67000000000007"/>
    <n v="392.21000000000004"/>
    <n v="369.46000000000004"/>
    <n v="0.48506571087216249"/>
    <x v="29"/>
    <n v="369.46000000000004"/>
  </r>
  <r>
    <d v="2023-05-08T00:00:00"/>
    <x v="9"/>
    <x v="3"/>
    <x v="1"/>
    <n v="1352.35"/>
    <n v="915.98"/>
    <n v="10"/>
    <n v="13523.5"/>
    <n v="9159.7999999999993"/>
    <n v="4363.7000000000007"/>
    <n v="0.32267534292158101"/>
    <x v="31"/>
    <n v="4363.7000000000007"/>
  </r>
  <r>
    <d v="2023-11-30T00:00:00"/>
    <x v="2"/>
    <x v="0"/>
    <x v="1"/>
    <n v="555.98"/>
    <n v="293.89"/>
    <n v="5"/>
    <n v="2779.9"/>
    <n v="1469.4499999999998"/>
    <n v="1310.4500000000003"/>
    <n v="0.47140184898737375"/>
    <x v="10"/>
    <n v="1310.4500000000003"/>
  </r>
  <r>
    <d v="2023-06-13T00:00:00"/>
    <x v="8"/>
    <x v="1"/>
    <x v="3"/>
    <n v="1497.15"/>
    <n v="1109.95"/>
    <n v="10"/>
    <n v="14971.5"/>
    <n v="11099.5"/>
    <n v="3872"/>
    <n v="0.25862472030190697"/>
    <x v="0"/>
    <n v="3872"/>
  </r>
  <r>
    <d v="2024-12-30T00:00:00"/>
    <x v="4"/>
    <x v="2"/>
    <x v="2"/>
    <n v="94.88"/>
    <n v="51.7"/>
    <n v="1"/>
    <n v="94.88"/>
    <n v="51.7"/>
    <n v="43.179999999999993"/>
    <n v="0.45510118043844849"/>
    <x v="23"/>
    <n v="43.179999999999993"/>
  </r>
  <r>
    <d v="2023-12-15T00:00:00"/>
    <x v="9"/>
    <x v="3"/>
    <x v="0"/>
    <n v="1525.55"/>
    <n v="1177.06"/>
    <n v="6"/>
    <n v="9153.2999999999993"/>
    <n v="7062.36"/>
    <n v="2090.9399999999996"/>
    <n v="0.22843564616040113"/>
    <x v="30"/>
    <n v="2090.9399999999996"/>
  </r>
  <r>
    <d v="2024-12-08T00:00:00"/>
    <x v="0"/>
    <x v="0"/>
    <x v="3"/>
    <n v="230.65"/>
    <n v="139.68"/>
    <n v="6"/>
    <n v="1383.9"/>
    <n v="838.08"/>
    <n v="545.82000000000005"/>
    <n v="0.39440711034034254"/>
    <x v="23"/>
    <n v="545.82000000000005"/>
  </r>
  <r>
    <d v="2022-09-08T00:00:00"/>
    <x v="7"/>
    <x v="0"/>
    <x v="1"/>
    <n v="78.59"/>
    <n v="69.36"/>
    <n v="4"/>
    <n v="314.36"/>
    <n v="277.44"/>
    <n v="36.920000000000016"/>
    <n v="0.11744496755312385"/>
    <x v="12"/>
    <n v="36.920000000000016"/>
  </r>
  <r>
    <d v="2023-02-17T00:00:00"/>
    <x v="1"/>
    <x v="1"/>
    <x v="0"/>
    <n v="914.36"/>
    <n v="811.55"/>
    <n v="1"/>
    <n v="914.36"/>
    <n v="811.55"/>
    <n v="102.81000000000006"/>
    <n v="0.11243930180672827"/>
    <x v="27"/>
    <n v="102.81000000000006"/>
  </r>
  <r>
    <d v="2022-12-28T00:00:00"/>
    <x v="6"/>
    <x v="3"/>
    <x v="0"/>
    <n v="1007.2"/>
    <n v="685.63"/>
    <n v="10"/>
    <n v="10072"/>
    <n v="6856.3"/>
    <n v="3215.7"/>
    <n v="0.31927124702144555"/>
    <x v="33"/>
    <n v="3215.7"/>
  </r>
  <r>
    <d v="2024-11-27T00:00:00"/>
    <x v="10"/>
    <x v="2"/>
    <x v="0"/>
    <n v="1158.1600000000001"/>
    <n v="639.17999999999995"/>
    <n v="6"/>
    <n v="6948.9600000000009"/>
    <n v="3835.08"/>
    <n v="3113.880000000001"/>
    <n v="0.44810734268149488"/>
    <x v="2"/>
    <n v="3113.880000000001"/>
  </r>
  <r>
    <d v="2023-01-04T00:00:00"/>
    <x v="8"/>
    <x v="1"/>
    <x v="1"/>
    <n v="988.51"/>
    <n v="671.89"/>
    <n v="7"/>
    <n v="6919.57"/>
    <n v="4703.2299999999996"/>
    <n v="2216.34"/>
    <n v="0.32030024987101802"/>
    <x v="13"/>
    <n v="2216.34"/>
  </r>
  <r>
    <d v="2024-06-25T00:00:00"/>
    <x v="2"/>
    <x v="0"/>
    <x v="3"/>
    <n v="256.89999999999998"/>
    <n v="208.59"/>
    <n v="10"/>
    <n v="2569"/>
    <n v="2085.9"/>
    <n v="483.09999999999991"/>
    <n v="0.18804982483456595"/>
    <x v="4"/>
    <n v="483.09999999999991"/>
  </r>
  <r>
    <d v="2023-02-06T00:00:00"/>
    <x v="5"/>
    <x v="3"/>
    <x v="1"/>
    <n v="975.55"/>
    <n v="674.36"/>
    <n v="3"/>
    <n v="2926.6499999999996"/>
    <n v="2023.08"/>
    <n v="903.56999999999971"/>
    <n v="0.30873866024293983"/>
    <x v="27"/>
    <n v="903.56999999999971"/>
  </r>
  <r>
    <d v="2022-10-10T00:00:00"/>
    <x v="10"/>
    <x v="2"/>
    <x v="1"/>
    <n v="657.68"/>
    <n v="499.99"/>
    <n v="6"/>
    <n v="3946.08"/>
    <n v="2999.94"/>
    <n v="946.13999999999987"/>
    <n v="0.23976705996837364"/>
    <x v="25"/>
    <n v="946.13999999999987"/>
  </r>
  <r>
    <d v="2023-09-03T00:00:00"/>
    <x v="10"/>
    <x v="2"/>
    <x v="2"/>
    <n v="794.98"/>
    <n v="412.43"/>
    <n v="9"/>
    <n v="7154.82"/>
    <n v="3711.87"/>
    <n v="3442.95"/>
    <n v="0.4812070743918086"/>
    <x v="24"/>
    <n v="3442.95"/>
  </r>
  <r>
    <d v="2022-12-07T00:00:00"/>
    <x v="4"/>
    <x v="2"/>
    <x v="1"/>
    <n v="805.23"/>
    <n v="660.67"/>
    <n v="1"/>
    <n v="805.23"/>
    <n v="660.67"/>
    <n v="144.56000000000006"/>
    <n v="0.17952634650969296"/>
    <x v="33"/>
    <n v="144.56000000000006"/>
  </r>
  <r>
    <d v="2024-05-18T00:00:00"/>
    <x v="0"/>
    <x v="0"/>
    <x v="1"/>
    <n v="1631.42"/>
    <n v="1432.28"/>
    <n v="8"/>
    <n v="13051.36"/>
    <n v="11458.24"/>
    <n v="1593.1200000000008"/>
    <n v="0.12206543992350229"/>
    <x v="3"/>
    <n v="1593.1200000000008"/>
  </r>
  <r>
    <d v="2022-02-21T00:00:00"/>
    <x v="10"/>
    <x v="2"/>
    <x v="2"/>
    <n v="877.95"/>
    <n v="586.74"/>
    <n v="7"/>
    <n v="6145.6500000000005"/>
    <n v="4107.18"/>
    <n v="2038.4700000000003"/>
    <n v="0.33169314881257478"/>
    <x v="20"/>
    <n v="2038.4700000000003"/>
  </r>
  <r>
    <d v="2022-05-27T00:00:00"/>
    <x v="2"/>
    <x v="0"/>
    <x v="3"/>
    <n v="1792.05"/>
    <n v="1393.46"/>
    <n v="7"/>
    <n v="12544.35"/>
    <n v="9754.2200000000012"/>
    <n v="2790.1299999999992"/>
    <n v="0.22242124940710353"/>
    <x v="35"/>
    <n v="2790.1299999999992"/>
  </r>
  <r>
    <d v="2022-07-03T00:00:00"/>
    <x v="7"/>
    <x v="0"/>
    <x v="0"/>
    <n v="1617.2"/>
    <n v="1090.24"/>
    <n v="8"/>
    <n v="12937.6"/>
    <n v="8721.92"/>
    <n v="4215.68"/>
    <n v="0.3258471432104873"/>
    <x v="8"/>
    <n v="4215.68"/>
  </r>
  <r>
    <d v="2023-05-07T00:00:00"/>
    <x v="8"/>
    <x v="1"/>
    <x v="3"/>
    <n v="826.76"/>
    <n v="508.66"/>
    <n v="1"/>
    <n v="826.76"/>
    <n v="508.66"/>
    <n v="318.09999999999997"/>
    <n v="0.38475494702211038"/>
    <x v="31"/>
    <n v="318.09999999999997"/>
  </r>
  <r>
    <d v="2022-12-29T00:00:00"/>
    <x v="8"/>
    <x v="1"/>
    <x v="3"/>
    <n v="1183.1099999999999"/>
    <n v="797.44"/>
    <n v="5"/>
    <n v="5915.5499999999993"/>
    <n v="3987.2000000000003"/>
    <n v="1928.349999999999"/>
    <n v="0.32597983281351678"/>
    <x v="33"/>
    <n v="1928.349999999999"/>
  </r>
  <r>
    <d v="2022-09-03T00:00:00"/>
    <x v="10"/>
    <x v="2"/>
    <x v="2"/>
    <n v="329.97"/>
    <n v="292.08999999999997"/>
    <n v="3"/>
    <n v="989.91000000000008"/>
    <n v="876.27"/>
    <n v="113.6400000000001"/>
    <n v="0.11479831499833328"/>
    <x v="12"/>
    <n v="113.6400000000001"/>
  </r>
  <r>
    <d v="2022-01-26T00:00:00"/>
    <x v="2"/>
    <x v="0"/>
    <x v="1"/>
    <n v="1339.94"/>
    <n v="877.57"/>
    <n v="1"/>
    <n v="1339.94"/>
    <n v="877.57"/>
    <n v="462.37"/>
    <n v="0.34506768959804168"/>
    <x v="9"/>
    <n v="462.37"/>
  </r>
  <r>
    <d v="2024-08-21T00:00:00"/>
    <x v="10"/>
    <x v="2"/>
    <x v="3"/>
    <n v="1471.29"/>
    <n v="801.46"/>
    <n v="3"/>
    <n v="4413.87"/>
    <n v="2404.38"/>
    <n v="2009.4899999999998"/>
    <n v="0.45526714651768174"/>
    <x v="21"/>
    <n v="2009.4899999999998"/>
  </r>
  <r>
    <d v="2022-03-25T00:00:00"/>
    <x v="4"/>
    <x v="2"/>
    <x v="3"/>
    <n v="1072.67"/>
    <n v="925.89"/>
    <n v="9"/>
    <n v="9654.0300000000007"/>
    <n v="8333.01"/>
    <n v="1321.0200000000004"/>
    <n v="0.13683611921653449"/>
    <x v="7"/>
    <n v="1321.0200000000004"/>
  </r>
  <r>
    <d v="2022-02-20T00:00:00"/>
    <x v="10"/>
    <x v="2"/>
    <x v="2"/>
    <n v="694.51"/>
    <n v="622.21"/>
    <n v="5"/>
    <n v="3472.55"/>
    <n v="3111.05"/>
    <n v="361.5"/>
    <n v="0.10410217275489193"/>
    <x v="20"/>
    <n v="361.5"/>
  </r>
  <r>
    <d v="2023-03-05T00:00:00"/>
    <x v="4"/>
    <x v="2"/>
    <x v="0"/>
    <n v="1167.1500000000001"/>
    <n v="984.84"/>
    <n v="1"/>
    <n v="1167.1500000000001"/>
    <n v="984.84"/>
    <n v="182.31000000000006"/>
    <n v="0.15620100244184557"/>
    <x v="19"/>
    <n v="182.31000000000006"/>
  </r>
  <r>
    <d v="2024-01-21T00:00:00"/>
    <x v="8"/>
    <x v="1"/>
    <x v="2"/>
    <n v="532.76"/>
    <n v="323.48"/>
    <n v="10"/>
    <n v="5327.6"/>
    <n v="3234.8"/>
    <n v="2092.8000000000002"/>
    <n v="0.39282228395525193"/>
    <x v="26"/>
    <n v="2092.8000000000002"/>
  </r>
  <r>
    <d v="2022-03-03T00:00:00"/>
    <x v="5"/>
    <x v="3"/>
    <x v="0"/>
    <n v="615.05999999999995"/>
    <n v="365.04"/>
    <n v="7"/>
    <n v="4305.42"/>
    <n v="2555.2800000000002"/>
    <n v="1750.1399999999999"/>
    <n v="0.40649692712906055"/>
    <x v="7"/>
    <n v="1750.1399999999999"/>
  </r>
  <r>
    <d v="2024-02-21T00:00:00"/>
    <x v="6"/>
    <x v="3"/>
    <x v="3"/>
    <n v="1937.08"/>
    <n v="1197.22"/>
    <n v="3"/>
    <n v="5811.24"/>
    <n v="3591.66"/>
    <n v="2219.58"/>
    <n v="0.38194602184731657"/>
    <x v="34"/>
    <n v="2219.58"/>
  </r>
  <r>
    <d v="2022-07-09T00:00:00"/>
    <x v="4"/>
    <x v="2"/>
    <x v="3"/>
    <n v="1355.75"/>
    <n v="834.71"/>
    <n v="9"/>
    <n v="12201.75"/>
    <n v="7512.39"/>
    <n v="4689.3599999999997"/>
    <n v="0.38431864281762862"/>
    <x v="8"/>
    <n v="4689.3599999999997"/>
  </r>
  <r>
    <d v="2024-03-11T00:00:00"/>
    <x v="7"/>
    <x v="0"/>
    <x v="1"/>
    <n v="1379.82"/>
    <n v="920.92"/>
    <n v="6"/>
    <n v="8278.92"/>
    <n v="5525.5199999999995"/>
    <n v="2753.4000000000005"/>
    <n v="0.3325796118334276"/>
    <x v="29"/>
    <n v="2753.4000000000005"/>
  </r>
  <r>
    <d v="2022-09-13T00:00:00"/>
    <x v="6"/>
    <x v="3"/>
    <x v="2"/>
    <n v="191.3"/>
    <n v="127.5"/>
    <n v="10"/>
    <n v="1913"/>
    <n v="1275"/>
    <n v="638"/>
    <n v="0.33350757971772088"/>
    <x v="12"/>
    <n v="638"/>
  </r>
  <r>
    <d v="2023-02-06T00:00:00"/>
    <x v="4"/>
    <x v="2"/>
    <x v="1"/>
    <n v="111.34"/>
    <n v="56.73"/>
    <n v="7"/>
    <n v="779.38"/>
    <n v="397.10999999999996"/>
    <n v="382.27000000000004"/>
    <n v="0.49047961199928153"/>
    <x v="27"/>
    <n v="382.27000000000004"/>
  </r>
  <r>
    <d v="2022-12-21T00:00:00"/>
    <x v="3"/>
    <x v="2"/>
    <x v="2"/>
    <n v="669.79"/>
    <n v="433.88"/>
    <n v="5"/>
    <n v="3348.95"/>
    <n v="2169.4"/>
    <n v="1179.5499999999997"/>
    <n v="0.35221487331850276"/>
    <x v="33"/>
    <n v="1179.5499999999997"/>
  </r>
  <r>
    <d v="2022-02-20T00:00:00"/>
    <x v="3"/>
    <x v="2"/>
    <x v="3"/>
    <n v="1110.3"/>
    <n v="675.52"/>
    <n v="9"/>
    <n v="9992.6999999999989"/>
    <n v="6079.68"/>
    <n v="3913.0199999999986"/>
    <n v="0.39158785913717004"/>
    <x v="20"/>
    <n v="3913.0199999999986"/>
  </r>
  <r>
    <d v="2022-08-15T00:00:00"/>
    <x v="4"/>
    <x v="2"/>
    <x v="2"/>
    <n v="443.55"/>
    <n v="348.95"/>
    <n v="8"/>
    <n v="3548.4"/>
    <n v="2791.6"/>
    <n v="756.80000000000018"/>
    <n v="0.2132792244391839"/>
    <x v="15"/>
    <n v="756.80000000000018"/>
  </r>
  <r>
    <d v="2023-03-18T00:00:00"/>
    <x v="10"/>
    <x v="2"/>
    <x v="1"/>
    <n v="1483.57"/>
    <n v="1218.05"/>
    <n v="2"/>
    <n v="2967.14"/>
    <n v="2436.1"/>
    <n v="531.04"/>
    <n v="0.17897369183793146"/>
    <x v="19"/>
    <n v="531.04"/>
  </r>
  <r>
    <d v="2023-01-12T00:00:00"/>
    <x v="10"/>
    <x v="2"/>
    <x v="3"/>
    <n v="1186.42"/>
    <n v="942.35"/>
    <n v="10"/>
    <n v="11864.2"/>
    <n v="9423.5"/>
    <n v="2440.7000000000007"/>
    <n v="0.20571972825812113"/>
    <x v="13"/>
    <n v="2440.7000000000007"/>
  </r>
  <r>
    <d v="2023-04-19T00:00:00"/>
    <x v="0"/>
    <x v="0"/>
    <x v="2"/>
    <n v="1809.68"/>
    <n v="1109.3"/>
    <n v="4"/>
    <n v="7238.72"/>
    <n v="4437.2"/>
    <n v="2801.5200000000004"/>
    <n v="0.38701869943857481"/>
    <x v="6"/>
    <n v="2801.5200000000004"/>
  </r>
  <r>
    <d v="2022-11-12T00:00:00"/>
    <x v="8"/>
    <x v="1"/>
    <x v="1"/>
    <n v="1406.99"/>
    <n v="850.89"/>
    <n v="4"/>
    <n v="5627.96"/>
    <n v="3403.56"/>
    <n v="2224.4"/>
    <n v="0.39524090434189302"/>
    <x v="1"/>
    <n v="2224.4"/>
  </r>
  <r>
    <d v="2023-04-01T00:00:00"/>
    <x v="7"/>
    <x v="0"/>
    <x v="1"/>
    <n v="938.48"/>
    <n v="647.33000000000004"/>
    <n v="5"/>
    <n v="4692.3999999999996"/>
    <n v="3236.65"/>
    <n v="1455.7499999999995"/>
    <n v="0.31023570028130587"/>
    <x v="6"/>
    <n v="1455.7499999999995"/>
  </r>
  <r>
    <d v="2023-02-16T00:00:00"/>
    <x v="1"/>
    <x v="1"/>
    <x v="3"/>
    <n v="1685.95"/>
    <n v="1022.74"/>
    <n v="9"/>
    <n v="15173.550000000001"/>
    <n v="9204.66"/>
    <n v="5968.8900000000012"/>
    <n v="0.39337465523888615"/>
    <x v="27"/>
    <n v="5968.8900000000012"/>
  </r>
  <r>
    <d v="2024-10-28T00:00:00"/>
    <x v="1"/>
    <x v="1"/>
    <x v="3"/>
    <n v="77.45"/>
    <n v="54.6"/>
    <n v="6"/>
    <n v="464.70000000000005"/>
    <n v="327.60000000000002"/>
    <n v="137.10000000000002"/>
    <n v="0.29502905100064558"/>
    <x v="17"/>
    <n v="137.10000000000002"/>
  </r>
  <r>
    <d v="2023-05-19T00:00:00"/>
    <x v="2"/>
    <x v="0"/>
    <x v="3"/>
    <n v="187.96"/>
    <n v="162.44999999999999"/>
    <n v="4"/>
    <n v="751.84"/>
    <n v="649.79999999999995"/>
    <n v="102.04000000000008"/>
    <n v="0.13572036603532675"/>
    <x v="31"/>
    <n v="102.04000000000008"/>
  </r>
  <r>
    <d v="2023-07-20T00:00:00"/>
    <x v="2"/>
    <x v="0"/>
    <x v="0"/>
    <n v="512.6"/>
    <n v="288.72000000000003"/>
    <n v="3"/>
    <n v="1537.8000000000002"/>
    <n v="866.16000000000008"/>
    <n v="671.6400000000001"/>
    <n v="0.43675380413577841"/>
    <x v="11"/>
    <n v="671.6400000000001"/>
  </r>
  <r>
    <d v="2022-01-26T00:00:00"/>
    <x v="2"/>
    <x v="0"/>
    <x v="1"/>
    <n v="1133.7"/>
    <n v="684.56"/>
    <n v="2"/>
    <n v="2267.4"/>
    <n v="1369.12"/>
    <n v="898.2800000000002"/>
    <n v="0.39617182676193002"/>
    <x v="9"/>
    <n v="898.2800000000002"/>
  </r>
  <r>
    <d v="2023-07-20T00:00:00"/>
    <x v="3"/>
    <x v="2"/>
    <x v="0"/>
    <n v="371.87"/>
    <n v="195.66"/>
    <n v="3"/>
    <n v="1115.6100000000001"/>
    <n v="586.98"/>
    <n v="528.63000000000011"/>
    <n v="0.47384838787748412"/>
    <x v="11"/>
    <n v="528.63000000000011"/>
  </r>
  <r>
    <d v="2022-09-14T00:00:00"/>
    <x v="10"/>
    <x v="2"/>
    <x v="0"/>
    <n v="1323.12"/>
    <n v="732.02"/>
    <n v="1"/>
    <n v="1323.12"/>
    <n v="732.02"/>
    <n v="591.09999999999991"/>
    <n v="0.44674708265312291"/>
    <x v="12"/>
    <n v="591.09999999999991"/>
  </r>
  <r>
    <d v="2024-10-01T00:00:00"/>
    <x v="3"/>
    <x v="2"/>
    <x v="3"/>
    <n v="921.79"/>
    <n v="470.38"/>
    <n v="10"/>
    <n v="9217.9"/>
    <n v="4703.8"/>
    <n v="4514.0999999999995"/>
    <n v="0.48971023768971239"/>
    <x v="17"/>
    <n v="4514.0999999999995"/>
  </r>
  <r>
    <d v="2023-04-10T00:00:00"/>
    <x v="1"/>
    <x v="1"/>
    <x v="1"/>
    <n v="275.5"/>
    <n v="141.28"/>
    <n v="6"/>
    <n v="1653"/>
    <n v="847.68000000000006"/>
    <n v="805.31999999999994"/>
    <n v="0.48718693284936476"/>
    <x v="6"/>
    <n v="805.31999999999994"/>
  </r>
  <r>
    <d v="2024-05-09T00:00:00"/>
    <x v="3"/>
    <x v="2"/>
    <x v="1"/>
    <n v="106.77"/>
    <n v="89.92"/>
    <n v="10"/>
    <n v="1067.7"/>
    <n v="899.2"/>
    <n v="168.5"/>
    <n v="0.15781586587992882"/>
    <x v="3"/>
    <n v="168.5"/>
  </r>
  <r>
    <d v="2022-10-29T00:00:00"/>
    <x v="2"/>
    <x v="0"/>
    <x v="2"/>
    <n v="100.38"/>
    <n v="74.599999999999994"/>
    <n v="7"/>
    <n v="702.66"/>
    <n v="522.19999999999993"/>
    <n v="180.46000000000004"/>
    <n v="0.25682406853954975"/>
    <x v="25"/>
    <n v="180.46000000000004"/>
  </r>
  <r>
    <d v="2022-12-22T00:00:00"/>
    <x v="2"/>
    <x v="0"/>
    <x v="0"/>
    <n v="1505.96"/>
    <n v="820.96"/>
    <n v="4"/>
    <n v="6023.84"/>
    <n v="3283.84"/>
    <n v="2740"/>
    <n v="0.45485935881431111"/>
    <x v="33"/>
    <n v="2740"/>
  </r>
  <r>
    <d v="2023-06-14T00:00:00"/>
    <x v="10"/>
    <x v="2"/>
    <x v="3"/>
    <n v="490.82"/>
    <n v="389.82"/>
    <n v="8"/>
    <n v="3926.56"/>
    <n v="3118.56"/>
    <n v="808"/>
    <n v="0.20577808565258141"/>
    <x v="0"/>
    <n v="808"/>
  </r>
  <r>
    <d v="2023-03-25T00:00:00"/>
    <x v="10"/>
    <x v="2"/>
    <x v="0"/>
    <n v="80.53"/>
    <n v="63.9"/>
    <n v="6"/>
    <n v="483.18"/>
    <n v="383.4"/>
    <n v="99.78000000000003"/>
    <n v="0.2065068918415498"/>
    <x v="19"/>
    <n v="99.78000000000003"/>
  </r>
  <r>
    <d v="2022-06-13T00:00:00"/>
    <x v="7"/>
    <x v="0"/>
    <x v="0"/>
    <n v="1869.1"/>
    <n v="1561.43"/>
    <n v="9"/>
    <n v="16821.899999999998"/>
    <n v="14052.87"/>
    <n v="2769.029999999997"/>
    <n v="0.16460863517200777"/>
    <x v="18"/>
    <n v="2769.029999999997"/>
  </r>
  <r>
    <d v="2024-07-12T00:00:00"/>
    <x v="6"/>
    <x v="3"/>
    <x v="2"/>
    <n v="770.48"/>
    <n v="659.21"/>
    <n v="5"/>
    <n v="3852.4"/>
    <n v="3296.05"/>
    <n v="556.34999999999991"/>
    <n v="0.14441646765652577"/>
    <x v="28"/>
    <n v="556.34999999999991"/>
  </r>
  <r>
    <d v="2022-12-03T00:00:00"/>
    <x v="1"/>
    <x v="1"/>
    <x v="0"/>
    <n v="1534.93"/>
    <n v="1350.63"/>
    <n v="3"/>
    <n v="4604.79"/>
    <n v="4051.8900000000003"/>
    <n v="552.89999999999964"/>
    <n v="0.12007062211306045"/>
    <x v="33"/>
    <n v="552.89999999999964"/>
  </r>
  <r>
    <d v="2024-07-12T00:00:00"/>
    <x v="6"/>
    <x v="3"/>
    <x v="0"/>
    <n v="975.14"/>
    <n v="666.36"/>
    <n v="2"/>
    <n v="1950.28"/>
    <n v="1332.72"/>
    <n v="617.55999999999995"/>
    <n v="0.31665196792255468"/>
    <x v="28"/>
    <n v="617.55999999999995"/>
  </r>
  <r>
    <d v="2024-12-07T00:00:00"/>
    <x v="10"/>
    <x v="2"/>
    <x v="2"/>
    <n v="637.16999999999996"/>
    <n v="465.49"/>
    <n v="6"/>
    <n v="3823.0199999999995"/>
    <n v="2792.94"/>
    <n v="1030.0799999999995"/>
    <n v="0.26944143635136608"/>
    <x v="23"/>
    <n v="1030.0799999999995"/>
  </r>
  <r>
    <d v="2023-10-27T00:00:00"/>
    <x v="0"/>
    <x v="0"/>
    <x v="3"/>
    <n v="335.97"/>
    <n v="205.17"/>
    <n v="2"/>
    <n v="671.94"/>
    <n v="410.34"/>
    <n v="261.60000000000008"/>
    <n v="0.38932047504241457"/>
    <x v="5"/>
    <n v="261.60000000000008"/>
  </r>
  <r>
    <d v="2022-11-22T00:00:00"/>
    <x v="10"/>
    <x v="2"/>
    <x v="0"/>
    <n v="1866.79"/>
    <n v="1327.96"/>
    <n v="10"/>
    <n v="18667.900000000001"/>
    <n v="13279.6"/>
    <n v="5388.3000000000011"/>
    <n v="0.28863985772368617"/>
    <x v="1"/>
    <n v="5388.3000000000011"/>
  </r>
  <r>
    <d v="2022-02-23T00:00:00"/>
    <x v="8"/>
    <x v="1"/>
    <x v="1"/>
    <n v="957.11"/>
    <n v="578.35"/>
    <n v="2"/>
    <n v="1914.22"/>
    <n v="1156.7"/>
    <n v="757.52"/>
    <n v="0.39573298784883659"/>
    <x v="20"/>
    <n v="757.52"/>
  </r>
  <r>
    <d v="2022-01-26T00:00:00"/>
    <x v="5"/>
    <x v="3"/>
    <x v="3"/>
    <n v="722.07"/>
    <n v="384.34"/>
    <n v="1"/>
    <n v="722.07"/>
    <n v="384.34"/>
    <n v="337.73000000000008"/>
    <n v="0.46772473582893631"/>
    <x v="9"/>
    <n v="337.73000000000008"/>
  </r>
  <r>
    <d v="2024-09-26T00:00:00"/>
    <x v="3"/>
    <x v="2"/>
    <x v="3"/>
    <n v="1517.95"/>
    <n v="872.1"/>
    <n v="9"/>
    <n v="13661.550000000001"/>
    <n v="7848.9000000000005"/>
    <n v="5812.6500000000005"/>
    <n v="0.42547514740274711"/>
    <x v="16"/>
    <n v="5812.6500000000005"/>
  </r>
  <r>
    <d v="2022-05-04T00:00:00"/>
    <x v="0"/>
    <x v="0"/>
    <x v="1"/>
    <n v="489.03"/>
    <n v="253.25"/>
    <n v="5"/>
    <n v="2445.1499999999996"/>
    <n v="1266.25"/>
    <n v="1178.8999999999996"/>
    <n v="0.48213811013639235"/>
    <x v="35"/>
    <n v="1178.8999999999996"/>
  </r>
  <r>
    <d v="2022-11-06T00:00:00"/>
    <x v="6"/>
    <x v="3"/>
    <x v="1"/>
    <n v="79.260000000000005"/>
    <n v="42.14"/>
    <n v="10"/>
    <n v="792.6"/>
    <n v="421.4"/>
    <n v="371.20000000000005"/>
    <n v="0.46833207166288171"/>
    <x v="1"/>
    <n v="371.20000000000005"/>
  </r>
  <r>
    <d v="2022-08-17T00:00:00"/>
    <x v="0"/>
    <x v="0"/>
    <x v="3"/>
    <n v="1544.31"/>
    <n v="1026.31"/>
    <n v="2"/>
    <n v="3088.62"/>
    <n v="2052.62"/>
    <n v="1036"/>
    <n v="0.33542488230989892"/>
    <x v="15"/>
    <n v="1036"/>
  </r>
  <r>
    <d v="2023-06-11T00:00:00"/>
    <x v="3"/>
    <x v="2"/>
    <x v="0"/>
    <n v="1597.54"/>
    <n v="1282.93"/>
    <n v="9"/>
    <n v="14377.86"/>
    <n v="11546.37"/>
    <n v="2831.49"/>
    <n v="0.19693403608047372"/>
    <x v="0"/>
    <n v="2831.49"/>
  </r>
  <r>
    <d v="2024-03-05T00:00:00"/>
    <x v="1"/>
    <x v="1"/>
    <x v="0"/>
    <n v="504.73"/>
    <n v="272.70999999999998"/>
    <n v="2"/>
    <n v="1009.46"/>
    <n v="545.41999999999996"/>
    <n v="464.04000000000008"/>
    <n v="0.45969132011174296"/>
    <x v="29"/>
    <n v="464.04000000000008"/>
  </r>
  <r>
    <d v="2022-09-26T00:00:00"/>
    <x v="9"/>
    <x v="3"/>
    <x v="3"/>
    <n v="737.58"/>
    <n v="376.09"/>
    <n v="9"/>
    <n v="6638.22"/>
    <n v="3384.81"/>
    <n v="3253.4100000000003"/>
    <n v="0.49010276851324602"/>
    <x v="12"/>
    <n v="3253.4100000000003"/>
  </r>
  <r>
    <d v="2023-07-21T00:00:00"/>
    <x v="8"/>
    <x v="1"/>
    <x v="1"/>
    <n v="1757.34"/>
    <n v="998.98"/>
    <n v="9"/>
    <n v="15816.06"/>
    <n v="8990.82"/>
    <n v="6825.24"/>
    <n v="0.43153857534683099"/>
    <x v="11"/>
    <n v="6825.24"/>
  </r>
  <r>
    <d v="2022-01-24T00:00:00"/>
    <x v="3"/>
    <x v="2"/>
    <x v="2"/>
    <n v="671.83"/>
    <n v="337.44"/>
    <n v="4"/>
    <n v="2687.32"/>
    <n v="1349.76"/>
    <n v="1337.5600000000002"/>
    <n v="0.49773008052632367"/>
    <x v="9"/>
    <n v="1337.5600000000002"/>
  </r>
  <r>
    <d v="2022-11-22T00:00:00"/>
    <x v="7"/>
    <x v="0"/>
    <x v="0"/>
    <n v="165.69"/>
    <n v="139.97"/>
    <n v="6"/>
    <n v="994.14"/>
    <n v="839.81999999999994"/>
    <n v="154.32000000000005"/>
    <n v="0.15522964572394235"/>
    <x v="1"/>
    <n v="154.32000000000005"/>
  </r>
  <r>
    <d v="2024-07-20T00:00:00"/>
    <x v="2"/>
    <x v="0"/>
    <x v="3"/>
    <n v="1531.56"/>
    <n v="1054.1400000000001"/>
    <n v="1"/>
    <n v="1531.56"/>
    <n v="1054.1400000000001"/>
    <n v="477.41999999999985"/>
    <n v="0.31172138212019107"/>
    <x v="28"/>
    <n v="477.41999999999985"/>
  </r>
  <r>
    <d v="2024-10-19T00:00:00"/>
    <x v="2"/>
    <x v="0"/>
    <x v="3"/>
    <n v="241.59"/>
    <n v="176.53"/>
    <n v="4"/>
    <n v="966.36"/>
    <n v="706.12"/>
    <n v="260.24"/>
    <n v="0.26929922596133948"/>
    <x v="17"/>
    <n v="260.24"/>
  </r>
  <r>
    <d v="2022-05-18T00:00:00"/>
    <x v="9"/>
    <x v="3"/>
    <x v="0"/>
    <n v="266.08999999999997"/>
    <n v="196.52"/>
    <n v="10"/>
    <n v="2660.8999999999996"/>
    <n v="1965.2"/>
    <n v="695.69999999999959"/>
    <n v="0.26145289187868753"/>
    <x v="35"/>
    <n v="695.69999999999959"/>
  </r>
  <r>
    <d v="2024-05-04T00:00:00"/>
    <x v="2"/>
    <x v="0"/>
    <x v="3"/>
    <n v="450.13"/>
    <n v="296.66000000000003"/>
    <n v="6"/>
    <n v="2700.7799999999997"/>
    <n v="1779.96"/>
    <n v="920.81999999999971"/>
    <n v="0.34094594894808161"/>
    <x v="3"/>
    <n v="920.81999999999971"/>
  </r>
  <r>
    <d v="2024-03-25T00:00:00"/>
    <x v="5"/>
    <x v="3"/>
    <x v="1"/>
    <n v="447.61"/>
    <n v="258.33"/>
    <n v="4"/>
    <n v="1790.44"/>
    <n v="1033.32"/>
    <n v="757.12000000000012"/>
    <n v="0.42286812180246203"/>
    <x v="29"/>
    <n v="757.12000000000012"/>
  </r>
  <r>
    <d v="2024-09-28T00:00:00"/>
    <x v="7"/>
    <x v="0"/>
    <x v="2"/>
    <n v="165.41"/>
    <n v="140.41999999999999"/>
    <n v="10"/>
    <n v="1654.1"/>
    <n v="1404.1999999999998"/>
    <n v="249.90000000000009"/>
    <n v="0.15107913669064754"/>
    <x v="16"/>
    <n v="249.90000000000009"/>
  </r>
  <r>
    <d v="2023-06-12T00:00:00"/>
    <x v="4"/>
    <x v="2"/>
    <x v="0"/>
    <n v="332.8"/>
    <n v="213.02"/>
    <n v="8"/>
    <n v="2662.4"/>
    <n v="1704.16"/>
    <n v="958.24"/>
    <n v="0.3599158653846154"/>
    <x v="0"/>
    <n v="958.24"/>
  </r>
  <r>
    <d v="2022-01-30T00:00:00"/>
    <x v="0"/>
    <x v="0"/>
    <x v="2"/>
    <n v="1231.8499999999999"/>
    <n v="885.57"/>
    <n v="3"/>
    <n v="3695.5499999999997"/>
    <n v="2656.71"/>
    <n v="1038.8399999999997"/>
    <n v="0.28110565409749555"/>
    <x v="9"/>
    <n v="1038.8399999999997"/>
  </r>
  <r>
    <d v="2022-09-19T00:00:00"/>
    <x v="6"/>
    <x v="3"/>
    <x v="1"/>
    <n v="1183.26"/>
    <n v="1024.4000000000001"/>
    <n v="1"/>
    <n v="1183.26"/>
    <n v="1024.4000000000001"/>
    <n v="158.8599999999999"/>
    <n v="0.13425620742693906"/>
    <x v="12"/>
    <n v="158.8599999999999"/>
  </r>
  <r>
    <d v="2024-11-08T00:00:00"/>
    <x v="5"/>
    <x v="3"/>
    <x v="0"/>
    <n v="1817.85"/>
    <n v="1279.83"/>
    <n v="2"/>
    <n v="3635.7"/>
    <n v="2559.66"/>
    <n v="1076.04"/>
    <n v="0.29596501361498473"/>
    <x v="2"/>
    <n v="1076.04"/>
  </r>
  <r>
    <d v="2022-11-16T00:00:00"/>
    <x v="2"/>
    <x v="0"/>
    <x v="1"/>
    <n v="704.94"/>
    <n v="469.51"/>
    <n v="6"/>
    <n v="4229.6400000000003"/>
    <n v="2817.06"/>
    <n v="1412.5800000000004"/>
    <n v="0.33397168553352063"/>
    <x v="1"/>
    <n v="1412.5800000000004"/>
  </r>
  <r>
    <d v="2023-09-04T00:00:00"/>
    <x v="10"/>
    <x v="2"/>
    <x v="0"/>
    <n v="896.81"/>
    <n v="521.75"/>
    <n v="4"/>
    <n v="3587.24"/>
    <n v="2087"/>
    <n v="1500.2399999999998"/>
    <n v="0.41821567556115563"/>
    <x v="24"/>
    <n v="1500.2399999999998"/>
  </r>
  <r>
    <d v="2024-05-17T00:00:00"/>
    <x v="0"/>
    <x v="0"/>
    <x v="2"/>
    <n v="806.3"/>
    <n v="630.92999999999995"/>
    <n v="3"/>
    <n v="2418.8999999999996"/>
    <n v="1892.79"/>
    <n v="526.10999999999967"/>
    <n v="0.21749968994170893"/>
    <x v="3"/>
    <n v="526.10999999999967"/>
  </r>
  <r>
    <d v="2024-12-10T00:00:00"/>
    <x v="9"/>
    <x v="3"/>
    <x v="1"/>
    <n v="769.98"/>
    <n v="394.56"/>
    <n v="6"/>
    <n v="4619.88"/>
    <n v="2367.36"/>
    <n v="2252.52"/>
    <n v="0.48757110574300627"/>
    <x v="23"/>
    <n v="2252.52"/>
  </r>
  <r>
    <d v="2022-04-22T00:00:00"/>
    <x v="7"/>
    <x v="0"/>
    <x v="1"/>
    <n v="928.07"/>
    <n v="717.59"/>
    <n v="1"/>
    <n v="928.07"/>
    <n v="717.59"/>
    <n v="210.48000000000002"/>
    <n v="0.22679323757906192"/>
    <x v="32"/>
    <n v="210.48000000000002"/>
  </r>
  <r>
    <d v="2023-12-29T00:00:00"/>
    <x v="4"/>
    <x v="2"/>
    <x v="1"/>
    <n v="1188.8499999999999"/>
    <n v="882.57"/>
    <n v="9"/>
    <n v="10699.65"/>
    <n v="7943.13"/>
    <n v="2756.5199999999995"/>
    <n v="0.25762711864406779"/>
    <x v="30"/>
    <n v="2756.5199999999995"/>
  </r>
  <r>
    <d v="2023-12-18T00:00:00"/>
    <x v="1"/>
    <x v="1"/>
    <x v="1"/>
    <n v="945.72"/>
    <n v="532.59"/>
    <n v="10"/>
    <n v="9457.2000000000007"/>
    <n v="5325.9000000000005"/>
    <n v="4131.3"/>
    <n v="0.43684177134881358"/>
    <x v="30"/>
    <n v="4131.3"/>
  </r>
  <r>
    <d v="2022-08-18T00:00:00"/>
    <x v="7"/>
    <x v="0"/>
    <x v="0"/>
    <n v="1600.84"/>
    <n v="1155.1500000000001"/>
    <n v="4"/>
    <n v="6403.36"/>
    <n v="4620.6000000000004"/>
    <n v="1782.7599999999993"/>
    <n v="0.27841008470552953"/>
    <x v="15"/>
    <n v="1782.7599999999993"/>
  </r>
  <r>
    <d v="2022-03-09T00:00:00"/>
    <x v="10"/>
    <x v="2"/>
    <x v="1"/>
    <n v="705.27"/>
    <n v="613.99"/>
    <n v="9"/>
    <n v="6347.43"/>
    <n v="5525.91"/>
    <n v="821.52000000000044"/>
    <n v="0.12942561005005182"/>
    <x v="7"/>
    <n v="821.52000000000044"/>
  </r>
  <r>
    <d v="2024-09-26T00:00:00"/>
    <x v="5"/>
    <x v="3"/>
    <x v="1"/>
    <n v="173.11"/>
    <n v="121.95"/>
    <n v="10"/>
    <n v="1731.1000000000001"/>
    <n v="1219.5"/>
    <n v="511.60000000000014"/>
    <n v="0.2955346311593785"/>
    <x v="16"/>
    <n v="511.60000000000014"/>
  </r>
  <r>
    <d v="2022-03-11T00:00:00"/>
    <x v="1"/>
    <x v="1"/>
    <x v="3"/>
    <n v="843.36"/>
    <n v="460.77"/>
    <n v="4"/>
    <n v="3373.44"/>
    <n v="1843.08"/>
    <n v="1530.3600000000001"/>
    <n v="0.45364968696642005"/>
    <x v="7"/>
    <n v="1530.3600000000001"/>
  </r>
  <r>
    <d v="2022-08-15T00:00:00"/>
    <x v="1"/>
    <x v="1"/>
    <x v="3"/>
    <n v="607.16999999999996"/>
    <n v="510.88"/>
    <n v="3"/>
    <n v="1821.5099999999998"/>
    <n v="1532.6399999999999"/>
    <n v="288.86999999999989"/>
    <n v="0.15858820429204337"/>
    <x v="15"/>
    <n v="288.86999999999989"/>
  </r>
  <r>
    <d v="2024-04-23T00:00:00"/>
    <x v="10"/>
    <x v="2"/>
    <x v="2"/>
    <n v="1632.4"/>
    <n v="1047.7"/>
    <n v="7"/>
    <n v="11426.800000000001"/>
    <n v="7333.9000000000005"/>
    <n v="4092.9000000000005"/>
    <n v="0.35818426856162705"/>
    <x v="22"/>
    <n v="4092.9000000000005"/>
  </r>
  <r>
    <d v="2023-08-08T00:00:00"/>
    <x v="3"/>
    <x v="2"/>
    <x v="3"/>
    <n v="668.24"/>
    <n v="335.21"/>
    <n v="1"/>
    <n v="668.24"/>
    <n v="335.21"/>
    <n v="333.03000000000003"/>
    <n v="0.49836884951514432"/>
    <x v="14"/>
    <n v="333.03000000000003"/>
  </r>
  <r>
    <d v="2022-10-10T00:00:00"/>
    <x v="1"/>
    <x v="1"/>
    <x v="3"/>
    <n v="1277.43"/>
    <n v="1103.08"/>
    <n v="4"/>
    <n v="5109.72"/>
    <n v="4412.32"/>
    <n v="697.40000000000055"/>
    <n v="0.13648497373633006"/>
    <x v="25"/>
    <n v="697.40000000000055"/>
  </r>
  <r>
    <d v="2024-08-26T00:00:00"/>
    <x v="9"/>
    <x v="3"/>
    <x v="2"/>
    <n v="1831.55"/>
    <n v="988.16"/>
    <n v="6"/>
    <n v="10989.3"/>
    <n v="5928.96"/>
    <n v="5060.3399999999992"/>
    <n v="0.46047882940678658"/>
    <x v="21"/>
    <n v="5060.3399999999992"/>
  </r>
  <r>
    <d v="2022-06-07T00:00:00"/>
    <x v="4"/>
    <x v="2"/>
    <x v="2"/>
    <n v="1628.77"/>
    <n v="1139.45"/>
    <n v="9"/>
    <n v="14658.93"/>
    <n v="10255.050000000001"/>
    <n v="4403.8799999999992"/>
    <n v="0.30042301859685522"/>
    <x v="18"/>
    <n v="4403.8799999999992"/>
  </r>
  <r>
    <d v="2024-10-13T00:00:00"/>
    <x v="0"/>
    <x v="0"/>
    <x v="1"/>
    <n v="744.12"/>
    <n v="534.47"/>
    <n v="4"/>
    <n v="2976.48"/>
    <n v="2137.88"/>
    <n v="838.59999999999991"/>
    <n v="0.28174219211955059"/>
    <x v="17"/>
    <n v="838.59999999999991"/>
  </r>
  <r>
    <d v="2023-01-16T00:00:00"/>
    <x v="1"/>
    <x v="1"/>
    <x v="2"/>
    <n v="1341.78"/>
    <n v="691.66"/>
    <n v="5"/>
    <n v="6708.9"/>
    <n v="3458.2999999999997"/>
    <n v="3250.6"/>
    <n v="0.48452056223822088"/>
    <x v="13"/>
    <n v="3250.6"/>
  </r>
  <r>
    <d v="2024-05-17T00:00:00"/>
    <x v="2"/>
    <x v="0"/>
    <x v="1"/>
    <n v="368.11"/>
    <n v="192.5"/>
    <n v="10"/>
    <n v="3681.1000000000004"/>
    <n v="1925"/>
    <n v="1756.1000000000004"/>
    <n v="0.47705848795197092"/>
    <x v="3"/>
    <n v="1756.1000000000004"/>
  </r>
  <r>
    <d v="2024-02-11T00:00:00"/>
    <x v="6"/>
    <x v="3"/>
    <x v="0"/>
    <n v="1928.96"/>
    <n v="1523.94"/>
    <n v="6"/>
    <n v="11573.76"/>
    <n v="9143.64"/>
    <n v="2430.1200000000008"/>
    <n v="0.20996806569343071"/>
    <x v="34"/>
    <n v="2430.1200000000008"/>
  </r>
  <r>
    <d v="2023-03-29T00:00:00"/>
    <x v="9"/>
    <x v="3"/>
    <x v="1"/>
    <n v="1454.15"/>
    <n v="1112.6500000000001"/>
    <n v="2"/>
    <n v="2908.3"/>
    <n v="2225.3000000000002"/>
    <n v="683"/>
    <n v="0.2348450985111577"/>
    <x v="19"/>
    <n v="683"/>
  </r>
  <r>
    <d v="2024-10-28T00:00:00"/>
    <x v="9"/>
    <x v="3"/>
    <x v="2"/>
    <n v="509.05"/>
    <n v="271.08"/>
    <n v="6"/>
    <n v="3054.3"/>
    <n v="1626.48"/>
    <n v="1427.8200000000002"/>
    <n v="0.46747863667616152"/>
    <x v="17"/>
    <n v="1427.8200000000002"/>
  </r>
  <r>
    <d v="2024-08-05T00:00:00"/>
    <x v="1"/>
    <x v="1"/>
    <x v="2"/>
    <n v="912.71"/>
    <n v="572.92999999999995"/>
    <n v="3"/>
    <n v="2738.13"/>
    <n v="1718.79"/>
    <n v="1019.3400000000001"/>
    <n v="0.3722759693659542"/>
    <x v="21"/>
    <n v="1019.3400000000001"/>
  </r>
  <r>
    <d v="2023-05-30T00:00:00"/>
    <x v="3"/>
    <x v="2"/>
    <x v="2"/>
    <n v="1716.07"/>
    <n v="1419.27"/>
    <n v="6"/>
    <n v="10296.42"/>
    <n v="8515.619999999999"/>
    <n v="1780.8000000000011"/>
    <n v="0.17295331775510334"/>
    <x v="31"/>
    <n v="1780.8000000000011"/>
  </r>
  <r>
    <d v="2022-12-20T00:00:00"/>
    <x v="7"/>
    <x v="0"/>
    <x v="2"/>
    <n v="449.48"/>
    <n v="239.11"/>
    <n v="1"/>
    <n v="449.48"/>
    <n v="239.11"/>
    <n v="210.37"/>
    <n v="0.46802972323573905"/>
    <x v="33"/>
    <n v="210.37"/>
  </r>
  <r>
    <d v="2024-06-10T00:00:00"/>
    <x v="7"/>
    <x v="0"/>
    <x v="3"/>
    <n v="1340.4"/>
    <n v="675.11"/>
    <n v="2"/>
    <n v="2680.8"/>
    <n v="1350.22"/>
    <n v="1330.5800000000002"/>
    <n v="0.49633691435392424"/>
    <x v="4"/>
    <n v="1330.5800000000002"/>
  </r>
  <r>
    <d v="2024-11-18T00:00:00"/>
    <x v="1"/>
    <x v="1"/>
    <x v="0"/>
    <n v="804.15"/>
    <n v="517.62"/>
    <n v="5"/>
    <n v="4020.75"/>
    <n v="2588.1"/>
    <n v="1432.65"/>
    <n v="0.35631412049990674"/>
    <x v="2"/>
    <n v="1432.65"/>
  </r>
  <r>
    <d v="2024-09-11T00:00:00"/>
    <x v="3"/>
    <x v="2"/>
    <x v="2"/>
    <n v="1350.05"/>
    <n v="837.51"/>
    <n v="2"/>
    <n v="2700.1"/>
    <n v="1675.02"/>
    <n v="1025.08"/>
    <n v="0.37964519832598792"/>
    <x v="16"/>
    <n v="1025.08"/>
  </r>
  <r>
    <d v="2023-10-22T00:00:00"/>
    <x v="4"/>
    <x v="2"/>
    <x v="0"/>
    <n v="717.41"/>
    <n v="597.65"/>
    <n v="7"/>
    <n v="5021.87"/>
    <n v="4183.55"/>
    <n v="838.31999999999971"/>
    <n v="0.16693383142136289"/>
    <x v="5"/>
    <n v="838.31999999999971"/>
  </r>
  <r>
    <d v="2022-03-27T00:00:00"/>
    <x v="3"/>
    <x v="2"/>
    <x v="0"/>
    <n v="242.44"/>
    <n v="185.85"/>
    <n v="10"/>
    <n v="2424.4"/>
    <n v="1858.5"/>
    <n v="565.90000000000009"/>
    <n v="0.23341857779244352"/>
    <x v="7"/>
    <n v="565.90000000000009"/>
  </r>
  <r>
    <d v="2024-02-10T00:00:00"/>
    <x v="0"/>
    <x v="0"/>
    <x v="1"/>
    <n v="1781.69"/>
    <n v="1131.52"/>
    <n v="8"/>
    <n v="14253.52"/>
    <n v="9052.16"/>
    <n v="5201.3600000000006"/>
    <n v="0.36491757825435406"/>
    <x v="34"/>
    <n v="5201.3600000000006"/>
  </r>
  <r>
    <d v="2022-02-27T00:00:00"/>
    <x v="5"/>
    <x v="3"/>
    <x v="1"/>
    <n v="851.28"/>
    <n v="496.78"/>
    <n v="8"/>
    <n v="6810.24"/>
    <n v="3974.24"/>
    <n v="2836"/>
    <n v="0.41643172634150927"/>
    <x v="20"/>
    <n v="2836"/>
  </r>
  <r>
    <d v="2022-12-21T00:00:00"/>
    <x v="0"/>
    <x v="0"/>
    <x v="3"/>
    <n v="523.86"/>
    <n v="379.55"/>
    <n v="8"/>
    <n v="4190.88"/>
    <n v="3036.4"/>
    <n v="1154.48"/>
    <n v="0.27547436337952885"/>
    <x v="33"/>
    <n v="1154.48"/>
  </r>
  <r>
    <d v="2024-08-31T00:00:00"/>
    <x v="5"/>
    <x v="3"/>
    <x v="1"/>
    <n v="1765.43"/>
    <n v="1317.54"/>
    <n v="7"/>
    <n v="12358.01"/>
    <n v="9222.7799999999988"/>
    <n v="3135.2300000000014"/>
    <n v="0.25370023167160421"/>
    <x v="21"/>
    <n v="3135.2300000000014"/>
  </r>
  <r>
    <d v="2022-07-25T00:00:00"/>
    <x v="3"/>
    <x v="2"/>
    <x v="1"/>
    <n v="1372.26"/>
    <n v="1086.78"/>
    <n v="5"/>
    <n v="6861.3"/>
    <n v="5433.9"/>
    <n v="1427.4000000000005"/>
    <n v="0.20803637794587038"/>
    <x v="8"/>
    <n v="1427.4000000000005"/>
  </r>
  <r>
    <d v="2022-06-23T00:00:00"/>
    <x v="0"/>
    <x v="0"/>
    <x v="0"/>
    <n v="1797.2"/>
    <n v="1234.19"/>
    <n v="5"/>
    <n v="8986"/>
    <n v="6170.9500000000007"/>
    <n v="2815.0499999999993"/>
    <n v="0.31327064322279091"/>
    <x v="18"/>
    <n v="2815.0499999999993"/>
  </r>
  <r>
    <d v="2022-02-18T00:00:00"/>
    <x v="1"/>
    <x v="1"/>
    <x v="3"/>
    <n v="1538.78"/>
    <n v="1199.8399999999999"/>
    <n v="5"/>
    <n v="7693.9"/>
    <n v="5999.2"/>
    <n v="1694.6999999999998"/>
    <n v="0.22026540506115233"/>
    <x v="20"/>
    <n v="1694.6999999999998"/>
  </r>
  <r>
    <d v="2024-05-04T00:00:00"/>
    <x v="6"/>
    <x v="3"/>
    <x v="0"/>
    <n v="1842.6"/>
    <n v="1203.1300000000001"/>
    <n v="1"/>
    <n v="1842.6"/>
    <n v="1203.1300000000001"/>
    <n v="639.4699999999998"/>
    <n v="0.34704765005969818"/>
    <x v="3"/>
    <n v="639.4699999999998"/>
  </r>
  <r>
    <d v="2022-12-23T00:00:00"/>
    <x v="8"/>
    <x v="1"/>
    <x v="1"/>
    <n v="368.58"/>
    <n v="223.32"/>
    <n v="4"/>
    <n v="1474.32"/>
    <n v="893.28"/>
    <n v="581.04"/>
    <n v="0.39410711378805141"/>
    <x v="33"/>
    <n v="581.04"/>
  </r>
  <r>
    <d v="2023-08-03T00:00:00"/>
    <x v="2"/>
    <x v="0"/>
    <x v="3"/>
    <n v="1069.78"/>
    <n v="873.23"/>
    <n v="10"/>
    <n v="10697.8"/>
    <n v="8732.2999999999993"/>
    <n v="1965.5"/>
    <n v="0.18372936491615099"/>
    <x v="14"/>
    <n v="1965.5"/>
  </r>
  <r>
    <d v="2023-12-24T00:00:00"/>
    <x v="10"/>
    <x v="2"/>
    <x v="0"/>
    <n v="466.88"/>
    <n v="334.76"/>
    <n v="3"/>
    <n v="1400.6399999999999"/>
    <n v="1004.28"/>
    <n v="396.3599999999999"/>
    <n v="0.28298492117888963"/>
    <x v="30"/>
    <n v="396.3599999999999"/>
  </r>
  <r>
    <d v="2022-03-04T00:00:00"/>
    <x v="10"/>
    <x v="2"/>
    <x v="2"/>
    <n v="1229.28"/>
    <n v="855.85"/>
    <n v="7"/>
    <n v="8604.9599999999991"/>
    <n v="5990.95"/>
    <n v="2614.0099999999993"/>
    <n v="0.30377944813223995"/>
    <x v="7"/>
    <n v="2614.0099999999993"/>
  </r>
  <r>
    <d v="2023-02-17T00:00:00"/>
    <x v="10"/>
    <x v="2"/>
    <x v="0"/>
    <n v="581.65"/>
    <n v="350.46"/>
    <n v="2"/>
    <n v="1163.3"/>
    <n v="700.92"/>
    <n v="462.38"/>
    <n v="0.39747270695435399"/>
    <x v="27"/>
    <n v="462.38"/>
  </r>
  <r>
    <d v="2024-01-31T00:00:00"/>
    <x v="1"/>
    <x v="1"/>
    <x v="1"/>
    <n v="728.01"/>
    <n v="445.91"/>
    <n v="3"/>
    <n v="2184.0299999999997"/>
    <n v="1337.73"/>
    <n v="846.29999999999973"/>
    <n v="0.38749467727091652"/>
    <x v="26"/>
    <n v="846.29999999999973"/>
  </r>
  <r>
    <d v="2024-02-24T00:00:00"/>
    <x v="5"/>
    <x v="3"/>
    <x v="3"/>
    <n v="322.69"/>
    <n v="210.6"/>
    <n v="10"/>
    <n v="3226.9"/>
    <n v="2106"/>
    <n v="1120.9000000000001"/>
    <n v="0.34736124453810158"/>
    <x v="34"/>
    <n v="1120.9000000000001"/>
  </r>
  <r>
    <d v="2023-07-29T00:00:00"/>
    <x v="5"/>
    <x v="3"/>
    <x v="0"/>
    <n v="229.51"/>
    <n v="121.74"/>
    <n v="8"/>
    <n v="1836.08"/>
    <n v="973.92"/>
    <n v="862.16"/>
    <n v="0.46956559627031502"/>
    <x v="11"/>
    <n v="862.16"/>
  </r>
  <r>
    <d v="2023-07-20T00:00:00"/>
    <x v="7"/>
    <x v="0"/>
    <x v="3"/>
    <n v="1143.83"/>
    <n v="633.86"/>
    <n v="9"/>
    <n v="10294.469999999999"/>
    <n v="5704.74"/>
    <n v="4589.7299999999996"/>
    <n v="0.44584422510338073"/>
    <x v="11"/>
    <n v="4589.7299999999996"/>
  </r>
  <r>
    <d v="2024-01-21T00:00:00"/>
    <x v="7"/>
    <x v="0"/>
    <x v="0"/>
    <n v="127.28"/>
    <n v="103.94"/>
    <n v="10"/>
    <n v="1272.8"/>
    <n v="1039.4000000000001"/>
    <n v="233.39999999999986"/>
    <n v="0.18337523570081699"/>
    <x v="26"/>
    <n v="233.39999999999986"/>
  </r>
  <r>
    <d v="2023-04-01T00:00:00"/>
    <x v="1"/>
    <x v="1"/>
    <x v="1"/>
    <n v="944.28"/>
    <n v="624.57000000000005"/>
    <n v="5"/>
    <n v="4721.3999999999996"/>
    <n v="3122.8500000000004"/>
    <n v="1598.5499999999993"/>
    <n v="0.33857542254416051"/>
    <x v="6"/>
    <n v="1598.5499999999993"/>
  </r>
  <r>
    <d v="2024-06-01T00:00:00"/>
    <x v="4"/>
    <x v="2"/>
    <x v="3"/>
    <n v="792.58"/>
    <n v="423.65"/>
    <n v="8"/>
    <n v="6340.64"/>
    <n v="3389.2"/>
    <n v="2951.4400000000005"/>
    <n v="0.46547982538040328"/>
    <x v="4"/>
    <n v="2951.4400000000005"/>
  </r>
  <r>
    <d v="2022-02-07T00:00:00"/>
    <x v="10"/>
    <x v="2"/>
    <x v="0"/>
    <n v="1069.98"/>
    <n v="869.5"/>
    <n v="6"/>
    <n v="6419.88"/>
    <n v="5217"/>
    <n v="1202.8800000000001"/>
    <n v="0.18736798818669509"/>
    <x v="20"/>
    <n v="1202.8800000000001"/>
  </r>
  <r>
    <d v="2024-12-26T00:00:00"/>
    <x v="6"/>
    <x v="3"/>
    <x v="1"/>
    <n v="758.75"/>
    <n v="663.77"/>
    <n v="7"/>
    <n v="5311.25"/>
    <n v="4646.3899999999994"/>
    <n v="664.86000000000058"/>
    <n v="0.12517957166392102"/>
    <x v="23"/>
    <n v="664.86000000000058"/>
  </r>
  <r>
    <d v="2023-09-26T00:00:00"/>
    <x v="7"/>
    <x v="0"/>
    <x v="3"/>
    <n v="1491.61"/>
    <n v="1144.21"/>
    <n v="9"/>
    <n v="13424.49"/>
    <n v="10297.89"/>
    <n v="3126.6000000000004"/>
    <n v="0.23290270244903161"/>
    <x v="24"/>
    <n v="3126.6000000000004"/>
  </r>
  <r>
    <d v="2024-09-16T00:00:00"/>
    <x v="10"/>
    <x v="2"/>
    <x v="0"/>
    <n v="1087.28"/>
    <n v="700.89"/>
    <n v="2"/>
    <n v="2174.56"/>
    <n v="1401.78"/>
    <n v="772.78"/>
    <n v="0.35537304098300343"/>
    <x v="16"/>
    <n v="772.78"/>
  </r>
  <r>
    <d v="2023-06-29T00:00:00"/>
    <x v="5"/>
    <x v="3"/>
    <x v="0"/>
    <n v="1174.83"/>
    <n v="597.02"/>
    <n v="9"/>
    <n v="10573.47"/>
    <n v="5373.18"/>
    <n v="5200.2899999999991"/>
    <n v="0.4918243490547568"/>
    <x v="0"/>
    <n v="5200.2899999999991"/>
  </r>
  <r>
    <d v="2022-03-01T00:00:00"/>
    <x v="5"/>
    <x v="3"/>
    <x v="0"/>
    <n v="1843.22"/>
    <n v="1477.25"/>
    <n v="4"/>
    <n v="7372.88"/>
    <n v="5909"/>
    <n v="1463.88"/>
    <n v="0.19854927789412008"/>
    <x v="7"/>
    <n v="1463.88"/>
  </r>
  <r>
    <d v="2022-09-20T00:00:00"/>
    <x v="3"/>
    <x v="2"/>
    <x v="1"/>
    <n v="971.11"/>
    <n v="727.85"/>
    <n v="10"/>
    <n v="9711.1"/>
    <n v="7278.5"/>
    <n v="2432.6000000000004"/>
    <n v="0.25049685411539374"/>
    <x v="12"/>
    <n v="2432.6000000000004"/>
  </r>
  <r>
    <d v="2022-10-15T00:00:00"/>
    <x v="9"/>
    <x v="3"/>
    <x v="1"/>
    <n v="389.01"/>
    <n v="239.17"/>
    <n v="3"/>
    <n v="1167.03"/>
    <n v="717.51"/>
    <n v="449.52"/>
    <n v="0.38518290018251461"/>
    <x v="25"/>
    <n v="449.52"/>
  </r>
  <r>
    <d v="2024-11-11T00:00:00"/>
    <x v="4"/>
    <x v="2"/>
    <x v="0"/>
    <n v="1944.31"/>
    <n v="1384.1"/>
    <n v="3"/>
    <n v="5832.93"/>
    <n v="4152.2999999999993"/>
    <n v="1680.630000000001"/>
    <n v="0.288127921987749"/>
    <x v="2"/>
    <n v="1680.630000000001"/>
  </r>
  <r>
    <d v="2024-10-31T00:00:00"/>
    <x v="3"/>
    <x v="2"/>
    <x v="0"/>
    <n v="895.01"/>
    <n v="562.42999999999995"/>
    <n v="9"/>
    <n v="8055.09"/>
    <n v="5061.87"/>
    <n v="2993.2200000000003"/>
    <n v="0.37159361347917902"/>
    <x v="17"/>
    <n v="2993.2200000000003"/>
  </r>
  <r>
    <d v="2022-11-08T00:00:00"/>
    <x v="5"/>
    <x v="3"/>
    <x v="1"/>
    <n v="1505.69"/>
    <n v="1059.02"/>
    <n v="3"/>
    <n v="4517.07"/>
    <n v="3177.06"/>
    <n v="1340.0099999999998"/>
    <n v="0.29665468987640214"/>
    <x v="1"/>
    <n v="1340.0099999999998"/>
  </r>
  <r>
    <d v="2023-01-08T00:00:00"/>
    <x v="2"/>
    <x v="0"/>
    <x v="0"/>
    <n v="1979.75"/>
    <n v="1675.79"/>
    <n v="1"/>
    <n v="1979.75"/>
    <n v="1675.79"/>
    <n v="303.96000000000004"/>
    <n v="0.15353453718903903"/>
    <x v="13"/>
    <n v="303.96000000000004"/>
  </r>
  <r>
    <d v="2024-02-11T00:00:00"/>
    <x v="9"/>
    <x v="3"/>
    <x v="3"/>
    <n v="595.04999999999995"/>
    <n v="496.27"/>
    <n v="1"/>
    <n v="595.04999999999995"/>
    <n v="496.27"/>
    <n v="98.779999999999973"/>
    <n v="0.16600285690278124"/>
    <x v="34"/>
    <n v="98.779999999999973"/>
  </r>
  <r>
    <d v="2023-12-08T00:00:00"/>
    <x v="7"/>
    <x v="0"/>
    <x v="1"/>
    <n v="1926.18"/>
    <n v="1393.91"/>
    <n v="4"/>
    <n v="7704.72"/>
    <n v="5575.64"/>
    <n v="2129.08"/>
    <n v="0.27633450664008552"/>
    <x v="30"/>
    <n v="2129.08"/>
  </r>
  <r>
    <d v="2024-12-12T00:00:00"/>
    <x v="4"/>
    <x v="2"/>
    <x v="1"/>
    <n v="1686.27"/>
    <n v="1352.22"/>
    <n v="7"/>
    <n v="11803.89"/>
    <n v="9465.5400000000009"/>
    <n v="2338.3499999999985"/>
    <n v="0.19809994840683864"/>
    <x v="23"/>
    <n v="2338.3499999999985"/>
  </r>
  <r>
    <d v="2023-08-13T00:00:00"/>
    <x v="4"/>
    <x v="2"/>
    <x v="3"/>
    <n v="279.35000000000002"/>
    <n v="200.11"/>
    <n v="6"/>
    <n v="1676.1000000000001"/>
    <n v="1200.6600000000001"/>
    <n v="475.44000000000005"/>
    <n v="0.2836584929300161"/>
    <x v="14"/>
    <n v="475.44000000000005"/>
  </r>
  <r>
    <d v="2022-09-21T00:00:00"/>
    <x v="1"/>
    <x v="1"/>
    <x v="3"/>
    <n v="368.02"/>
    <n v="310.66000000000003"/>
    <n v="4"/>
    <n v="1472.08"/>
    <n v="1242.6400000000001"/>
    <n v="229.43999999999983"/>
    <n v="0.15586109450573327"/>
    <x v="12"/>
    <n v="229.43999999999983"/>
  </r>
  <r>
    <d v="2024-08-09T00:00:00"/>
    <x v="10"/>
    <x v="2"/>
    <x v="2"/>
    <n v="1685.99"/>
    <n v="935.06"/>
    <n v="3"/>
    <n v="5057.97"/>
    <n v="2805.18"/>
    <n v="2252.7900000000004"/>
    <n v="0.44539410079537844"/>
    <x v="21"/>
    <n v="2252.7900000000004"/>
  </r>
  <r>
    <d v="2022-12-08T00:00:00"/>
    <x v="0"/>
    <x v="0"/>
    <x v="0"/>
    <n v="568.57000000000005"/>
    <n v="345.04"/>
    <n v="9"/>
    <n v="5117.13"/>
    <n v="3105.36"/>
    <n v="2011.77"/>
    <n v="0.39314420387990923"/>
    <x v="33"/>
    <n v="2011.77"/>
  </r>
  <r>
    <d v="2022-11-05T00:00:00"/>
    <x v="3"/>
    <x v="2"/>
    <x v="3"/>
    <n v="845.84"/>
    <n v="641.09"/>
    <n v="10"/>
    <n v="8458.4"/>
    <n v="6410.9000000000005"/>
    <n v="2047.4999999999991"/>
    <n v="0.24206705759954592"/>
    <x v="1"/>
    <n v="2047.4999999999991"/>
  </r>
  <r>
    <d v="2023-12-02T00:00:00"/>
    <x v="1"/>
    <x v="1"/>
    <x v="0"/>
    <n v="85.04"/>
    <n v="52.81"/>
    <n v="10"/>
    <n v="850.40000000000009"/>
    <n v="528.1"/>
    <n v="322.30000000000007"/>
    <n v="0.37899811853245535"/>
    <x v="30"/>
    <n v="322.30000000000007"/>
  </r>
  <r>
    <d v="2024-09-27T00:00:00"/>
    <x v="3"/>
    <x v="2"/>
    <x v="0"/>
    <n v="1895.52"/>
    <n v="1455.5"/>
    <n v="2"/>
    <n v="3791.04"/>
    <n v="2911"/>
    <n v="880.04"/>
    <n v="0.23213682788891701"/>
    <x v="16"/>
    <n v="880.04"/>
  </r>
  <r>
    <d v="2024-01-16T00:00:00"/>
    <x v="5"/>
    <x v="3"/>
    <x v="2"/>
    <n v="295.02999999999997"/>
    <n v="180.85"/>
    <n v="2"/>
    <n v="590.05999999999995"/>
    <n v="361.7"/>
    <n v="228.35999999999996"/>
    <n v="0.38701149035691285"/>
    <x v="26"/>
    <n v="228.35999999999996"/>
  </r>
  <r>
    <d v="2024-12-02T00:00:00"/>
    <x v="5"/>
    <x v="3"/>
    <x v="1"/>
    <n v="1219.3699999999999"/>
    <n v="645.38"/>
    <n v="9"/>
    <n v="10974.329999999998"/>
    <n v="5808.42"/>
    <n v="5165.909999999998"/>
    <n v="0.47072668673167284"/>
    <x v="23"/>
    <n v="5165.909999999998"/>
  </r>
  <r>
    <d v="2022-10-17T00:00:00"/>
    <x v="5"/>
    <x v="3"/>
    <x v="2"/>
    <n v="802.36"/>
    <n v="540.28"/>
    <n v="10"/>
    <n v="8023.6"/>
    <n v="5402.7999999999993"/>
    <n v="2620.8000000000011"/>
    <n v="0.32663642255346742"/>
    <x v="25"/>
    <n v="2620.8000000000011"/>
  </r>
  <r>
    <d v="2023-08-15T00:00:00"/>
    <x v="5"/>
    <x v="3"/>
    <x v="0"/>
    <n v="952.97"/>
    <n v="525.23"/>
    <n v="5"/>
    <n v="4764.8500000000004"/>
    <n v="2626.15"/>
    <n v="2138.7000000000003"/>
    <n v="0.44884938665435431"/>
    <x v="14"/>
    <n v="2138.7000000000003"/>
  </r>
  <r>
    <d v="2023-07-20T00:00:00"/>
    <x v="5"/>
    <x v="3"/>
    <x v="1"/>
    <n v="826.68"/>
    <n v="715.06"/>
    <n v="6"/>
    <n v="4960.08"/>
    <n v="4290.3599999999997"/>
    <n v="669.72000000000025"/>
    <n v="0.13502201577393919"/>
    <x v="11"/>
    <n v="669.72000000000025"/>
  </r>
  <r>
    <d v="2024-11-01T00:00:00"/>
    <x v="7"/>
    <x v="0"/>
    <x v="1"/>
    <n v="1146.68"/>
    <n v="761.08"/>
    <n v="4"/>
    <n v="4586.72"/>
    <n v="3044.32"/>
    <n v="1542.4"/>
    <n v="0.33627515959116755"/>
    <x v="2"/>
    <n v="1542.4"/>
  </r>
  <r>
    <d v="2022-03-10T00:00:00"/>
    <x v="5"/>
    <x v="3"/>
    <x v="2"/>
    <n v="391.94"/>
    <n v="197.31"/>
    <n v="10"/>
    <n v="3919.4"/>
    <n v="1973.1"/>
    <n v="1946.3000000000002"/>
    <n v="0.49658110935347249"/>
    <x v="7"/>
    <n v="1946.3000000000002"/>
  </r>
  <r>
    <d v="2023-06-07T00:00:00"/>
    <x v="10"/>
    <x v="2"/>
    <x v="3"/>
    <n v="1017.75"/>
    <n v="527.49"/>
    <n v="3"/>
    <n v="3053.25"/>
    <n v="1582.47"/>
    <n v="1470.78"/>
    <n v="0.48170965364775237"/>
    <x v="0"/>
    <n v="1470.78"/>
  </r>
  <r>
    <d v="2024-01-16T00:00:00"/>
    <x v="6"/>
    <x v="3"/>
    <x v="0"/>
    <n v="574.5"/>
    <n v="370.18"/>
    <n v="4"/>
    <n v="2298"/>
    <n v="1480.72"/>
    <n v="817.28"/>
    <n v="0.35564838990426456"/>
    <x v="26"/>
    <n v="817.28"/>
  </r>
  <r>
    <d v="2022-10-06T00:00:00"/>
    <x v="10"/>
    <x v="2"/>
    <x v="1"/>
    <n v="722.02"/>
    <n v="451.95"/>
    <n v="8"/>
    <n v="5776.16"/>
    <n v="3615.6"/>
    <n v="2160.56"/>
    <n v="0.3740478103099637"/>
    <x v="25"/>
    <n v="2160.56"/>
  </r>
  <r>
    <d v="2023-04-08T00:00:00"/>
    <x v="9"/>
    <x v="3"/>
    <x v="3"/>
    <n v="721.4"/>
    <n v="557.1"/>
    <n v="6"/>
    <n v="4328.3999999999996"/>
    <n v="3342.6000000000004"/>
    <n v="985.79999999999927"/>
    <n v="0.22775159412253937"/>
    <x v="6"/>
    <n v="985.79999999999927"/>
  </r>
  <r>
    <d v="2023-04-08T00:00:00"/>
    <x v="0"/>
    <x v="0"/>
    <x v="1"/>
    <n v="1901.79"/>
    <n v="1057.67"/>
    <n v="7"/>
    <n v="13312.529999999999"/>
    <n v="7403.6900000000005"/>
    <n v="5908.8399999999983"/>
    <n v="0.44385552558379204"/>
    <x v="6"/>
    <n v="5908.8399999999983"/>
  </r>
  <r>
    <d v="2022-03-13T00:00:00"/>
    <x v="6"/>
    <x v="3"/>
    <x v="2"/>
    <n v="1154.18"/>
    <n v="729.39"/>
    <n v="8"/>
    <n v="9233.44"/>
    <n v="5835.12"/>
    <n v="3398.3200000000006"/>
    <n v="0.36804484569131335"/>
    <x v="7"/>
    <n v="3398.3200000000006"/>
  </r>
  <r>
    <d v="2022-03-01T00:00:00"/>
    <x v="4"/>
    <x v="2"/>
    <x v="1"/>
    <n v="547.41999999999996"/>
    <n v="363.29"/>
    <n v="9"/>
    <n v="4926.78"/>
    <n v="3269.61"/>
    <n v="1657.1699999999996"/>
    <n v="0.33635965072522006"/>
    <x v="7"/>
    <n v="1657.1699999999996"/>
  </r>
  <r>
    <d v="2022-03-03T00:00:00"/>
    <x v="0"/>
    <x v="0"/>
    <x v="0"/>
    <n v="443.94"/>
    <n v="301.39999999999998"/>
    <n v="3"/>
    <n v="1331.82"/>
    <n v="904.19999999999993"/>
    <n v="427.62"/>
    <n v="0.32107942514754245"/>
    <x v="7"/>
    <n v="427.62"/>
  </r>
  <r>
    <d v="2024-10-07T00:00:00"/>
    <x v="4"/>
    <x v="2"/>
    <x v="2"/>
    <n v="1603.59"/>
    <n v="852.99"/>
    <n v="9"/>
    <n v="14432.31"/>
    <n v="7676.91"/>
    <n v="6755.4"/>
    <n v="0.46807475726339026"/>
    <x v="17"/>
    <n v="6755.4"/>
  </r>
  <r>
    <d v="2024-08-12T00:00:00"/>
    <x v="2"/>
    <x v="0"/>
    <x v="3"/>
    <n v="1094.28"/>
    <n v="934.77"/>
    <n v="9"/>
    <n v="9848.52"/>
    <n v="8412.93"/>
    <n v="1435.5900000000001"/>
    <n v="0.14576707972365391"/>
    <x v="21"/>
    <n v="1435.5900000000001"/>
  </r>
  <r>
    <d v="2023-09-19T00:00:00"/>
    <x v="3"/>
    <x v="2"/>
    <x v="3"/>
    <n v="22.23"/>
    <n v="15.14"/>
    <n v="10"/>
    <n v="222.3"/>
    <n v="151.4"/>
    <n v="70.900000000000006"/>
    <n v="0.31893837156995053"/>
    <x v="24"/>
    <n v="70.900000000000006"/>
  </r>
  <r>
    <d v="2022-05-10T00:00:00"/>
    <x v="5"/>
    <x v="3"/>
    <x v="3"/>
    <n v="830.6"/>
    <n v="618.53"/>
    <n v="3"/>
    <n v="2491.8000000000002"/>
    <n v="1855.59"/>
    <n v="636.21000000000026"/>
    <n v="0.25532145437033477"/>
    <x v="35"/>
    <n v="636.21000000000026"/>
  </r>
  <r>
    <d v="2024-02-19T00:00:00"/>
    <x v="5"/>
    <x v="3"/>
    <x v="1"/>
    <n v="225.49"/>
    <n v="186.95"/>
    <n v="6"/>
    <n v="1352.94"/>
    <n v="1121.6999999999998"/>
    <n v="231.24000000000024"/>
    <n v="0.17091667036232222"/>
    <x v="34"/>
    <n v="231.24000000000024"/>
  </r>
  <r>
    <d v="2022-10-15T00:00:00"/>
    <x v="10"/>
    <x v="2"/>
    <x v="1"/>
    <n v="1129.68"/>
    <n v="1014.99"/>
    <n v="8"/>
    <n v="9037.44"/>
    <n v="8119.92"/>
    <n v="917.52000000000044"/>
    <n v="0.10152432547270028"/>
    <x v="25"/>
    <n v="917.52000000000044"/>
  </r>
  <r>
    <d v="2024-01-23T00:00:00"/>
    <x v="2"/>
    <x v="0"/>
    <x v="2"/>
    <n v="653.35"/>
    <n v="355.95"/>
    <n v="9"/>
    <n v="5880.1500000000005"/>
    <n v="3203.5499999999997"/>
    <n v="2676.6000000000008"/>
    <n v="0.45519246957985776"/>
    <x v="26"/>
    <n v="2676.6000000000008"/>
  </r>
  <r>
    <d v="2023-09-21T00:00:00"/>
    <x v="3"/>
    <x v="2"/>
    <x v="1"/>
    <n v="1079.33"/>
    <n v="756.97"/>
    <n v="6"/>
    <n v="6475.98"/>
    <n v="4541.82"/>
    <n v="1934.1599999999999"/>
    <n v="0.29866676549340793"/>
    <x v="24"/>
    <n v="1934.1599999999999"/>
  </r>
  <r>
    <d v="2024-04-11T00:00:00"/>
    <x v="10"/>
    <x v="2"/>
    <x v="0"/>
    <n v="1687.89"/>
    <n v="1085.31"/>
    <n v="4"/>
    <n v="6751.56"/>
    <n v="4341.24"/>
    <n v="2410.3200000000006"/>
    <n v="0.35700193733003938"/>
    <x v="22"/>
    <n v="2410.3200000000006"/>
  </r>
  <r>
    <d v="2022-08-22T00:00:00"/>
    <x v="4"/>
    <x v="2"/>
    <x v="0"/>
    <n v="1318.45"/>
    <n v="817.06"/>
    <n v="5"/>
    <n v="6592.25"/>
    <n v="4085.2999999999997"/>
    <n v="2506.9500000000003"/>
    <n v="0.3802874587583906"/>
    <x v="15"/>
    <n v="2506.9500000000003"/>
  </r>
  <r>
    <d v="2022-03-25T00:00:00"/>
    <x v="2"/>
    <x v="0"/>
    <x v="0"/>
    <n v="29.33"/>
    <n v="19.21"/>
    <n v="8"/>
    <n v="234.64"/>
    <n v="153.68"/>
    <n v="80.95999999999998"/>
    <n v="0.34503920900102275"/>
    <x v="7"/>
    <n v="80.95999999999998"/>
  </r>
  <r>
    <d v="2023-02-26T00:00:00"/>
    <x v="4"/>
    <x v="2"/>
    <x v="1"/>
    <n v="1928.41"/>
    <n v="1044.29"/>
    <n v="6"/>
    <n v="11570.460000000001"/>
    <n v="6265.74"/>
    <n v="5304.7200000000012"/>
    <n v="0.4584709683106809"/>
    <x v="27"/>
    <n v="5304.7200000000012"/>
  </r>
  <r>
    <d v="2024-11-11T00:00:00"/>
    <x v="2"/>
    <x v="0"/>
    <x v="0"/>
    <n v="1137.1600000000001"/>
    <n v="650.16999999999996"/>
    <n v="8"/>
    <n v="9097.2800000000007"/>
    <n v="5201.3599999999997"/>
    <n v="3895.920000000001"/>
    <n v="0.42825108164198539"/>
    <x v="2"/>
    <n v="3895.920000000001"/>
  </r>
  <r>
    <d v="2023-01-26T00:00:00"/>
    <x v="3"/>
    <x v="2"/>
    <x v="0"/>
    <n v="45.06"/>
    <n v="23.69"/>
    <n v="3"/>
    <n v="135.18"/>
    <n v="71.070000000000007"/>
    <n v="64.11"/>
    <n v="0.47425654682645357"/>
    <x v="13"/>
    <n v="64.11"/>
  </r>
  <r>
    <d v="2024-07-16T00:00:00"/>
    <x v="1"/>
    <x v="1"/>
    <x v="1"/>
    <n v="663.02"/>
    <n v="365.15"/>
    <n v="10"/>
    <n v="6630.2"/>
    <n v="3651.5"/>
    <n v="2978.7"/>
    <n v="0.44926246568730954"/>
    <x v="28"/>
    <n v="2978.7"/>
  </r>
  <r>
    <d v="2022-05-02T00:00:00"/>
    <x v="9"/>
    <x v="3"/>
    <x v="3"/>
    <n v="125.26"/>
    <n v="87.94"/>
    <n v="7"/>
    <n v="876.82"/>
    <n v="615.57999999999993"/>
    <n v="261.24000000000012"/>
    <n v="0.29794028420884572"/>
    <x v="35"/>
    <n v="261.24000000000012"/>
  </r>
  <r>
    <d v="2024-06-30T00:00:00"/>
    <x v="1"/>
    <x v="1"/>
    <x v="3"/>
    <n v="1312.06"/>
    <n v="1125.58"/>
    <n v="7"/>
    <n v="9184.42"/>
    <n v="7879.0599999999995"/>
    <n v="1305.3600000000006"/>
    <n v="0.14212764660152744"/>
    <x v="4"/>
    <n v="1305.3600000000006"/>
  </r>
  <r>
    <d v="2024-04-20T00:00:00"/>
    <x v="3"/>
    <x v="2"/>
    <x v="0"/>
    <n v="824.04"/>
    <n v="636.17999999999995"/>
    <n v="9"/>
    <n v="7416.36"/>
    <n v="5725.62"/>
    <n v="1690.7399999999998"/>
    <n v="0.22797437017620503"/>
    <x v="22"/>
    <n v="1690.7399999999998"/>
  </r>
  <r>
    <d v="2023-04-16T00:00:00"/>
    <x v="5"/>
    <x v="3"/>
    <x v="2"/>
    <n v="207.7"/>
    <n v="129.53"/>
    <n v="6"/>
    <n v="1246.1999999999998"/>
    <n v="777.18000000000006"/>
    <n v="469.01999999999975"/>
    <n v="0.37636013480982172"/>
    <x v="6"/>
    <n v="469.01999999999975"/>
  </r>
  <r>
    <d v="2023-02-26T00:00:00"/>
    <x v="6"/>
    <x v="3"/>
    <x v="2"/>
    <n v="1217.3900000000001"/>
    <n v="1003.74"/>
    <n v="1"/>
    <n v="1217.3900000000001"/>
    <n v="1003.74"/>
    <n v="213.65000000000009"/>
    <n v="0.17549840231971683"/>
    <x v="27"/>
    <n v="213.65000000000009"/>
  </r>
  <r>
    <d v="2022-02-01T00:00:00"/>
    <x v="6"/>
    <x v="3"/>
    <x v="2"/>
    <n v="679.43"/>
    <n v="359.48"/>
    <n v="7"/>
    <n v="4756.0099999999993"/>
    <n v="2516.36"/>
    <n v="2239.6499999999992"/>
    <n v="0.47090943879428332"/>
    <x v="20"/>
    <n v="2239.6499999999992"/>
  </r>
  <r>
    <d v="2024-01-31T00:00:00"/>
    <x v="8"/>
    <x v="1"/>
    <x v="0"/>
    <n v="526.47"/>
    <n v="438.47"/>
    <n v="9"/>
    <n v="4738.2300000000005"/>
    <n v="3946.2300000000005"/>
    <n v="792"/>
    <n v="0.1671510247497483"/>
    <x v="26"/>
    <n v="792"/>
  </r>
  <r>
    <d v="2023-09-12T00:00:00"/>
    <x v="4"/>
    <x v="2"/>
    <x v="1"/>
    <n v="941.09"/>
    <n v="752.81"/>
    <n v="6"/>
    <n v="5646.54"/>
    <n v="4516.8599999999997"/>
    <n v="1129.6800000000003"/>
    <n v="0.20006588105282178"/>
    <x v="24"/>
    <n v="1129.6800000000003"/>
  </r>
  <r>
    <d v="2023-05-02T00:00:00"/>
    <x v="9"/>
    <x v="3"/>
    <x v="1"/>
    <n v="1548.69"/>
    <n v="922.58"/>
    <n v="8"/>
    <n v="12389.52"/>
    <n v="7380.64"/>
    <n v="5008.88"/>
    <n v="0.40428362035010235"/>
    <x v="31"/>
    <n v="5008.88"/>
  </r>
  <r>
    <d v="2024-08-27T00:00:00"/>
    <x v="10"/>
    <x v="2"/>
    <x v="1"/>
    <n v="627.45000000000005"/>
    <n v="324.19"/>
    <n v="10"/>
    <n v="6274.5"/>
    <n v="3241.9"/>
    <n v="3032.6"/>
    <n v="0.48332138018965654"/>
    <x v="21"/>
    <n v="3032.6"/>
  </r>
  <r>
    <d v="2024-04-19T00:00:00"/>
    <x v="3"/>
    <x v="2"/>
    <x v="0"/>
    <n v="562.62"/>
    <n v="390.38"/>
    <n v="5"/>
    <n v="2813.1"/>
    <n v="1951.9"/>
    <n v="861.19999999999982"/>
    <n v="0.30613913476236176"/>
    <x v="22"/>
    <n v="861.19999999999982"/>
  </r>
  <r>
    <d v="2022-03-08T00:00:00"/>
    <x v="0"/>
    <x v="0"/>
    <x v="2"/>
    <n v="1887.81"/>
    <n v="1394.58"/>
    <n v="10"/>
    <n v="18878.099999999999"/>
    <n v="13945.8"/>
    <n v="4932.2999999999993"/>
    <n v="0.26127099655155972"/>
    <x v="7"/>
    <n v="4932.2999999999993"/>
  </r>
  <r>
    <d v="2024-06-02T00:00:00"/>
    <x v="9"/>
    <x v="3"/>
    <x v="0"/>
    <n v="235.9"/>
    <n v="138.83000000000001"/>
    <n v="9"/>
    <n v="2123.1"/>
    <n v="1249.47"/>
    <n v="873.62999999999988"/>
    <n v="0.41148791860958028"/>
    <x v="4"/>
    <n v="873.62999999999988"/>
  </r>
  <r>
    <d v="2024-07-31T00:00:00"/>
    <x v="7"/>
    <x v="0"/>
    <x v="2"/>
    <n v="773.82"/>
    <n v="400.04"/>
    <n v="7"/>
    <n v="5416.7400000000007"/>
    <n v="2800.28"/>
    <n v="2616.4600000000005"/>
    <n v="0.48303222971750537"/>
    <x v="28"/>
    <n v="2616.4600000000005"/>
  </r>
  <r>
    <d v="2022-12-23T00:00:00"/>
    <x v="4"/>
    <x v="2"/>
    <x v="2"/>
    <n v="694.89"/>
    <n v="380.9"/>
    <n v="3"/>
    <n v="2084.67"/>
    <n v="1142.6999999999998"/>
    <n v="941.97000000000025"/>
    <n v="0.45185568938968768"/>
    <x v="33"/>
    <n v="941.97000000000025"/>
  </r>
  <r>
    <d v="2024-12-29T00:00:00"/>
    <x v="2"/>
    <x v="0"/>
    <x v="3"/>
    <n v="850.02"/>
    <n v="761.19"/>
    <n v="4"/>
    <n v="3400.08"/>
    <n v="3044.76"/>
    <n v="355.31999999999971"/>
    <n v="0.10450342344885995"/>
    <x v="23"/>
    <n v="355.31999999999971"/>
  </r>
  <r>
    <d v="2024-03-24T00:00:00"/>
    <x v="8"/>
    <x v="1"/>
    <x v="3"/>
    <n v="1227.27"/>
    <n v="1069.6199999999999"/>
    <n v="1"/>
    <n v="1227.27"/>
    <n v="1069.6199999999999"/>
    <n v="157.65000000000009"/>
    <n v="0.1284558410129801"/>
    <x v="29"/>
    <n v="157.65000000000009"/>
  </r>
  <r>
    <d v="2023-08-11T00:00:00"/>
    <x v="7"/>
    <x v="0"/>
    <x v="2"/>
    <n v="1849.22"/>
    <n v="1570.02"/>
    <n v="6"/>
    <n v="11095.32"/>
    <n v="9420.119999999999"/>
    <n v="1675.2000000000007"/>
    <n v="0.15098257643763324"/>
    <x v="14"/>
    <n v="1675.2000000000007"/>
  </r>
  <r>
    <d v="2022-08-30T00:00:00"/>
    <x v="10"/>
    <x v="2"/>
    <x v="1"/>
    <n v="1924.4"/>
    <n v="1163.17"/>
    <n v="1"/>
    <n v="1924.4"/>
    <n v="1163.17"/>
    <n v="761.23"/>
    <n v="0.39556744959467888"/>
    <x v="15"/>
    <n v="761.23"/>
  </r>
  <r>
    <d v="2024-05-17T00:00:00"/>
    <x v="4"/>
    <x v="2"/>
    <x v="0"/>
    <n v="1371.94"/>
    <n v="968.07"/>
    <n v="7"/>
    <n v="9603.58"/>
    <n v="6776.4900000000007"/>
    <n v="2827.0899999999992"/>
    <n v="0.29437876291966114"/>
    <x v="3"/>
    <n v="2827.0899999999992"/>
  </r>
  <r>
    <d v="2023-01-31T00:00:00"/>
    <x v="2"/>
    <x v="0"/>
    <x v="0"/>
    <n v="1446.13"/>
    <n v="1124.5"/>
    <n v="7"/>
    <n v="10122.91"/>
    <n v="7871.5"/>
    <n v="2251.41"/>
    <n v="0.22240739076016677"/>
    <x v="13"/>
    <n v="2251.41"/>
  </r>
  <r>
    <d v="2024-06-11T00:00:00"/>
    <x v="9"/>
    <x v="3"/>
    <x v="0"/>
    <n v="1476.33"/>
    <n v="962.41"/>
    <n v="7"/>
    <n v="10334.31"/>
    <n v="6736.87"/>
    <n v="3597.4399999999996"/>
    <n v="0.34810645316426542"/>
    <x v="4"/>
    <n v="3597.4399999999996"/>
  </r>
  <r>
    <d v="2023-03-18T00:00:00"/>
    <x v="6"/>
    <x v="3"/>
    <x v="1"/>
    <n v="768.26"/>
    <n v="457.09"/>
    <n v="5"/>
    <n v="3841.3"/>
    <n v="2285.4499999999998"/>
    <n v="1555.8500000000004"/>
    <n v="0.40503215057402447"/>
    <x v="19"/>
    <n v="1555.8500000000004"/>
  </r>
  <r>
    <d v="2024-02-10T00:00:00"/>
    <x v="0"/>
    <x v="0"/>
    <x v="2"/>
    <n v="185.9"/>
    <n v="127.61"/>
    <n v="4"/>
    <n v="743.6"/>
    <n v="510.44"/>
    <n v="233.16000000000003"/>
    <n v="0.31355567509413668"/>
    <x v="34"/>
    <n v="233.16000000000003"/>
  </r>
  <r>
    <d v="2022-09-19T00:00:00"/>
    <x v="6"/>
    <x v="3"/>
    <x v="0"/>
    <n v="363.38"/>
    <n v="225.73"/>
    <n v="4"/>
    <n v="1453.52"/>
    <n v="902.92"/>
    <n v="550.6"/>
    <n v="0.37880455721283507"/>
    <x v="12"/>
    <n v="550.6"/>
  </r>
  <r>
    <d v="2022-01-07T00:00:00"/>
    <x v="1"/>
    <x v="1"/>
    <x v="1"/>
    <n v="1548.48"/>
    <n v="921.48"/>
    <n v="3"/>
    <n v="4645.4400000000005"/>
    <n v="2764.44"/>
    <n v="1881.0000000000005"/>
    <n v="0.40491320520768759"/>
    <x v="9"/>
    <n v="1881.0000000000005"/>
  </r>
  <r>
    <d v="2024-05-07T00:00:00"/>
    <x v="4"/>
    <x v="2"/>
    <x v="2"/>
    <n v="505.61"/>
    <n v="331.12"/>
    <n v="10"/>
    <n v="5056.1000000000004"/>
    <n v="3311.2"/>
    <n v="1744.9000000000005"/>
    <n v="0.34510788948003412"/>
    <x v="3"/>
    <n v="1744.9000000000005"/>
  </r>
  <r>
    <d v="2023-01-12T00:00:00"/>
    <x v="0"/>
    <x v="0"/>
    <x v="3"/>
    <n v="1025.5899999999999"/>
    <n v="641.03"/>
    <n v="5"/>
    <n v="5127.95"/>
    <n v="3205.1499999999996"/>
    <n v="1922.8000000000002"/>
    <n v="0.37496465449156102"/>
    <x v="13"/>
    <n v="1922.8000000000002"/>
  </r>
  <r>
    <d v="2022-02-14T00:00:00"/>
    <x v="8"/>
    <x v="1"/>
    <x v="1"/>
    <n v="386.52"/>
    <n v="294.12"/>
    <n v="10"/>
    <n v="3865.2"/>
    <n v="2941.2"/>
    <n v="924"/>
    <n v="0.23905619372865572"/>
    <x v="20"/>
    <n v="924"/>
  </r>
  <r>
    <d v="2022-06-19T00:00:00"/>
    <x v="2"/>
    <x v="0"/>
    <x v="0"/>
    <n v="537.82000000000005"/>
    <n v="311.93"/>
    <n v="7"/>
    <n v="3764.7400000000002"/>
    <n v="2183.5100000000002"/>
    <n v="1581.23"/>
    <n v="0.42001041240563758"/>
    <x v="18"/>
    <n v="1581.23"/>
  </r>
  <r>
    <d v="2022-04-20T00:00:00"/>
    <x v="5"/>
    <x v="3"/>
    <x v="1"/>
    <n v="1006.77"/>
    <n v="852.15"/>
    <n v="3"/>
    <n v="3020.31"/>
    <n v="2556.4499999999998"/>
    <n v="463.86000000000013"/>
    <n v="0.15358026162877325"/>
    <x v="32"/>
    <n v="463.86000000000013"/>
  </r>
  <r>
    <d v="2024-03-23T00:00:00"/>
    <x v="3"/>
    <x v="2"/>
    <x v="3"/>
    <n v="1612.6"/>
    <n v="1357.74"/>
    <n v="4"/>
    <n v="6450.4"/>
    <n v="5430.96"/>
    <n v="1019.4399999999996"/>
    <n v="0.15804291206746862"/>
    <x v="29"/>
    <n v="1019.4399999999996"/>
  </r>
  <r>
    <d v="2024-03-02T00:00:00"/>
    <x v="7"/>
    <x v="0"/>
    <x v="1"/>
    <n v="1450.45"/>
    <n v="1289.6099999999999"/>
    <n v="6"/>
    <n v="8702.7000000000007"/>
    <n v="7737.66"/>
    <n v="965.04000000000087"/>
    <n v="0.11088972387879632"/>
    <x v="29"/>
    <n v="965.04000000000087"/>
  </r>
  <r>
    <d v="2023-10-17T00:00:00"/>
    <x v="1"/>
    <x v="1"/>
    <x v="1"/>
    <n v="860.22"/>
    <n v="467.76"/>
    <n v="3"/>
    <n v="2580.66"/>
    <n v="1403.28"/>
    <n v="1177.3799999999999"/>
    <n v="0.45623212666527163"/>
    <x v="5"/>
    <n v="1177.3799999999999"/>
  </r>
  <r>
    <d v="2023-02-14T00:00:00"/>
    <x v="5"/>
    <x v="3"/>
    <x v="3"/>
    <n v="1123.27"/>
    <n v="788.13"/>
    <n v="10"/>
    <n v="11232.7"/>
    <n v="7881.3"/>
    <n v="3351.4000000000005"/>
    <n v="0.29836103519189511"/>
    <x v="27"/>
    <n v="3351.4000000000005"/>
  </r>
  <r>
    <d v="2024-02-10T00:00:00"/>
    <x v="10"/>
    <x v="2"/>
    <x v="1"/>
    <n v="746.86"/>
    <n v="550.76"/>
    <n v="7"/>
    <n v="5228.0200000000004"/>
    <n v="3855.3199999999997"/>
    <n v="1372.7000000000007"/>
    <n v="0.26256594274696743"/>
    <x v="34"/>
    <n v="1372.7000000000007"/>
  </r>
  <r>
    <d v="2023-10-08T00:00:00"/>
    <x v="6"/>
    <x v="3"/>
    <x v="0"/>
    <n v="735.4"/>
    <n v="441.05"/>
    <n v="2"/>
    <n v="1470.8"/>
    <n v="882.1"/>
    <n v="588.69999999999993"/>
    <n v="0.40025836279575738"/>
    <x v="5"/>
    <n v="588.69999999999993"/>
  </r>
  <r>
    <d v="2024-09-23T00:00:00"/>
    <x v="7"/>
    <x v="0"/>
    <x v="1"/>
    <n v="1819.64"/>
    <n v="1442.38"/>
    <n v="7"/>
    <n v="12737.480000000001"/>
    <n v="10096.66"/>
    <n v="2640.8200000000015"/>
    <n v="0.20732672396737825"/>
    <x v="16"/>
    <n v="2640.8200000000015"/>
  </r>
  <r>
    <d v="2024-10-29T00:00:00"/>
    <x v="4"/>
    <x v="2"/>
    <x v="3"/>
    <n v="316.05"/>
    <n v="222.69"/>
    <n v="4"/>
    <n v="1264.2"/>
    <n v="890.76"/>
    <n v="373.44000000000005"/>
    <n v="0.29539629805410539"/>
    <x v="17"/>
    <n v="373.44000000000005"/>
  </r>
  <r>
    <d v="2024-04-14T00:00:00"/>
    <x v="8"/>
    <x v="1"/>
    <x v="0"/>
    <n v="1858.77"/>
    <n v="1047.8599999999999"/>
    <n v="2"/>
    <n v="3717.54"/>
    <n v="2095.7199999999998"/>
    <n v="1621.8200000000002"/>
    <n v="0.43626161386293089"/>
    <x v="22"/>
    <n v="1621.8200000000002"/>
  </r>
  <r>
    <d v="2024-12-16T00:00:00"/>
    <x v="10"/>
    <x v="2"/>
    <x v="0"/>
    <n v="526.17999999999995"/>
    <n v="385.35"/>
    <n v="2"/>
    <n v="1052.3599999999999"/>
    <n v="770.7"/>
    <n v="281.65999999999985"/>
    <n v="0.26764605268159175"/>
    <x v="23"/>
    <n v="281.65999999999985"/>
  </r>
  <r>
    <d v="2023-11-15T00:00:00"/>
    <x v="1"/>
    <x v="1"/>
    <x v="1"/>
    <n v="1449.91"/>
    <n v="1304.31"/>
    <n v="6"/>
    <n v="8699.4600000000009"/>
    <n v="7825.86"/>
    <n v="873.60000000000127"/>
    <n v="0.10042002607058383"/>
    <x v="10"/>
    <n v="873.60000000000127"/>
  </r>
  <r>
    <d v="2024-11-30T00:00:00"/>
    <x v="3"/>
    <x v="2"/>
    <x v="3"/>
    <n v="1957.27"/>
    <n v="1571.26"/>
    <n v="7"/>
    <n v="13700.89"/>
    <n v="10998.82"/>
    <n v="2702.0699999999997"/>
    <n v="0.19721857485170671"/>
    <x v="2"/>
    <n v="2702.0699999999997"/>
  </r>
  <r>
    <d v="2024-04-18T00:00:00"/>
    <x v="6"/>
    <x v="3"/>
    <x v="3"/>
    <n v="1323.91"/>
    <n v="773.19"/>
    <n v="3"/>
    <n v="3971.7300000000005"/>
    <n v="2319.5700000000002"/>
    <n v="1652.1600000000003"/>
    <n v="0.41597993821332269"/>
    <x v="22"/>
    <n v="1652.1600000000003"/>
  </r>
  <r>
    <d v="2023-07-24T00:00:00"/>
    <x v="5"/>
    <x v="3"/>
    <x v="0"/>
    <n v="659"/>
    <n v="556.94000000000005"/>
    <n v="3"/>
    <n v="1977"/>
    <n v="1670.8200000000002"/>
    <n v="306.17999999999984"/>
    <n v="0.15487101669195744"/>
    <x v="11"/>
    <n v="306.17999999999984"/>
  </r>
  <r>
    <d v="2023-04-16T00:00:00"/>
    <x v="2"/>
    <x v="0"/>
    <x v="3"/>
    <n v="1856"/>
    <n v="1387.99"/>
    <n v="6"/>
    <n v="11136"/>
    <n v="8327.94"/>
    <n v="2808.0599999999995"/>
    <n v="0.25216056034482753"/>
    <x v="6"/>
    <n v="2808.0599999999995"/>
  </r>
  <r>
    <d v="2024-10-02T00:00:00"/>
    <x v="10"/>
    <x v="2"/>
    <x v="3"/>
    <n v="1768.23"/>
    <n v="1228.04"/>
    <n v="3"/>
    <n v="5304.6900000000005"/>
    <n v="3684.12"/>
    <n v="1620.5700000000006"/>
    <n v="0.30549758798346377"/>
    <x v="17"/>
    <n v="1620.5700000000006"/>
  </r>
  <r>
    <d v="2022-06-26T00:00:00"/>
    <x v="0"/>
    <x v="0"/>
    <x v="2"/>
    <n v="983.55"/>
    <n v="856.17"/>
    <n v="5"/>
    <n v="4917.75"/>
    <n v="4280.8499999999995"/>
    <n v="636.90000000000055"/>
    <n v="0.12951044685069402"/>
    <x v="18"/>
    <n v="636.90000000000055"/>
  </r>
  <r>
    <d v="2023-06-07T00:00:00"/>
    <x v="9"/>
    <x v="3"/>
    <x v="3"/>
    <n v="1622.07"/>
    <n v="1109.79"/>
    <n v="5"/>
    <n v="8110.3499999999995"/>
    <n v="5548.95"/>
    <n v="2561.3999999999996"/>
    <n v="0.31581867613604836"/>
    <x v="0"/>
    <n v="2561.3999999999996"/>
  </r>
  <r>
    <d v="2023-03-10T00:00:00"/>
    <x v="0"/>
    <x v="0"/>
    <x v="3"/>
    <n v="78.66"/>
    <n v="68.48"/>
    <n v="4"/>
    <n v="314.64"/>
    <n v="273.92"/>
    <n v="40.71999999999997"/>
    <n v="0.12941774726671743"/>
    <x v="19"/>
    <n v="40.71999999999997"/>
  </r>
  <r>
    <d v="2024-02-24T00:00:00"/>
    <x v="3"/>
    <x v="2"/>
    <x v="0"/>
    <n v="265.38"/>
    <n v="199.59"/>
    <n v="6"/>
    <n v="1592.28"/>
    <n v="1197.54"/>
    <n v="394.74"/>
    <n v="0.24790865928103098"/>
    <x v="34"/>
    <n v="394.74"/>
  </r>
  <r>
    <d v="2024-06-19T00:00:00"/>
    <x v="5"/>
    <x v="3"/>
    <x v="2"/>
    <n v="1769.46"/>
    <n v="1366.53"/>
    <n v="2"/>
    <n v="3538.92"/>
    <n v="2733.06"/>
    <n v="805.86000000000013"/>
    <n v="0.22771353972398362"/>
    <x v="4"/>
    <n v="805.86000000000013"/>
  </r>
  <r>
    <d v="2023-11-09T00:00:00"/>
    <x v="6"/>
    <x v="3"/>
    <x v="3"/>
    <n v="405.31"/>
    <n v="221.1"/>
    <n v="9"/>
    <n v="3647.79"/>
    <n v="1989.8999999999999"/>
    <n v="1657.89"/>
    <n v="0.45449162369544305"/>
    <x v="10"/>
    <n v="1657.89"/>
  </r>
  <r>
    <d v="2024-02-02T00:00:00"/>
    <x v="3"/>
    <x v="2"/>
    <x v="0"/>
    <n v="1577.87"/>
    <n v="949.77"/>
    <n v="2"/>
    <n v="3155.74"/>
    <n v="1899.54"/>
    <n v="1256.1999999999998"/>
    <n v="0.39806828192436639"/>
    <x v="34"/>
    <n v="1256.1999999999998"/>
  </r>
  <r>
    <d v="2023-02-17T00:00:00"/>
    <x v="0"/>
    <x v="0"/>
    <x v="2"/>
    <n v="1282.0899999999999"/>
    <n v="707.89"/>
    <n v="1"/>
    <n v="1282.0899999999999"/>
    <n v="707.89"/>
    <n v="574.19999999999993"/>
    <n v="0.44786247455326844"/>
    <x v="27"/>
    <n v="574.19999999999993"/>
  </r>
  <r>
    <d v="2024-04-26T00:00:00"/>
    <x v="7"/>
    <x v="0"/>
    <x v="1"/>
    <n v="582.41"/>
    <n v="513.29"/>
    <n v="4"/>
    <n v="2329.64"/>
    <n v="2053.16"/>
    <n v="276.48"/>
    <n v="0.11867928091894028"/>
    <x v="22"/>
    <n v="276.48"/>
  </r>
  <r>
    <d v="2022-10-25T00:00:00"/>
    <x v="7"/>
    <x v="0"/>
    <x v="0"/>
    <n v="402.54"/>
    <n v="338.39"/>
    <n v="6"/>
    <n v="2415.2400000000002"/>
    <n v="2030.34"/>
    <n v="384.90000000000032"/>
    <n v="0.15936304466636866"/>
    <x v="25"/>
    <n v="384.90000000000032"/>
  </r>
  <r>
    <d v="2022-05-16T00:00:00"/>
    <x v="5"/>
    <x v="3"/>
    <x v="3"/>
    <n v="1646.38"/>
    <n v="1089.6600000000001"/>
    <n v="6"/>
    <n v="9878.2800000000007"/>
    <n v="6537.9600000000009"/>
    <n v="3340.3199999999997"/>
    <n v="0.33814793668533383"/>
    <x v="35"/>
    <n v="3340.3199999999997"/>
  </r>
  <r>
    <d v="2023-06-03T00:00:00"/>
    <x v="6"/>
    <x v="3"/>
    <x v="2"/>
    <n v="1906.41"/>
    <n v="1300.94"/>
    <n v="4"/>
    <n v="7625.64"/>
    <n v="5203.76"/>
    <n v="2421.88"/>
    <n v="0.31759694923967036"/>
    <x v="0"/>
    <n v="2421.88"/>
  </r>
  <r>
    <d v="2023-10-18T00:00:00"/>
    <x v="9"/>
    <x v="3"/>
    <x v="3"/>
    <n v="132.66999999999999"/>
    <n v="90.21"/>
    <n v="8"/>
    <n v="1061.3599999999999"/>
    <n v="721.68"/>
    <n v="339.67999999999995"/>
    <n v="0.32004220999472371"/>
    <x v="5"/>
    <n v="339.67999999999995"/>
  </r>
  <r>
    <d v="2022-04-23T00:00:00"/>
    <x v="0"/>
    <x v="0"/>
    <x v="3"/>
    <n v="35.15"/>
    <n v="28.92"/>
    <n v="3"/>
    <n v="105.44999999999999"/>
    <n v="86.76"/>
    <n v="18.689999999999984"/>
    <n v="0.17724039829302973"/>
    <x v="32"/>
    <n v="18.689999999999984"/>
  </r>
  <r>
    <d v="2022-11-25T00:00:00"/>
    <x v="1"/>
    <x v="1"/>
    <x v="3"/>
    <n v="798.66"/>
    <n v="541"/>
    <n v="2"/>
    <n v="1597.32"/>
    <n v="1082"/>
    <n v="515.31999999999994"/>
    <n v="0.32261538076277763"/>
    <x v="1"/>
    <n v="515.31999999999994"/>
  </r>
  <r>
    <d v="2024-03-31T00:00:00"/>
    <x v="9"/>
    <x v="3"/>
    <x v="1"/>
    <n v="1675.85"/>
    <n v="932.14"/>
    <n v="3"/>
    <n v="5027.5499999999993"/>
    <n v="2796.42"/>
    <n v="2231.1299999999992"/>
    <n v="0.44378076796849353"/>
    <x v="29"/>
    <n v="2231.1299999999992"/>
  </r>
  <r>
    <d v="2024-06-24T00:00:00"/>
    <x v="7"/>
    <x v="0"/>
    <x v="2"/>
    <n v="1951.99"/>
    <n v="1169.8800000000001"/>
    <n v="8"/>
    <n v="15615.92"/>
    <n v="9359.0400000000009"/>
    <n v="6256.8799999999992"/>
    <n v="0.40067315918626628"/>
    <x v="4"/>
    <n v="6256.8799999999992"/>
  </r>
  <r>
    <d v="2024-07-03T00:00:00"/>
    <x v="2"/>
    <x v="0"/>
    <x v="3"/>
    <n v="608.02"/>
    <n v="372.71"/>
    <n v="4"/>
    <n v="2432.08"/>
    <n v="1490.84"/>
    <n v="941.24"/>
    <n v="0.38701029571395679"/>
    <x v="28"/>
    <n v="941.24"/>
  </r>
  <r>
    <d v="2024-12-05T00:00:00"/>
    <x v="10"/>
    <x v="2"/>
    <x v="2"/>
    <n v="661.52"/>
    <n v="445.01"/>
    <n v="3"/>
    <n v="1984.56"/>
    <n v="1335.03"/>
    <n v="649.53"/>
    <n v="0.32729169186116819"/>
    <x v="23"/>
    <n v="649.53"/>
  </r>
  <r>
    <d v="2022-07-22T00:00:00"/>
    <x v="7"/>
    <x v="0"/>
    <x v="0"/>
    <n v="1193.76"/>
    <n v="772.45"/>
    <n v="5"/>
    <n v="5968.8"/>
    <n v="3862.25"/>
    <n v="2106.5500000000002"/>
    <n v="0.35292688647634368"/>
    <x v="8"/>
    <n v="2106.5500000000002"/>
  </r>
  <r>
    <d v="2022-12-26T00:00:00"/>
    <x v="4"/>
    <x v="2"/>
    <x v="0"/>
    <n v="1520.81"/>
    <n v="1139.48"/>
    <n v="1"/>
    <n v="1520.81"/>
    <n v="1139.48"/>
    <n v="381.32999999999993"/>
    <n v="0.2507413812376299"/>
    <x v="33"/>
    <n v="381.32999999999993"/>
  </r>
  <r>
    <d v="2022-12-03T00:00:00"/>
    <x v="9"/>
    <x v="3"/>
    <x v="1"/>
    <n v="1808.84"/>
    <n v="985.41"/>
    <n v="4"/>
    <n v="7235.36"/>
    <n v="3941.64"/>
    <n v="3293.72"/>
    <n v="0.45522544835364098"/>
    <x v="33"/>
    <n v="3293.72"/>
  </r>
  <r>
    <d v="2022-01-30T00:00:00"/>
    <x v="1"/>
    <x v="1"/>
    <x v="2"/>
    <n v="1832.05"/>
    <n v="926.25"/>
    <n v="10"/>
    <n v="18320.5"/>
    <n v="9262.5"/>
    <n v="9058"/>
    <n v="0.49441882044704022"/>
    <x v="9"/>
    <n v="9058"/>
  </r>
  <r>
    <d v="2023-03-17T00:00:00"/>
    <x v="2"/>
    <x v="0"/>
    <x v="0"/>
    <n v="1527.25"/>
    <n v="772.68"/>
    <n v="5"/>
    <n v="7636.25"/>
    <n v="3863.3999999999996"/>
    <n v="3772.8500000000004"/>
    <n v="0.49407104272385011"/>
    <x v="19"/>
    <n v="3772.8500000000004"/>
  </r>
  <r>
    <d v="2022-04-13T00:00:00"/>
    <x v="4"/>
    <x v="2"/>
    <x v="0"/>
    <n v="1902.08"/>
    <n v="1217.47"/>
    <n v="7"/>
    <n v="13314.56"/>
    <n v="8522.2900000000009"/>
    <n v="4792.2699999999986"/>
    <n v="0.35992702725437409"/>
    <x v="32"/>
    <n v="4792.2699999999986"/>
  </r>
  <r>
    <d v="2022-03-18T00:00:00"/>
    <x v="6"/>
    <x v="3"/>
    <x v="1"/>
    <n v="1580.46"/>
    <n v="1229.52"/>
    <n v="2"/>
    <n v="3160.92"/>
    <n v="2459.04"/>
    <n v="701.88000000000011"/>
    <n v="0.22204927679283248"/>
    <x v="7"/>
    <n v="701.88000000000011"/>
  </r>
  <r>
    <d v="2022-04-04T00:00:00"/>
    <x v="5"/>
    <x v="3"/>
    <x v="0"/>
    <n v="149.32"/>
    <n v="113.81"/>
    <n v="10"/>
    <n v="1493.1999999999998"/>
    <n v="1138.0999999999999"/>
    <n v="355.09999999999991"/>
    <n v="0.23781141173319043"/>
    <x v="32"/>
    <n v="355.09999999999991"/>
  </r>
  <r>
    <d v="2024-11-22T00:00:00"/>
    <x v="1"/>
    <x v="1"/>
    <x v="3"/>
    <n v="1774.53"/>
    <n v="1491.39"/>
    <n v="2"/>
    <n v="3549.06"/>
    <n v="2982.78"/>
    <n v="566.27999999999975"/>
    <n v="0.15955774205000753"/>
    <x v="2"/>
    <n v="566.27999999999975"/>
  </r>
  <r>
    <d v="2023-09-26T00:00:00"/>
    <x v="4"/>
    <x v="2"/>
    <x v="0"/>
    <n v="1828.27"/>
    <n v="1202.83"/>
    <n v="4"/>
    <n v="7313.08"/>
    <n v="4811.32"/>
    <n v="2501.7600000000002"/>
    <n v="0.342093892040016"/>
    <x v="24"/>
    <n v="2501.7600000000002"/>
  </r>
  <r>
    <d v="2023-12-24T00:00:00"/>
    <x v="8"/>
    <x v="1"/>
    <x v="3"/>
    <n v="1052.1400000000001"/>
    <n v="745.91"/>
    <n v="4"/>
    <n v="4208.5600000000004"/>
    <n v="2983.64"/>
    <n v="1224.9200000000005"/>
    <n v="0.29105442241526802"/>
    <x v="30"/>
    <n v="1224.9200000000005"/>
  </r>
  <r>
    <d v="2023-11-10T00:00:00"/>
    <x v="5"/>
    <x v="3"/>
    <x v="1"/>
    <n v="1372.82"/>
    <n v="1018.84"/>
    <n v="4"/>
    <n v="5491.28"/>
    <n v="4075.36"/>
    <n v="1415.9199999999996"/>
    <n v="0.25784880756399231"/>
    <x v="10"/>
    <n v="1415.9199999999996"/>
  </r>
  <r>
    <d v="2023-08-04T00:00:00"/>
    <x v="8"/>
    <x v="1"/>
    <x v="2"/>
    <n v="891.53"/>
    <n v="705.58"/>
    <n v="4"/>
    <n v="3566.12"/>
    <n v="2822.32"/>
    <n v="743.79999999999973"/>
    <n v="0.20857402442991255"/>
    <x v="14"/>
    <n v="743.79999999999973"/>
  </r>
  <r>
    <d v="2022-10-28T00:00:00"/>
    <x v="6"/>
    <x v="3"/>
    <x v="1"/>
    <n v="1329.51"/>
    <n v="671.01"/>
    <n v="8"/>
    <n v="10636.08"/>
    <n v="5368.08"/>
    <n v="5268"/>
    <n v="0.49529525915562878"/>
    <x v="25"/>
    <n v="5268"/>
  </r>
  <r>
    <d v="2024-01-18T00:00:00"/>
    <x v="10"/>
    <x v="2"/>
    <x v="0"/>
    <n v="240.53"/>
    <n v="144.27000000000001"/>
    <n v="5"/>
    <n v="1202.6500000000001"/>
    <n v="721.35"/>
    <n v="481.30000000000007"/>
    <n v="0.40019955930653145"/>
    <x v="26"/>
    <n v="481.30000000000007"/>
  </r>
  <r>
    <d v="2024-07-16T00:00:00"/>
    <x v="2"/>
    <x v="0"/>
    <x v="3"/>
    <n v="1035.57"/>
    <n v="653.99"/>
    <n v="10"/>
    <n v="10355.699999999999"/>
    <n v="6539.9"/>
    <n v="3815.7999999999993"/>
    <n v="0.36847340112208732"/>
    <x v="28"/>
    <n v="3815.7999999999993"/>
  </r>
  <r>
    <d v="2022-12-18T00:00:00"/>
    <x v="0"/>
    <x v="0"/>
    <x v="1"/>
    <n v="334.54"/>
    <n v="277.91000000000003"/>
    <n v="2"/>
    <n v="669.08"/>
    <n v="555.82000000000005"/>
    <n v="113.25999999999999"/>
    <n v="0.16927721647635557"/>
    <x v="33"/>
    <n v="113.25999999999999"/>
  </r>
  <r>
    <d v="2022-06-25T00:00:00"/>
    <x v="9"/>
    <x v="3"/>
    <x v="1"/>
    <n v="368.78"/>
    <n v="252.45"/>
    <n v="1"/>
    <n v="368.78"/>
    <n v="252.45"/>
    <n v="116.32999999999998"/>
    <n v="0.3154455230760887"/>
    <x v="18"/>
    <n v="116.32999999999998"/>
  </r>
  <r>
    <d v="2022-07-07T00:00:00"/>
    <x v="6"/>
    <x v="3"/>
    <x v="1"/>
    <n v="1532.83"/>
    <n v="1116.3900000000001"/>
    <n v="8"/>
    <n v="12262.64"/>
    <n v="8931.1200000000008"/>
    <n v="3331.5199999999986"/>
    <n v="0.27168048642054232"/>
    <x v="8"/>
    <n v="3331.5199999999986"/>
  </r>
  <r>
    <d v="2024-01-10T00:00:00"/>
    <x v="2"/>
    <x v="0"/>
    <x v="0"/>
    <n v="614.91"/>
    <n v="395.4"/>
    <n v="6"/>
    <n v="3689.46"/>
    <n v="2372.3999999999996"/>
    <n v="1317.0600000000004"/>
    <n v="0.35697907010782076"/>
    <x v="26"/>
    <n v="1317.0600000000004"/>
  </r>
  <r>
    <d v="2023-05-01T00:00:00"/>
    <x v="6"/>
    <x v="3"/>
    <x v="1"/>
    <n v="1527.87"/>
    <n v="879.46"/>
    <n v="5"/>
    <n v="7639.3499999999995"/>
    <n v="4397.3"/>
    <n v="3242.0499999999993"/>
    <n v="0.4243882005668021"/>
    <x v="31"/>
    <n v="3242.0499999999993"/>
  </r>
  <r>
    <d v="2023-04-08T00:00:00"/>
    <x v="3"/>
    <x v="2"/>
    <x v="1"/>
    <n v="664.54"/>
    <n v="371.18"/>
    <n v="10"/>
    <n v="6645.4"/>
    <n v="3711.8"/>
    <n v="2933.5999999999995"/>
    <n v="0.44144821982122967"/>
    <x v="6"/>
    <n v="2933.5999999999995"/>
  </r>
  <r>
    <d v="2022-10-30T00:00:00"/>
    <x v="2"/>
    <x v="0"/>
    <x v="1"/>
    <n v="780.9"/>
    <n v="620.73"/>
    <n v="5"/>
    <n v="3904.5"/>
    <n v="3103.65"/>
    <n v="800.84999999999991"/>
    <n v="0.20510948905109486"/>
    <x v="25"/>
    <n v="800.84999999999991"/>
  </r>
  <r>
    <d v="2024-03-06T00:00:00"/>
    <x v="7"/>
    <x v="0"/>
    <x v="1"/>
    <n v="235.24"/>
    <n v="130.49"/>
    <n v="7"/>
    <n v="1646.68"/>
    <n v="913.43000000000006"/>
    <n v="733.25"/>
    <n v="0.44528991668083656"/>
    <x v="29"/>
    <n v="733.25"/>
  </r>
  <r>
    <d v="2022-03-07T00:00:00"/>
    <x v="9"/>
    <x v="3"/>
    <x v="0"/>
    <n v="1625.61"/>
    <n v="1263.82"/>
    <n v="7"/>
    <n v="11379.269999999999"/>
    <n v="8846.74"/>
    <n v="2532.5299999999988"/>
    <n v="0.22255645573046418"/>
    <x v="7"/>
    <n v="2532.5299999999988"/>
  </r>
  <r>
    <d v="2024-04-04T00:00:00"/>
    <x v="8"/>
    <x v="1"/>
    <x v="3"/>
    <n v="626.51"/>
    <n v="362.69"/>
    <n v="1"/>
    <n v="626.51"/>
    <n v="362.69"/>
    <n v="263.82"/>
    <n v="0.42109463536096792"/>
    <x v="22"/>
    <n v="263.82"/>
  </r>
  <r>
    <d v="2022-09-13T00:00:00"/>
    <x v="4"/>
    <x v="2"/>
    <x v="3"/>
    <n v="215.41"/>
    <n v="148.58000000000001"/>
    <n v="6"/>
    <n v="1292.46"/>
    <n v="891.48"/>
    <n v="400.98"/>
    <n v="0.31024557819971216"/>
    <x v="12"/>
    <n v="400.98"/>
  </r>
  <r>
    <d v="2022-12-21T00:00:00"/>
    <x v="4"/>
    <x v="2"/>
    <x v="2"/>
    <n v="339.67"/>
    <n v="303.33999999999997"/>
    <n v="3"/>
    <n v="1019.01"/>
    <n v="910.02"/>
    <n v="108.99000000000001"/>
    <n v="0.10695675214178468"/>
    <x v="33"/>
    <n v="108.99000000000001"/>
  </r>
  <r>
    <d v="2023-06-22T00:00:00"/>
    <x v="2"/>
    <x v="0"/>
    <x v="0"/>
    <n v="43.23"/>
    <n v="24.68"/>
    <n v="8"/>
    <n v="345.84"/>
    <n v="197.44"/>
    <n v="148.39999999999998"/>
    <n v="0.42910016192458938"/>
    <x v="0"/>
    <n v="148.39999999999998"/>
  </r>
  <r>
    <d v="2023-04-27T00:00:00"/>
    <x v="10"/>
    <x v="2"/>
    <x v="2"/>
    <n v="720.43"/>
    <n v="468.59"/>
    <n v="8"/>
    <n v="5763.44"/>
    <n v="3748.72"/>
    <n v="2014.7199999999998"/>
    <n v="0.34956900739835928"/>
    <x v="6"/>
    <n v="2014.7199999999998"/>
  </r>
  <r>
    <d v="2024-06-01T00:00:00"/>
    <x v="10"/>
    <x v="2"/>
    <x v="0"/>
    <n v="565.41"/>
    <n v="460.96"/>
    <n v="5"/>
    <n v="2827.0499999999997"/>
    <n v="2304.7999999999997"/>
    <n v="522.25"/>
    <n v="0.18473320245485578"/>
    <x v="4"/>
    <n v="522.25"/>
  </r>
  <r>
    <d v="2023-08-09T00:00:00"/>
    <x v="10"/>
    <x v="2"/>
    <x v="1"/>
    <n v="926.02"/>
    <n v="643.23"/>
    <n v="4"/>
    <n v="3704.08"/>
    <n v="2572.92"/>
    <n v="1131.1599999999999"/>
    <n v="0.30538217317120575"/>
    <x v="14"/>
    <n v="1131.1599999999999"/>
  </r>
  <r>
    <d v="2024-08-12T00:00:00"/>
    <x v="7"/>
    <x v="0"/>
    <x v="2"/>
    <n v="608.71"/>
    <n v="477.6"/>
    <n v="6"/>
    <n v="3652.26"/>
    <n v="2865.6000000000004"/>
    <n v="786.65999999999985"/>
    <n v="0.21538992295181608"/>
    <x v="21"/>
    <n v="786.65999999999985"/>
  </r>
  <r>
    <d v="2023-01-20T00:00:00"/>
    <x v="10"/>
    <x v="2"/>
    <x v="2"/>
    <n v="254.42"/>
    <n v="193.32"/>
    <n v="2"/>
    <n v="508.84"/>
    <n v="386.64"/>
    <n v="122.19999999999999"/>
    <n v="0.2401540759374263"/>
    <x v="13"/>
    <n v="122.19999999999999"/>
  </r>
  <r>
    <d v="2022-04-08T00:00:00"/>
    <x v="4"/>
    <x v="2"/>
    <x v="2"/>
    <n v="752"/>
    <n v="442.65"/>
    <n v="3"/>
    <n v="2256"/>
    <n v="1327.9499999999998"/>
    <n v="928.05000000000018"/>
    <n v="0.4113696808510639"/>
    <x v="32"/>
    <n v="928.05000000000018"/>
  </r>
  <r>
    <d v="2024-05-11T00:00:00"/>
    <x v="8"/>
    <x v="1"/>
    <x v="3"/>
    <n v="1785.19"/>
    <n v="1441.5"/>
    <n v="1"/>
    <n v="1785.19"/>
    <n v="1441.5"/>
    <n v="343.69000000000005"/>
    <n v="0.19252292473070096"/>
    <x v="3"/>
    <n v="343.69000000000005"/>
  </r>
  <r>
    <d v="2024-07-25T00:00:00"/>
    <x v="4"/>
    <x v="2"/>
    <x v="1"/>
    <n v="1670.49"/>
    <n v="1250.8"/>
    <n v="4"/>
    <n v="6681.96"/>
    <n v="5003.2"/>
    <n v="1678.7600000000002"/>
    <n v="0.25123766080611082"/>
    <x v="28"/>
    <n v="1678.7600000000002"/>
  </r>
  <r>
    <d v="2024-03-27T00:00:00"/>
    <x v="6"/>
    <x v="3"/>
    <x v="2"/>
    <n v="1426.44"/>
    <n v="1016.93"/>
    <n v="6"/>
    <n v="8558.64"/>
    <n v="6101.58"/>
    <n v="2457.0599999999995"/>
    <n v="0.2870853313143209"/>
    <x v="29"/>
    <n v="2457.0599999999995"/>
  </r>
  <r>
    <d v="2023-10-26T00:00:00"/>
    <x v="6"/>
    <x v="3"/>
    <x v="2"/>
    <n v="1273.74"/>
    <n v="836.13"/>
    <n v="9"/>
    <n v="11463.66"/>
    <n v="7525.17"/>
    <n v="3938.49"/>
    <n v="0.34356305054406705"/>
    <x v="5"/>
    <n v="3938.49"/>
  </r>
  <r>
    <d v="2023-08-25T00:00:00"/>
    <x v="0"/>
    <x v="0"/>
    <x v="2"/>
    <n v="1453.66"/>
    <n v="1010.38"/>
    <n v="10"/>
    <n v="14536.6"/>
    <n v="10103.799999999999"/>
    <n v="4432.8000000000011"/>
    <n v="0.30494063261010146"/>
    <x v="14"/>
    <n v="4432.8000000000011"/>
  </r>
  <r>
    <d v="2022-12-23T00:00:00"/>
    <x v="5"/>
    <x v="3"/>
    <x v="3"/>
    <n v="42.7"/>
    <n v="37.770000000000003"/>
    <n v="5"/>
    <n v="213.5"/>
    <n v="188.85000000000002"/>
    <n v="24.649999999999977"/>
    <n v="0.1154566744730678"/>
    <x v="33"/>
    <n v="24.649999999999977"/>
  </r>
  <r>
    <d v="2024-04-21T00:00:00"/>
    <x v="3"/>
    <x v="2"/>
    <x v="2"/>
    <n v="1458.51"/>
    <n v="1078.31"/>
    <n v="10"/>
    <n v="14585.1"/>
    <n v="10783.099999999999"/>
    <n v="3802.0000000000018"/>
    <n v="0.26067699227293617"/>
    <x v="22"/>
    <n v="3802.0000000000018"/>
  </r>
  <r>
    <d v="2023-06-24T00:00:00"/>
    <x v="1"/>
    <x v="1"/>
    <x v="1"/>
    <n v="99.15"/>
    <n v="55.85"/>
    <n v="5"/>
    <n v="495.75"/>
    <n v="279.25"/>
    <n v="216.5"/>
    <n v="0.4367120524457892"/>
    <x v="0"/>
    <n v="216.5"/>
  </r>
  <r>
    <d v="2024-12-03T00:00:00"/>
    <x v="3"/>
    <x v="2"/>
    <x v="2"/>
    <n v="1884.18"/>
    <n v="1594"/>
    <n v="2"/>
    <n v="3768.36"/>
    <n v="3188"/>
    <n v="580.36000000000013"/>
    <n v="0.15400864036344725"/>
    <x v="23"/>
    <n v="580.36000000000013"/>
  </r>
  <r>
    <d v="2022-02-21T00:00:00"/>
    <x v="5"/>
    <x v="3"/>
    <x v="1"/>
    <n v="1625.25"/>
    <n v="1015.52"/>
    <n v="7"/>
    <n v="11376.75"/>
    <n v="7108.6399999999994"/>
    <n v="4268.1100000000006"/>
    <n v="0.37516074450084608"/>
    <x v="20"/>
    <n v="4268.1100000000006"/>
  </r>
  <r>
    <d v="2024-09-27T00:00:00"/>
    <x v="1"/>
    <x v="1"/>
    <x v="3"/>
    <n v="315.06"/>
    <n v="195.54"/>
    <n v="10"/>
    <n v="3150.6"/>
    <n v="1955.3999999999999"/>
    <n v="1195.2"/>
    <n v="0.37935631308322226"/>
    <x v="16"/>
    <n v="1195.2"/>
  </r>
  <r>
    <d v="2023-11-11T00:00:00"/>
    <x v="1"/>
    <x v="1"/>
    <x v="1"/>
    <n v="71.36"/>
    <n v="51.28"/>
    <n v="10"/>
    <n v="713.6"/>
    <n v="512.79999999999995"/>
    <n v="200.80000000000007"/>
    <n v="0.28139013452914807"/>
    <x v="10"/>
    <n v="200.80000000000007"/>
  </r>
  <r>
    <d v="2023-03-24T00:00:00"/>
    <x v="7"/>
    <x v="0"/>
    <x v="1"/>
    <n v="541.54999999999995"/>
    <n v="422"/>
    <n v="1"/>
    <n v="541.54999999999995"/>
    <n v="422"/>
    <n v="119.54999999999995"/>
    <n v="0.22075523959006549"/>
    <x v="19"/>
    <n v="119.54999999999995"/>
  </r>
  <r>
    <d v="2023-12-21T00:00:00"/>
    <x v="3"/>
    <x v="2"/>
    <x v="2"/>
    <n v="980.71"/>
    <n v="794.77"/>
    <n v="3"/>
    <n v="2942.13"/>
    <n v="2384.31"/>
    <n v="557.82000000000016"/>
    <n v="0.18959733254478903"/>
    <x v="30"/>
    <n v="557.82000000000016"/>
  </r>
  <r>
    <d v="2024-05-29T00:00:00"/>
    <x v="5"/>
    <x v="3"/>
    <x v="1"/>
    <n v="257.97000000000003"/>
    <n v="160.13"/>
    <n v="5"/>
    <n v="1289.8500000000001"/>
    <n v="800.65"/>
    <n v="489.20000000000016"/>
    <n v="0.37926890723727574"/>
    <x v="3"/>
    <n v="489.20000000000016"/>
  </r>
  <r>
    <d v="2024-05-03T00:00:00"/>
    <x v="6"/>
    <x v="3"/>
    <x v="3"/>
    <n v="1893.59"/>
    <n v="1644.72"/>
    <n v="10"/>
    <n v="18935.899999999998"/>
    <n v="16447.2"/>
    <n v="2488.6999999999971"/>
    <n v="0.13142760576471132"/>
    <x v="3"/>
    <n v="2488.6999999999971"/>
  </r>
  <r>
    <d v="2022-05-11T00:00:00"/>
    <x v="3"/>
    <x v="2"/>
    <x v="0"/>
    <n v="261.3"/>
    <n v="211.03"/>
    <n v="9"/>
    <n v="2351.7000000000003"/>
    <n v="1899.27"/>
    <n v="452.43000000000029"/>
    <n v="0.19238423268274024"/>
    <x v="35"/>
    <n v="452.43000000000029"/>
  </r>
  <r>
    <d v="2023-12-20T00:00:00"/>
    <x v="6"/>
    <x v="3"/>
    <x v="2"/>
    <n v="1360.1"/>
    <n v="728.01"/>
    <n v="7"/>
    <n v="9520.6999999999989"/>
    <n v="5096.07"/>
    <n v="4424.6299999999992"/>
    <n v="0.46473788692007939"/>
    <x v="30"/>
    <n v="4424.6299999999992"/>
  </r>
  <r>
    <d v="2022-02-02T00:00:00"/>
    <x v="2"/>
    <x v="0"/>
    <x v="1"/>
    <n v="612.46"/>
    <n v="396.24"/>
    <n v="7"/>
    <n v="4287.22"/>
    <n v="2773.6800000000003"/>
    <n v="1513.54"/>
    <n v="0.35303530026450702"/>
    <x v="20"/>
    <n v="1513.54"/>
  </r>
  <r>
    <d v="2022-08-06T00:00:00"/>
    <x v="5"/>
    <x v="3"/>
    <x v="2"/>
    <n v="860.07"/>
    <n v="717.89"/>
    <n v="9"/>
    <n v="7740.63"/>
    <n v="6461.01"/>
    <n v="1279.6199999999999"/>
    <n v="0.1653121257572058"/>
    <x v="15"/>
    <n v="1279.6199999999999"/>
  </r>
  <r>
    <d v="2022-07-20T00:00:00"/>
    <x v="6"/>
    <x v="3"/>
    <x v="3"/>
    <n v="60.22"/>
    <n v="35.200000000000003"/>
    <n v="5"/>
    <n v="301.10000000000002"/>
    <n v="176"/>
    <n v="125.10000000000002"/>
    <n v="0.41547658585187652"/>
    <x v="8"/>
    <n v="125.10000000000002"/>
  </r>
  <r>
    <d v="2023-11-06T00:00:00"/>
    <x v="10"/>
    <x v="2"/>
    <x v="3"/>
    <n v="826.91"/>
    <n v="649.30999999999995"/>
    <n v="5"/>
    <n v="4134.55"/>
    <n v="3246.5499999999997"/>
    <n v="888.00000000000045"/>
    <n v="0.21477548947285688"/>
    <x v="10"/>
    <n v="888.00000000000045"/>
  </r>
  <r>
    <d v="2023-05-11T00:00:00"/>
    <x v="6"/>
    <x v="3"/>
    <x v="2"/>
    <n v="1568.31"/>
    <n v="982.42"/>
    <n v="4"/>
    <n v="6273.24"/>
    <n v="3929.68"/>
    <n v="2343.56"/>
    <n v="0.37358047834930597"/>
    <x v="31"/>
    <n v="2343.56"/>
  </r>
  <r>
    <d v="2024-12-10T00:00:00"/>
    <x v="6"/>
    <x v="3"/>
    <x v="1"/>
    <n v="74.11"/>
    <n v="47.52"/>
    <n v="5"/>
    <n v="370.55"/>
    <n v="237.60000000000002"/>
    <n v="132.94999999999999"/>
    <n v="0.35879098637160972"/>
    <x v="23"/>
    <n v="132.94999999999999"/>
  </r>
  <r>
    <d v="2023-02-10T00:00:00"/>
    <x v="7"/>
    <x v="0"/>
    <x v="3"/>
    <n v="717.52"/>
    <n v="401.63"/>
    <n v="10"/>
    <n v="7175.2"/>
    <n v="4016.3"/>
    <n v="3158.8999999999996"/>
    <n v="0.44025253651466156"/>
    <x v="27"/>
    <n v="3158.8999999999996"/>
  </r>
  <r>
    <d v="2024-04-21T00:00:00"/>
    <x v="7"/>
    <x v="0"/>
    <x v="0"/>
    <n v="535.98"/>
    <n v="357.18"/>
    <n v="5"/>
    <n v="2679.9"/>
    <n v="1785.9"/>
    <n v="894"/>
    <n v="0.33359453710959364"/>
    <x v="22"/>
    <n v="894"/>
  </r>
  <r>
    <d v="2024-06-10T00:00:00"/>
    <x v="2"/>
    <x v="0"/>
    <x v="0"/>
    <n v="1436.84"/>
    <n v="1099.76"/>
    <n v="7"/>
    <n v="10057.879999999999"/>
    <n v="7698.32"/>
    <n v="2359.5599999999995"/>
    <n v="0.23459814593134931"/>
    <x v="4"/>
    <n v="2359.5599999999995"/>
  </r>
  <r>
    <d v="2023-04-28T00:00:00"/>
    <x v="1"/>
    <x v="1"/>
    <x v="3"/>
    <n v="1671.9"/>
    <n v="1083.9000000000001"/>
    <n v="10"/>
    <n v="16719"/>
    <n v="10839"/>
    <n v="5880"/>
    <n v="0.35169567557868292"/>
    <x v="6"/>
    <n v="5880"/>
  </r>
  <r>
    <d v="2024-08-09T00:00:00"/>
    <x v="0"/>
    <x v="0"/>
    <x v="0"/>
    <n v="1612.94"/>
    <n v="1138.02"/>
    <n v="5"/>
    <n v="8064.7000000000007"/>
    <n v="5690.1"/>
    <n v="2374.6000000000004"/>
    <n v="0.29444368668394361"/>
    <x v="21"/>
    <n v="2374.6000000000004"/>
  </r>
  <r>
    <d v="2022-01-27T00:00:00"/>
    <x v="8"/>
    <x v="1"/>
    <x v="2"/>
    <n v="1258.77"/>
    <n v="880.93"/>
    <n v="4"/>
    <n v="5035.08"/>
    <n v="3523.72"/>
    <n v="1511.3600000000001"/>
    <n v="0.30016603509775419"/>
    <x v="9"/>
    <n v="1511.3600000000001"/>
  </r>
  <r>
    <d v="2023-10-03T00:00:00"/>
    <x v="5"/>
    <x v="3"/>
    <x v="2"/>
    <n v="1814.53"/>
    <n v="1128.3499999999999"/>
    <n v="3"/>
    <n v="5443.59"/>
    <n v="3385.0499999999997"/>
    <n v="2058.5400000000004"/>
    <n v="0.37815853141033773"/>
    <x v="5"/>
    <n v="2058.5400000000004"/>
  </r>
  <r>
    <d v="2023-08-25T00:00:00"/>
    <x v="1"/>
    <x v="1"/>
    <x v="3"/>
    <n v="669.52"/>
    <n v="596.59"/>
    <n v="7"/>
    <n v="4686.6399999999994"/>
    <n v="4176.13"/>
    <n v="510.50999999999931"/>
    <n v="0.10892878480105136"/>
    <x v="14"/>
    <n v="510.50999999999931"/>
  </r>
  <r>
    <d v="2022-06-12T00:00:00"/>
    <x v="5"/>
    <x v="3"/>
    <x v="3"/>
    <n v="1289.3900000000001"/>
    <n v="863.14"/>
    <n v="2"/>
    <n v="2578.7800000000002"/>
    <n v="1726.28"/>
    <n v="852.50000000000023"/>
    <n v="0.33058267863098062"/>
    <x v="18"/>
    <n v="852.50000000000023"/>
  </r>
  <r>
    <d v="2024-08-28T00:00:00"/>
    <x v="5"/>
    <x v="3"/>
    <x v="0"/>
    <n v="1578.54"/>
    <n v="877.17"/>
    <n v="10"/>
    <n v="15785.4"/>
    <n v="8771.6999999999989"/>
    <n v="7013.7000000000007"/>
    <n v="0.44431563343342589"/>
    <x v="21"/>
    <n v="7013.7000000000007"/>
  </r>
  <r>
    <d v="2024-03-05T00:00:00"/>
    <x v="6"/>
    <x v="3"/>
    <x v="3"/>
    <n v="1744.56"/>
    <n v="989.63"/>
    <n v="3"/>
    <n v="5233.68"/>
    <n v="2968.89"/>
    <n v="2264.7900000000004"/>
    <n v="0.43273375521621504"/>
    <x v="29"/>
    <n v="2264.7900000000004"/>
  </r>
  <r>
    <d v="2022-08-14T00:00:00"/>
    <x v="3"/>
    <x v="2"/>
    <x v="3"/>
    <n v="624.79"/>
    <n v="454.3"/>
    <n v="8"/>
    <n v="4998.32"/>
    <n v="3634.4"/>
    <n v="1363.9199999999996"/>
    <n v="0.2728756862305734"/>
    <x v="15"/>
    <n v="1363.9199999999996"/>
  </r>
  <r>
    <d v="2024-04-25T00:00:00"/>
    <x v="5"/>
    <x v="3"/>
    <x v="0"/>
    <n v="1206.8800000000001"/>
    <n v="690.65"/>
    <n v="8"/>
    <n v="9655.0400000000009"/>
    <n v="5525.2"/>
    <n v="4129.8400000000011"/>
    <n v="0.42773929471032751"/>
    <x v="22"/>
    <n v="4129.8400000000011"/>
  </r>
  <r>
    <d v="2023-08-31T00:00:00"/>
    <x v="4"/>
    <x v="2"/>
    <x v="3"/>
    <n v="547.26"/>
    <n v="302.07"/>
    <n v="9"/>
    <n v="4925.34"/>
    <n v="2718.63"/>
    <n v="2206.71"/>
    <n v="0.44803201403354892"/>
    <x v="14"/>
    <n v="2206.71"/>
  </r>
  <r>
    <d v="2022-11-25T00:00:00"/>
    <x v="9"/>
    <x v="3"/>
    <x v="0"/>
    <n v="1291.73"/>
    <n v="1109.56"/>
    <n v="9"/>
    <n v="11625.57"/>
    <n v="9986.0399999999991"/>
    <n v="1639.5300000000007"/>
    <n v="0.14102792379212381"/>
    <x v="1"/>
    <n v="1639.5300000000007"/>
  </r>
  <r>
    <d v="2022-07-19T00:00:00"/>
    <x v="10"/>
    <x v="2"/>
    <x v="0"/>
    <n v="1838.67"/>
    <n v="1443.28"/>
    <n v="8"/>
    <n v="14709.36"/>
    <n v="11546.24"/>
    <n v="3163.1200000000008"/>
    <n v="0.21504130703171317"/>
    <x v="8"/>
    <n v="3163.1200000000008"/>
  </r>
  <r>
    <d v="2022-02-23T00:00:00"/>
    <x v="10"/>
    <x v="2"/>
    <x v="2"/>
    <n v="1480.05"/>
    <n v="755.08"/>
    <n v="1"/>
    <n v="1480.05"/>
    <n v="755.08"/>
    <n v="724.96999999999991"/>
    <n v="0.48982804634978544"/>
    <x v="20"/>
    <n v="724.96999999999991"/>
  </r>
  <r>
    <d v="2024-11-24T00:00:00"/>
    <x v="7"/>
    <x v="0"/>
    <x v="3"/>
    <n v="557.17999999999995"/>
    <n v="401.8"/>
    <n v="2"/>
    <n v="1114.3599999999999"/>
    <n v="803.6"/>
    <n v="310.75999999999988"/>
    <n v="0.27886858824796285"/>
    <x v="2"/>
    <n v="310.75999999999988"/>
  </r>
  <r>
    <d v="2024-01-04T00:00:00"/>
    <x v="1"/>
    <x v="1"/>
    <x v="1"/>
    <n v="1199.32"/>
    <n v="718.96"/>
    <n v="9"/>
    <n v="10793.88"/>
    <n v="6470.64"/>
    <n v="4323.2399999999989"/>
    <n v="0.40052696528032544"/>
    <x v="26"/>
    <n v="4323.2399999999989"/>
  </r>
  <r>
    <d v="2024-07-12T00:00:00"/>
    <x v="7"/>
    <x v="0"/>
    <x v="3"/>
    <n v="1876.14"/>
    <n v="1163.55"/>
    <n v="6"/>
    <n v="11256.84"/>
    <n v="6981.2999999999993"/>
    <n v="4275.5400000000009"/>
    <n v="0.37981707122069791"/>
    <x v="28"/>
    <n v="4275.5400000000009"/>
  </r>
  <r>
    <d v="2023-11-28T00:00:00"/>
    <x v="0"/>
    <x v="0"/>
    <x v="0"/>
    <n v="629.46"/>
    <n v="516.69000000000005"/>
    <n v="10"/>
    <n v="6294.6"/>
    <n v="5166.9000000000005"/>
    <n v="1127.6999999999998"/>
    <n v="0.17915356019445236"/>
    <x v="10"/>
    <n v="1127.6999999999998"/>
  </r>
  <r>
    <d v="2022-02-18T00:00:00"/>
    <x v="3"/>
    <x v="2"/>
    <x v="1"/>
    <n v="1993.51"/>
    <n v="1426.48"/>
    <n v="5"/>
    <n v="9967.5499999999993"/>
    <n v="7132.4"/>
    <n v="2835.1499999999996"/>
    <n v="0.28443800131426478"/>
    <x v="20"/>
    <n v="2835.1499999999996"/>
  </r>
  <r>
    <d v="2024-04-20T00:00:00"/>
    <x v="1"/>
    <x v="1"/>
    <x v="3"/>
    <n v="514.76"/>
    <n v="443.44"/>
    <n v="5"/>
    <n v="2573.8000000000002"/>
    <n v="2217.1999999999998"/>
    <n v="356.60000000000036"/>
    <n v="0.13855000388530592"/>
    <x v="22"/>
    <n v="356.60000000000036"/>
  </r>
  <r>
    <d v="2024-04-03T00:00:00"/>
    <x v="4"/>
    <x v="2"/>
    <x v="2"/>
    <n v="938.65"/>
    <n v="547.75"/>
    <n v="2"/>
    <n v="1877.3"/>
    <n v="1095.5"/>
    <n v="781.8"/>
    <n v="0.41644915570233842"/>
    <x v="22"/>
    <n v="781.8"/>
  </r>
  <r>
    <d v="2023-09-30T00:00:00"/>
    <x v="2"/>
    <x v="0"/>
    <x v="3"/>
    <n v="834.65"/>
    <n v="494.23"/>
    <n v="2"/>
    <n v="1669.3"/>
    <n v="988.46"/>
    <n v="680.83999999999992"/>
    <n v="0.40785958186066013"/>
    <x v="24"/>
    <n v="680.83999999999992"/>
  </r>
  <r>
    <d v="2023-12-25T00:00:00"/>
    <x v="3"/>
    <x v="2"/>
    <x v="3"/>
    <n v="812"/>
    <n v="478.44"/>
    <n v="4"/>
    <n v="3248"/>
    <n v="1913.76"/>
    <n v="1334.24"/>
    <n v="0.41078817733990147"/>
    <x v="30"/>
    <n v="1334.24"/>
  </r>
  <r>
    <d v="2022-07-24T00:00:00"/>
    <x v="1"/>
    <x v="1"/>
    <x v="0"/>
    <n v="1674.34"/>
    <n v="877.07"/>
    <n v="10"/>
    <n v="16743.399999999998"/>
    <n v="8770.7000000000007"/>
    <n v="7972.6999999999971"/>
    <n v="0.47616971463382574"/>
    <x v="8"/>
    <n v="7972.6999999999971"/>
  </r>
  <r>
    <d v="2024-12-03T00:00:00"/>
    <x v="6"/>
    <x v="3"/>
    <x v="1"/>
    <n v="198.9"/>
    <n v="112.08"/>
    <n v="7"/>
    <n v="1392.3"/>
    <n v="784.56"/>
    <n v="607.74"/>
    <n v="0.43650075414781297"/>
    <x v="23"/>
    <n v="607.74"/>
  </r>
  <r>
    <d v="2024-01-15T00:00:00"/>
    <x v="7"/>
    <x v="0"/>
    <x v="3"/>
    <n v="49.82"/>
    <n v="31.12"/>
    <n v="1"/>
    <n v="49.82"/>
    <n v="31.12"/>
    <n v="18.7"/>
    <n v="0.3753512645523886"/>
    <x v="26"/>
    <n v="18.7"/>
  </r>
  <r>
    <d v="2022-12-11T00:00:00"/>
    <x v="5"/>
    <x v="3"/>
    <x v="0"/>
    <n v="800.01"/>
    <n v="553.85"/>
    <n v="2"/>
    <n v="1600.02"/>
    <n v="1107.7"/>
    <n v="492.31999999999994"/>
    <n v="0.30769615379807747"/>
    <x v="33"/>
    <n v="492.31999999999994"/>
  </r>
  <r>
    <d v="2024-01-08T00:00:00"/>
    <x v="1"/>
    <x v="1"/>
    <x v="2"/>
    <n v="1298.79"/>
    <n v="716.73"/>
    <n v="3"/>
    <n v="3896.37"/>
    <n v="2150.19"/>
    <n v="1746.1799999999998"/>
    <n v="0.44815559097313651"/>
    <x v="26"/>
    <n v="1746.1799999999998"/>
  </r>
  <r>
    <d v="2023-07-22T00:00:00"/>
    <x v="3"/>
    <x v="2"/>
    <x v="3"/>
    <n v="1708.41"/>
    <n v="1419.9"/>
    <n v="2"/>
    <n v="3416.82"/>
    <n v="2839.8"/>
    <n v="577.02"/>
    <n v="0.16887632359913601"/>
    <x v="11"/>
    <n v="577.02"/>
  </r>
  <r>
    <d v="2024-06-11T00:00:00"/>
    <x v="3"/>
    <x v="2"/>
    <x v="0"/>
    <n v="81.28"/>
    <n v="59.63"/>
    <n v="3"/>
    <n v="243.84"/>
    <n v="178.89000000000001"/>
    <n v="64.949999999999989"/>
    <n v="0.2663631889763779"/>
    <x v="4"/>
    <n v="64.949999999999989"/>
  </r>
  <r>
    <d v="2023-12-20T00:00:00"/>
    <x v="1"/>
    <x v="1"/>
    <x v="3"/>
    <n v="520.71"/>
    <n v="366.39"/>
    <n v="10"/>
    <n v="5207.1000000000004"/>
    <n v="3663.8999999999996"/>
    <n v="1543.2000000000007"/>
    <n v="0.29636457913233866"/>
    <x v="30"/>
    <n v="1543.2000000000007"/>
  </r>
  <r>
    <d v="2023-02-11T00:00:00"/>
    <x v="8"/>
    <x v="1"/>
    <x v="1"/>
    <n v="1290.03"/>
    <n v="1159.6600000000001"/>
    <n v="2"/>
    <n v="2580.06"/>
    <n v="2319.3200000000002"/>
    <n v="260.73999999999978"/>
    <n v="0.10105966527910196"/>
    <x v="27"/>
    <n v="260.73999999999978"/>
  </r>
  <r>
    <d v="2024-11-21T00:00:00"/>
    <x v="6"/>
    <x v="3"/>
    <x v="1"/>
    <n v="1422.38"/>
    <n v="890.19"/>
    <n v="7"/>
    <n v="9956.66"/>
    <n v="6231.33"/>
    <n v="3725.33"/>
    <n v="0.37415458597561835"/>
    <x v="2"/>
    <n v="3725.33"/>
  </r>
  <r>
    <d v="2022-02-13T00:00:00"/>
    <x v="3"/>
    <x v="2"/>
    <x v="3"/>
    <n v="1310.87"/>
    <n v="738.47"/>
    <n v="5"/>
    <n v="6554.3499999999995"/>
    <n v="3692.3500000000004"/>
    <n v="2861.9999999999991"/>
    <n v="0.43665657158986004"/>
    <x v="20"/>
    <n v="2861.9999999999991"/>
  </r>
  <r>
    <d v="2024-02-23T00:00:00"/>
    <x v="1"/>
    <x v="1"/>
    <x v="1"/>
    <n v="471.88"/>
    <n v="268.76"/>
    <n v="4"/>
    <n v="1887.52"/>
    <n v="1075.04"/>
    <n v="812.48"/>
    <n v="0.43044841908959908"/>
    <x v="34"/>
    <n v="812.48"/>
  </r>
  <r>
    <d v="2024-12-27T00:00:00"/>
    <x v="8"/>
    <x v="1"/>
    <x v="2"/>
    <n v="305.98"/>
    <n v="177.02"/>
    <n v="8"/>
    <n v="2447.84"/>
    <n v="1416.16"/>
    <n v="1031.68"/>
    <n v="0.42146545525851364"/>
    <x v="23"/>
    <n v="1031.68"/>
  </r>
  <r>
    <d v="2024-03-13T00:00:00"/>
    <x v="9"/>
    <x v="3"/>
    <x v="0"/>
    <n v="1697.04"/>
    <n v="1116.1400000000001"/>
    <n v="3"/>
    <n v="5091.12"/>
    <n v="3348.42"/>
    <n v="1742.6999999999998"/>
    <n v="0.34230189035025688"/>
    <x v="29"/>
    <n v="1742.6999999999998"/>
  </r>
  <r>
    <d v="2023-01-04T00:00:00"/>
    <x v="1"/>
    <x v="1"/>
    <x v="1"/>
    <n v="123.11"/>
    <n v="68.63"/>
    <n v="9"/>
    <n v="1107.99"/>
    <n v="617.66999999999996"/>
    <n v="490.32000000000005"/>
    <n v="0.44253106977499801"/>
    <x v="13"/>
    <n v="490.32000000000005"/>
  </r>
  <r>
    <d v="2024-03-31T00:00:00"/>
    <x v="7"/>
    <x v="0"/>
    <x v="3"/>
    <n v="1981.98"/>
    <n v="1774.41"/>
    <n v="7"/>
    <n v="13873.86"/>
    <n v="12420.87"/>
    <n v="1452.9899999999998"/>
    <n v="0.10472860472860471"/>
    <x v="29"/>
    <n v="1452.9899999999998"/>
  </r>
  <r>
    <d v="2024-10-19T00:00:00"/>
    <x v="7"/>
    <x v="0"/>
    <x v="2"/>
    <n v="925.84"/>
    <n v="567.1"/>
    <n v="10"/>
    <n v="9258.4"/>
    <n v="5671"/>
    <n v="3587.3999999999996"/>
    <n v="0.38747515769463403"/>
    <x v="17"/>
    <n v="3587.3999999999996"/>
  </r>
  <r>
    <d v="2022-10-06T00:00:00"/>
    <x v="3"/>
    <x v="2"/>
    <x v="0"/>
    <n v="25.95"/>
    <n v="22.54"/>
    <n v="6"/>
    <n v="155.69999999999999"/>
    <n v="135.24"/>
    <n v="20.45999999999998"/>
    <n v="0.13140655105973012"/>
    <x v="25"/>
    <n v="20.45999999999998"/>
  </r>
  <r>
    <d v="2024-09-28T00:00:00"/>
    <x v="10"/>
    <x v="2"/>
    <x v="3"/>
    <n v="1389.84"/>
    <n v="1135.92"/>
    <n v="4"/>
    <n v="5559.36"/>
    <n v="4543.68"/>
    <n v="1015.6799999999994"/>
    <n v="0.18269728889656353"/>
    <x v="16"/>
    <n v="1015.6799999999994"/>
  </r>
  <r>
    <d v="2023-02-02T00:00:00"/>
    <x v="9"/>
    <x v="3"/>
    <x v="2"/>
    <n v="187.35"/>
    <n v="100.52"/>
    <n v="8"/>
    <n v="1498.8"/>
    <n v="804.16"/>
    <n v="694.64"/>
    <n v="0.46346410461702697"/>
    <x v="27"/>
    <n v="694.64"/>
  </r>
  <r>
    <d v="2024-11-14T00:00:00"/>
    <x v="4"/>
    <x v="2"/>
    <x v="0"/>
    <n v="941.25"/>
    <n v="753.52"/>
    <n v="3"/>
    <n v="2823.75"/>
    <n v="2260.56"/>
    <n v="563.19000000000005"/>
    <n v="0.19944754316069058"/>
    <x v="2"/>
    <n v="563.19000000000005"/>
  </r>
  <r>
    <d v="2023-05-11T00:00:00"/>
    <x v="4"/>
    <x v="2"/>
    <x v="2"/>
    <n v="1766.23"/>
    <n v="1083.73"/>
    <n v="4"/>
    <n v="7064.92"/>
    <n v="4334.92"/>
    <n v="2730"/>
    <n v="0.38641626515233007"/>
    <x v="31"/>
    <n v="2730"/>
  </r>
  <r>
    <d v="2023-09-10T00:00:00"/>
    <x v="0"/>
    <x v="0"/>
    <x v="0"/>
    <n v="1460.78"/>
    <n v="1301.08"/>
    <n v="4"/>
    <n v="5843.12"/>
    <n v="5204.32"/>
    <n v="638.80000000000018"/>
    <n v="0.10932515505414919"/>
    <x v="24"/>
    <n v="638.80000000000018"/>
  </r>
  <r>
    <d v="2022-02-15T00:00:00"/>
    <x v="10"/>
    <x v="2"/>
    <x v="1"/>
    <n v="445.43"/>
    <n v="231.46"/>
    <n v="4"/>
    <n v="1781.72"/>
    <n v="925.84"/>
    <n v="855.88"/>
    <n v="0.48036728554430547"/>
    <x v="20"/>
    <n v="855.88"/>
  </r>
  <r>
    <d v="2024-01-07T00:00:00"/>
    <x v="0"/>
    <x v="0"/>
    <x v="1"/>
    <n v="761.9"/>
    <n v="652.79999999999995"/>
    <n v="3"/>
    <n v="2285.6999999999998"/>
    <n v="1958.3999999999999"/>
    <n v="327.29999999999995"/>
    <n v="0.14319464496653103"/>
    <x v="26"/>
    <n v="327.29999999999995"/>
  </r>
  <r>
    <d v="2022-11-29T00:00:00"/>
    <x v="4"/>
    <x v="2"/>
    <x v="2"/>
    <n v="1720.72"/>
    <n v="1086.6500000000001"/>
    <n v="7"/>
    <n v="12045.04"/>
    <n v="7606.5500000000011"/>
    <n v="4438.49"/>
    <n v="0.36849109675019753"/>
    <x v="1"/>
    <n v="4438.49"/>
  </r>
  <r>
    <d v="2024-06-21T00:00:00"/>
    <x v="5"/>
    <x v="3"/>
    <x v="2"/>
    <n v="1566.39"/>
    <n v="1219.53"/>
    <n v="6"/>
    <n v="9398.34"/>
    <n v="7317.18"/>
    <n v="2081.16"/>
    <n v="0.2214391052036849"/>
    <x v="4"/>
    <n v="2081.16"/>
  </r>
  <r>
    <d v="2024-06-03T00:00:00"/>
    <x v="7"/>
    <x v="0"/>
    <x v="0"/>
    <n v="1209.1099999999999"/>
    <n v="997.22"/>
    <n v="1"/>
    <n v="1209.1099999999999"/>
    <n v="997.22"/>
    <n v="211.88999999999987"/>
    <n v="0.17524460140103043"/>
    <x v="4"/>
    <n v="211.88999999999987"/>
  </r>
  <r>
    <d v="2024-11-13T00:00:00"/>
    <x v="9"/>
    <x v="3"/>
    <x v="0"/>
    <n v="906.76"/>
    <n v="710.8"/>
    <n v="1"/>
    <n v="906.76"/>
    <n v="710.8"/>
    <n v="195.96000000000004"/>
    <n v="0.21611010631258551"/>
    <x v="2"/>
    <n v="195.96000000000004"/>
  </r>
  <r>
    <d v="2024-01-22T00:00:00"/>
    <x v="8"/>
    <x v="1"/>
    <x v="2"/>
    <n v="824.47"/>
    <n v="535"/>
    <n v="8"/>
    <n v="6595.76"/>
    <n v="4280"/>
    <n v="2315.7600000000002"/>
    <n v="0.35109828132012083"/>
    <x v="26"/>
    <n v="2315.7600000000002"/>
  </r>
  <r>
    <d v="2024-12-10T00:00:00"/>
    <x v="3"/>
    <x v="2"/>
    <x v="2"/>
    <n v="662.71"/>
    <n v="356.83"/>
    <n v="4"/>
    <n v="2650.84"/>
    <n v="1427.32"/>
    <n v="1223.5200000000002"/>
    <n v="0.46155935477056337"/>
    <x v="23"/>
    <n v="1223.5200000000002"/>
  </r>
  <r>
    <d v="2023-01-15T00:00:00"/>
    <x v="8"/>
    <x v="1"/>
    <x v="3"/>
    <n v="1136.48"/>
    <n v="810.89"/>
    <n v="5"/>
    <n v="5682.4"/>
    <n v="4054.45"/>
    <n v="1627.9499999999998"/>
    <n v="0.28648986343798394"/>
    <x v="13"/>
    <n v="1627.9499999999998"/>
  </r>
  <r>
    <d v="2023-06-03T00:00:00"/>
    <x v="4"/>
    <x v="2"/>
    <x v="2"/>
    <n v="580.58000000000004"/>
    <n v="418.07"/>
    <n v="10"/>
    <n v="5805.8"/>
    <n v="4180.7"/>
    <n v="1625.1000000000004"/>
    <n v="0.27990974542698688"/>
    <x v="0"/>
    <n v="1625.1000000000004"/>
  </r>
  <r>
    <d v="2022-05-30T00:00:00"/>
    <x v="7"/>
    <x v="0"/>
    <x v="3"/>
    <n v="370.64"/>
    <n v="289.58999999999997"/>
    <n v="3"/>
    <n v="1111.92"/>
    <n v="868.77"/>
    <n v="243.15000000000009"/>
    <n v="0.21867580401467737"/>
    <x v="35"/>
    <n v="243.15000000000009"/>
  </r>
  <r>
    <d v="2023-05-17T00:00:00"/>
    <x v="3"/>
    <x v="2"/>
    <x v="2"/>
    <n v="463.28"/>
    <n v="305.58"/>
    <n v="3"/>
    <n v="1389.84"/>
    <n v="916.74"/>
    <n v="473.09999999999991"/>
    <n v="0.34039889483681568"/>
    <x v="31"/>
    <n v="473.09999999999991"/>
  </r>
  <r>
    <d v="2024-04-29T00:00:00"/>
    <x v="2"/>
    <x v="0"/>
    <x v="1"/>
    <n v="1015.31"/>
    <n v="847.3"/>
    <n v="2"/>
    <n v="2030.62"/>
    <n v="1694.6"/>
    <n v="336.02"/>
    <n v="0.16547655395888941"/>
    <x v="22"/>
    <n v="336.02"/>
  </r>
  <r>
    <d v="2022-02-13T00:00:00"/>
    <x v="0"/>
    <x v="0"/>
    <x v="0"/>
    <n v="563"/>
    <n v="293.39"/>
    <n v="2"/>
    <n v="1126"/>
    <n v="586.78"/>
    <n v="539.22"/>
    <n v="0.47888099467140322"/>
    <x v="20"/>
    <n v="539.22"/>
  </r>
  <r>
    <d v="2022-05-19T00:00:00"/>
    <x v="5"/>
    <x v="3"/>
    <x v="1"/>
    <n v="422.94"/>
    <n v="296.93"/>
    <n v="2"/>
    <n v="845.88"/>
    <n v="593.86"/>
    <n v="252.01999999999998"/>
    <n v="0.29793824183099255"/>
    <x v="35"/>
    <n v="252.01999999999998"/>
  </r>
  <r>
    <d v="2023-03-17T00:00:00"/>
    <x v="1"/>
    <x v="1"/>
    <x v="0"/>
    <n v="254.82"/>
    <n v="220.72"/>
    <n v="4"/>
    <n v="1019.28"/>
    <n v="882.88"/>
    <n v="136.39999999999998"/>
    <n v="0.13381995133819949"/>
    <x v="19"/>
    <n v="136.39999999999998"/>
  </r>
  <r>
    <d v="2023-03-19T00:00:00"/>
    <x v="0"/>
    <x v="0"/>
    <x v="1"/>
    <n v="183.79"/>
    <n v="109.33"/>
    <n v="9"/>
    <n v="1654.11"/>
    <n v="983.97"/>
    <n v="670.13999999999987"/>
    <n v="0.40513629686054731"/>
    <x v="19"/>
    <n v="670.13999999999987"/>
  </r>
  <r>
    <d v="2024-01-19T00:00:00"/>
    <x v="9"/>
    <x v="3"/>
    <x v="0"/>
    <n v="1192.97"/>
    <n v="838.71"/>
    <n v="9"/>
    <n v="10736.73"/>
    <n v="7548.39"/>
    <n v="3188.3399999999992"/>
    <n v="0.29695633586762443"/>
    <x v="26"/>
    <n v="3188.3399999999992"/>
  </r>
  <r>
    <d v="2023-09-16T00:00:00"/>
    <x v="4"/>
    <x v="2"/>
    <x v="0"/>
    <n v="725.8"/>
    <n v="400.71"/>
    <n v="3"/>
    <n v="2177.3999999999996"/>
    <n v="1202.1299999999999"/>
    <n v="975.26999999999975"/>
    <n v="0.44790575916230363"/>
    <x v="24"/>
    <n v="975.26999999999975"/>
  </r>
  <r>
    <d v="2023-02-16T00:00:00"/>
    <x v="10"/>
    <x v="2"/>
    <x v="0"/>
    <n v="1950.69"/>
    <n v="1676.87"/>
    <n v="2"/>
    <n v="3901.38"/>
    <n v="3353.74"/>
    <n v="547.64000000000033"/>
    <n v="0.14037084313755654"/>
    <x v="27"/>
    <n v="547.64000000000033"/>
  </r>
  <r>
    <d v="2023-11-15T00:00:00"/>
    <x v="1"/>
    <x v="1"/>
    <x v="2"/>
    <n v="1490.47"/>
    <n v="1164.58"/>
    <n v="7"/>
    <n v="10433.290000000001"/>
    <n v="8152.0599999999995"/>
    <n v="2281.2300000000014"/>
    <n v="0.21864915093896567"/>
    <x v="10"/>
    <n v="2281.2300000000014"/>
  </r>
  <r>
    <d v="2022-04-10T00:00:00"/>
    <x v="4"/>
    <x v="2"/>
    <x v="2"/>
    <n v="1778.73"/>
    <n v="1507.73"/>
    <n v="10"/>
    <n v="17787.3"/>
    <n v="15077.3"/>
    <n v="2710"/>
    <n v="0.1523558943740759"/>
    <x v="32"/>
    <n v="2710"/>
  </r>
  <r>
    <d v="2023-09-03T00:00:00"/>
    <x v="7"/>
    <x v="0"/>
    <x v="1"/>
    <n v="307.14"/>
    <n v="273.39999999999998"/>
    <n v="7"/>
    <n v="2149.98"/>
    <n v="1913.7999999999997"/>
    <n v="236.18000000000029"/>
    <n v="0.10985218467148546"/>
    <x v="24"/>
    <n v="236.18000000000029"/>
  </r>
  <r>
    <d v="2022-09-21T00:00:00"/>
    <x v="7"/>
    <x v="0"/>
    <x v="3"/>
    <n v="1110.01"/>
    <n v="784.07"/>
    <n v="1"/>
    <n v="1110.01"/>
    <n v="784.07"/>
    <n v="325.93999999999994"/>
    <n v="0.2936369942613129"/>
    <x v="12"/>
    <n v="325.93999999999994"/>
  </r>
  <r>
    <d v="2022-08-03T00:00:00"/>
    <x v="0"/>
    <x v="0"/>
    <x v="2"/>
    <n v="761.72"/>
    <n v="531.58000000000004"/>
    <n v="6"/>
    <n v="4570.32"/>
    <n v="3189.4800000000005"/>
    <n v="1380.8399999999992"/>
    <n v="0.30213201701412579"/>
    <x v="15"/>
    <n v="1380.8399999999992"/>
  </r>
  <r>
    <d v="2022-03-08T00:00:00"/>
    <x v="0"/>
    <x v="0"/>
    <x v="2"/>
    <n v="131.62"/>
    <n v="85"/>
    <n v="7"/>
    <n v="921.34"/>
    <n v="595"/>
    <n v="326.34000000000003"/>
    <n v="0.35420148913538979"/>
    <x v="7"/>
    <n v="326.34000000000003"/>
  </r>
  <r>
    <d v="2023-03-15T00:00:00"/>
    <x v="9"/>
    <x v="3"/>
    <x v="0"/>
    <n v="803.17"/>
    <n v="428.63"/>
    <n v="7"/>
    <n v="5622.19"/>
    <n v="3000.41"/>
    <n v="2621.7799999999997"/>
    <n v="0.46632717855497591"/>
    <x v="19"/>
    <n v="2621.7799999999997"/>
  </r>
  <r>
    <d v="2023-05-12T00:00:00"/>
    <x v="9"/>
    <x v="3"/>
    <x v="1"/>
    <n v="130.91"/>
    <n v="96.81"/>
    <n v="2"/>
    <n v="261.82"/>
    <n v="193.62"/>
    <n v="68.199999999999989"/>
    <n v="0.26048430219234586"/>
    <x v="31"/>
    <n v="68.199999999999989"/>
  </r>
  <r>
    <d v="2022-05-27T00:00:00"/>
    <x v="5"/>
    <x v="3"/>
    <x v="3"/>
    <n v="1800.9"/>
    <n v="1058.23"/>
    <n v="4"/>
    <n v="7203.6"/>
    <n v="4232.92"/>
    <n v="2970.6800000000003"/>
    <n v="0.41238825031928483"/>
    <x v="35"/>
    <n v="2970.6800000000003"/>
  </r>
  <r>
    <d v="2023-08-01T00:00:00"/>
    <x v="10"/>
    <x v="2"/>
    <x v="2"/>
    <n v="281.33999999999997"/>
    <n v="141.03"/>
    <n v="2"/>
    <n v="562.67999999999995"/>
    <n v="282.06"/>
    <n v="280.61999999999995"/>
    <n v="0.49872040946896989"/>
    <x v="14"/>
    <n v="280.61999999999995"/>
  </r>
  <r>
    <d v="2022-12-10T00:00:00"/>
    <x v="5"/>
    <x v="3"/>
    <x v="1"/>
    <n v="362.1"/>
    <n v="323.95999999999998"/>
    <n v="6"/>
    <n v="2172.6000000000004"/>
    <n v="1943.7599999999998"/>
    <n v="228.8400000000006"/>
    <n v="0.10533001933167659"/>
    <x v="33"/>
    <n v="228.8400000000006"/>
  </r>
  <r>
    <d v="2022-01-02T00:00:00"/>
    <x v="6"/>
    <x v="3"/>
    <x v="2"/>
    <n v="102.2"/>
    <n v="74.56"/>
    <n v="1"/>
    <n v="102.2"/>
    <n v="74.56"/>
    <n v="27.64"/>
    <n v="0.27045009784735813"/>
    <x v="9"/>
    <n v="27.64"/>
  </r>
  <r>
    <d v="2022-01-02T00:00:00"/>
    <x v="3"/>
    <x v="2"/>
    <x v="1"/>
    <n v="554.17999999999995"/>
    <n v="472.43"/>
    <n v="10"/>
    <n v="5541.7999999999993"/>
    <n v="4724.3"/>
    <n v="817.49999999999909"/>
    <n v="0.14751524775343736"/>
    <x v="9"/>
    <n v="817.49999999999909"/>
  </r>
  <r>
    <d v="2023-08-15T00:00:00"/>
    <x v="4"/>
    <x v="2"/>
    <x v="0"/>
    <n v="644.16"/>
    <n v="490.46"/>
    <n v="2"/>
    <n v="1288.32"/>
    <n v="980.92"/>
    <n v="307.39999999999998"/>
    <n v="0.23860531544957775"/>
    <x v="14"/>
    <n v="307.39999999999998"/>
  </r>
  <r>
    <d v="2023-11-04T00:00:00"/>
    <x v="9"/>
    <x v="3"/>
    <x v="2"/>
    <n v="1961.29"/>
    <n v="1329.31"/>
    <n v="4"/>
    <n v="7845.16"/>
    <n v="5317.24"/>
    <n v="2527.92"/>
    <n v="0.32222669773465423"/>
    <x v="10"/>
    <n v="2527.92"/>
  </r>
  <r>
    <d v="2023-03-15T00:00:00"/>
    <x v="10"/>
    <x v="2"/>
    <x v="1"/>
    <n v="252.15"/>
    <n v="212.46"/>
    <n v="9"/>
    <n v="2269.35"/>
    <n v="1912.14"/>
    <n v="357.20999999999981"/>
    <n v="0.1574063057703747"/>
    <x v="19"/>
    <n v="357.20999999999981"/>
  </r>
  <r>
    <d v="2023-01-19T00:00:00"/>
    <x v="3"/>
    <x v="2"/>
    <x v="3"/>
    <n v="1970.48"/>
    <n v="1310.85"/>
    <n v="3"/>
    <n v="5911.4400000000005"/>
    <n v="3932.5499999999997"/>
    <n v="1978.8900000000008"/>
    <n v="0.3347559985384273"/>
    <x v="13"/>
    <n v="1978.8900000000008"/>
  </r>
  <r>
    <d v="2024-06-20T00:00:00"/>
    <x v="6"/>
    <x v="3"/>
    <x v="3"/>
    <n v="1340.79"/>
    <n v="1047.19"/>
    <n v="5"/>
    <n v="6703.95"/>
    <n v="5235.9500000000007"/>
    <n v="1467.9999999999991"/>
    <n v="0.21897538018630794"/>
    <x v="4"/>
    <n v="1467.9999999999991"/>
  </r>
  <r>
    <d v="2023-11-07T00:00:00"/>
    <x v="6"/>
    <x v="3"/>
    <x v="1"/>
    <n v="1879.9"/>
    <n v="1129.43"/>
    <n v="4"/>
    <n v="7519.6"/>
    <n v="4517.72"/>
    <n v="3001.88"/>
    <n v="0.39920740464918347"/>
    <x v="10"/>
    <n v="3001.88"/>
  </r>
  <r>
    <d v="2023-08-24T00:00:00"/>
    <x v="3"/>
    <x v="2"/>
    <x v="2"/>
    <n v="729.46"/>
    <n v="365.92"/>
    <n v="1"/>
    <n v="729.46"/>
    <n v="365.92"/>
    <n v="363.54"/>
    <n v="0.49836865626627919"/>
    <x v="14"/>
    <n v="363.54"/>
  </r>
  <r>
    <d v="2023-09-22T00:00:00"/>
    <x v="5"/>
    <x v="3"/>
    <x v="0"/>
    <n v="1154.06"/>
    <n v="877.72"/>
    <n v="5"/>
    <n v="5770.2999999999993"/>
    <n v="4388.6000000000004"/>
    <n v="1381.6999999999989"/>
    <n v="0.23945028854652256"/>
    <x v="24"/>
    <n v="1381.6999999999989"/>
  </r>
  <r>
    <d v="2023-02-10T00:00:00"/>
    <x v="2"/>
    <x v="0"/>
    <x v="2"/>
    <n v="581.54"/>
    <n v="308.54000000000002"/>
    <n v="4"/>
    <n v="2326.16"/>
    <n v="1234.1600000000001"/>
    <n v="1091.9999999999998"/>
    <n v="0.46944320253121019"/>
    <x v="27"/>
    <n v="1091.9999999999998"/>
  </r>
  <r>
    <d v="2022-06-28T00:00:00"/>
    <x v="9"/>
    <x v="3"/>
    <x v="1"/>
    <n v="281.49"/>
    <n v="252.25"/>
    <n v="5"/>
    <n v="1407.45"/>
    <n v="1261.25"/>
    <n v="146.20000000000005"/>
    <n v="0.10387580375857049"/>
    <x v="18"/>
    <n v="146.20000000000005"/>
  </r>
  <r>
    <d v="2023-11-24T00:00:00"/>
    <x v="1"/>
    <x v="1"/>
    <x v="0"/>
    <n v="1855.18"/>
    <n v="1427.7"/>
    <n v="10"/>
    <n v="18551.8"/>
    <n v="14277"/>
    <n v="4274.7999999999993"/>
    <n v="0.23042508004614104"/>
    <x v="10"/>
    <n v="4274.7999999999993"/>
  </r>
  <r>
    <d v="2022-08-25T00:00:00"/>
    <x v="0"/>
    <x v="0"/>
    <x v="0"/>
    <n v="731.3"/>
    <n v="582.98"/>
    <n v="9"/>
    <n v="6581.7"/>
    <n v="5246.82"/>
    <n v="1334.88"/>
    <n v="0.20281690140845074"/>
    <x v="15"/>
    <n v="1334.88"/>
  </r>
  <r>
    <d v="2023-05-11T00:00:00"/>
    <x v="5"/>
    <x v="3"/>
    <x v="0"/>
    <n v="871.99"/>
    <n v="660.9"/>
    <n v="9"/>
    <n v="7847.91"/>
    <n v="5948.0999999999995"/>
    <n v="1899.8100000000004"/>
    <n v="0.24207846420257118"/>
    <x v="31"/>
    <n v="1899.8100000000004"/>
  </r>
  <r>
    <d v="2022-11-27T00:00:00"/>
    <x v="10"/>
    <x v="2"/>
    <x v="2"/>
    <n v="1710.4"/>
    <n v="924.47"/>
    <n v="4"/>
    <n v="6841.6"/>
    <n v="3697.88"/>
    <n v="3143.7200000000003"/>
    <n v="0.45950070159027129"/>
    <x v="1"/>
    <n v="3143.7200000000003"/>
  </r>
  <r>
    <d v="2022-08-14T00:00:00"/>
    <x v="9"/>
    <x v="3"/>
    <x v="2"/>
    <n v="808.25"/>
    <n v="530.92999999999995"/>
    <n v="10"/>
    <n v="8082.5"/>
    <n v="5309.2999999999993"/>
    <n v="2773.2000000000007"/>
    <n v="0.34311166099597906"/>
    <x v="15"/>
    <n v="2773.2000000000007"/>
  </r>
  <r>
    <d v="2022-02-18T00:00:00"/>
    <x v="6"/>
    <x v="3"/>
    <x v="3"/>
    <n v="568.36"/>
    <n v="453.1"/>
    <n v="4"/>
    <n v="2273.44"/>
    <n v="1812.4"/>
    <n v="461.03999999999996"/>
    <n v="0.20279400380040818"/>
    <x v="20"/>
    <n v="461.03999999999996"/>
  </r>
  <r>
    <d v="2024-01-28T00:00:00"/>
    <x v="1"/>
    <x v="1"/>
    <x v="2"/>
    <n v="457.85"/>
    <n v="272.35000000000002"/>
    <n v="5"/>
    <n v="2289.25"/>
    <n v="1361.75"/>
    <n v="927.5"/>
    <n v="0.4051545265916785"/>
    <x v="26"/>
    <n v="927.5"/>
  </r>
  <r>
    <d v="2024-04-12T00:00:00"/>
    <x v="10"/>
    <x v="2"/>
    <x v="0"/>
    <n v="1621.19"/>
    <n v="1033.04"/>
    <n v="5"/>
    <n v="8105.9500000000007"/>
    <n v="5165.2"/>
    <n v="2940.7500000000009"/>
    <n v="0.36278906235543035"/>
    <x v="22"/>
    <n v="2940.7500000000009"/>
  </r>
  <r>
    <d v="2022-09-25T00:00:00"/>
    <x v="5"/>
    <x v="3"/>
    <x v="3"/>
    <n v="459.93"/>
    <n v="298.85000000000002"/>
    <n v="8"/>
    <n v="3679.44"/>
    <n v="2390.8000000000002"/>
    <n v="1288.6399999999999"/>
    <n v="0.35022720848824818"/>
    <x v="12"/>
    <n v="1288.6399999999999"/>
  </r>
  <r>
    <d v="2022-04-29T00:00:00"/>
    <x v="9"/>
    <x v="3"/>
    <x v="0"/>
    <n v="1677.01"/>
    <n v="1104.1500000000001"/>
    <n v="10"/>
    <n v="16770.099999999999"/>
    <n v="11041.5"/>
    <n v="5728.5999999999985"/>
    <n v="0.34159605488339362"/>
    <x v="32"/>
    <n v="5728.5999999999985"/>
  </r>
  <r>
    <d v="2024-11-25T00:00:00"/>
    <x v="10"/>
    <x v="2"/>
    <x v="2"/>
    <n v="1276.1199999999999"/>
    <n v="792.14"/>
    <n v="6"/>
    <n v="7656.7199999999993"/>
    <n v="4752.84"/>
    <n v="2903.8799999999992"/>
    <n v="0.3792590038554367"/>
    <x v="2"/>
    <n v="2903.8799999999992"/>
  </r>
  <r>
    <d v="2023-11-28T00:00:00"/>
    <x v="7"/>
    <x v="0"/>
    <x v="2"/>
    <n v="291.51"/>
    <n v="195.32"/>
    <n v="9"/>
    <n v="2623.59"/>
    <n v="1757.8799999999999"/>
    <n v="865.71000000000026"/>
    <n v="0.329971527563377"/>
    <x v="10"/>
    <n v="865.71000000000026"/>
  </r>
  <r>
    <d v="2022-06-16T00:00:00"/>
    <x v="8"/>
    <x v="1"/>
    <x v="0"/>
    <n v="182.2"/>
    <n v="143.63999999999999"/>
    <n v="7"/>
    <n v="1275.3999999999999"/>
    <n v="1005.4799999999999"/>
    <n v="269.91999999999996"/>
    <n v="0.21163556531284303"/>
    <x v="18"/>
    <n v="269.91999999999996"/>
  </r>
  <r>
    <d v="2022-05-10T00:00:00"/>
    <x v="8"/>
    <x v="1"/>
    <x v="2"/>
    <n v="1530.86"/>
    <n v="773.08"/>
    <n v="1"/>
    <n v="1530.86"/>
    <n v="773.08"/>
    <n v="757.77999999999986"/>
    <n v="0.49500280887866943"/>
    <x v="35"/>
    <n v="757.77999999999986"/>
  </r>
  <r>
    <d v="2024-09-21T00:00:00"/>
    <x v="5"/>
    <x v="3"/>
    <x v="0"/>
    <n v="1705.43"/>
    <n v="970.32"/>
    <n v="10"/>
    <n v="17054.3"/>
    <n v="9703.2000000000007"/>
    <n v="7351.0999999999985"/>
    <n v="0.43104085186727092"/>
    <x v="16"/>
    <n v="7351.0999999999985"/>
  </r>
  <r>
    <d v="2022-02-26T00:00:00"/>
    <x v="0"/>
    <x v="0"/>
    <x v="0"/>
    <n v="369.35"/>
    <n v="190.17"/>
    <n v="1"/>
    <n v="369.35"/>
    <n v="190.17"/>
    <n v="179.18000000000004"/>
    <n v="0.48512251252199817"/>
    <x v="20"/>
    <n v="179.18000000000004"/>
  </r>
  <r>
    <d v="2024-08-31T00:00:00"/>
    <x v="1"/>
    <x v="1"/>
    <x v="2"/>
    <n v="1424.83"/>
    <n v="806.19"/>
    <n v="2"/>
    <n v="2849.66"/>
    <n v="1612.38"/>
    <n v="1237.2799999999997"/>
    <n v="0.43418513085771632"/>
    <x v="21"/>
    <n v="1237.2799999999997"/>
  </r>
  <r>
    <d v="2022-09-09T00:00:00"/>
    <x v="8"/>
    <x v="1"/>
    <x v="1"/>
    <n v="441.37"/>
    <n v="306.20999999999998"/>
    <n v="2"/>
    <n v="882.74"/>
    <n v="612.41999999999996"/>
    <n v="270.32000000000005"/>
    <n v="0.306228334503931"/>
    <x v="12"/>
    <n v="270.32000000000005"/>
  </r>
  <r>
    <d v="2022-03-06T00:00:00"/>
    <x v="8"/>
    <x v="1"/>
    <x v="0"/>
    <n v="1355.89"/>
    <n v="1197.83"/>
    <n v="3"/>
    <n v="4067.67"/>
    <n v="3593.49"/>
    <n v="474.18000000000029"/>
    <n v="0.11657287833083811"/>
    <x v="7"/>
    <n v="474.18000000000029"/>
  </r>
  <r>
    <d v="2023-12-29T00:00:00"/>
    <x v="3"/>
    <x v="2"/>
    <x v="3"/>
    <n v="623.45000000000005"/>
    <n v="364.52"/>
    <n v="3"/>
    <n v="1870.3500000000001"/>
    <n v="1093.56"/>
    <n v="776.79000000000019"/>
    <n v="0.41531798861175723"/>
    <x v="30"/>
    <n v="776.79000000000019"/>
  </r>
  <r>
    <d v="2024-01-10T00:00:00"/>
    <x v="10"/>
    <x v="2"/>
    <x v="1"/>
    <n v="1422.17"/>
    <n v="1164.6500000000001"/>
    <n v="6"/>
    <n v="8533.02"/>
    <n v="6987.9000000000005"/>
    <n v="1545.12"/>
    <n v="0.18107539886230195"/>
    <x v="26"/>
    <n v="1545.12"/>
  </r>
  <r>
    <d v="2023-06-13T00:00:00"/>
    <x v="9"/>
    <x v="3"/>
    <x v="2"/>
    <n v="1641.84"/>
    <n v="1426.98"/>
    <n v="7"/>
    <n v="11492.88"/>
    <n v="9988.86"/>
    <n v="1504.0199999999986"/>
    <n v="0.13086537055985956"/>
    <x v="0"/>
    <n v="1504.0199999999986"/>
  </r>
  <r>
    <d v="2024-06-17T00:00:00"/>
    <x v="8"/>
    <x v="1"/>
    <x v="3"/>
    <n v="392.63"/>
    <n v="241.75"/>
    <n v="10"/>
    <n v="3926.3"/>
    <n v="2417.5"/>
    <n v="1508.8000000000002"/>
    <n v="0.38428036573873625"/>
    <x v="4"/>
    <n v="1508.8000000000002"/>
  </r>
  <r>
    <d v="2022-06-20T00:00:00"/>
    <x v="7"/>
    <x v="0"/>
    <x v="2"/>
    <n v="356.95"/>
    <n v="242.3"/>
    <n v="9"/>
    <n v="3212.5499999999997"/>
    <n v="2180.7000000000003"/>
    <n v="1031.8499999999995"/>
    <n v="0.32119344446000825"/>
    <x v="18"/>
    <n v="1031.8499999999995"/>
  </r>
  <r>
    <d v="2024-03-04T00:00:00"/>
    <x v="1"/>
    <x v="1"/>
    <x v="0"/>
    <n v="1749.16"/>
    <n v="999.13"/>
    <n v="1"/>
    <n v="1749.16"/>
    <n v="999.13"/>
    <n v="750.03000000000009"/>
    <n v="0.42879439273708525"/>
    <x v="29"/>
    <n v="750.03000000000009"/>
  </r>
  <r>
    <d v="2023-04-13T00:00:00"/>
    <x v="3"/>
    <x v="2"/>
    <x v="3"/>
    <n v="1160.8499999999999"/>
    <n v="852.57"/>
    <n v="6"/>
    <n v="6965.0999999999995"/>
    <n v="5115.42"/>
    <n v="1849.6799999999994"/>
    <n v="0.26556402635999476"/>
    <x v="6"/>
    <n v="1849.6799999999994"/>
  </r>
  <r>
    <d v="2023-10-05T00:00:00"/>
    <x v="3"/>
    <x v="2"/>
    <x v="1"/>
    <n v="439.5"/>
    <n v="348.75"/>
    <n v="4"/>
    <n v="1758"/>
    <n v="1395"/>
    <n v="363"/>
    <n v="0.20648464163822525"/>
    <x v="5"/>
    <n v="363"/>
  </r>
  <r>
    <d v="2024-10-18T00:00:00"/>
    <x v="2"/>
    <x v="0"/>
    <x v="2"/>
    <n v="620.38"/>
    <n v="554.87"/>
    <n v="8"/>
    <n v="4963.04"/>
    <n v="4438.96"/>
    <n v="524.07999999999993"/>
    <n v="0.10559656984428897"/>
    <x v="17"/>
    <n v="524.07999999999993"/>
  </r>
  <r>
    <d v="2023-11-04T00:00:00"/>
    <x v="4"/>
    <x v="2"/>
    <x v="2"/>
    <n v="1134.48"/>
    <n v="745.63"/>
    <n v="6"/>
    <n v="6806.88"/>
    <n v="4473.78"/>
    <n v="2333.1000000000004"/>
    <n v="0.34275615259854741"/>
    <x v="10"/>
    <n v="2333.1000000000004"/>
  </r>
  <r>
    <d v="2023-08-05T00:00:00"/>
    <x v="4"/>
    <x v="2"/>
    <x v="1"/>
    <n v="124.88"/>
    <n v="100.01"/>
    <n v="9"/>
    <n v="1123.92"/>
    <n v="900.09"/>
    <n v="223.83000000000004"/>
    <n v="0.19915118513773225"/>
    <x v="14"/>
    <n v="223.83000000000004"/>
  </r>
  <r>
    <d v="2024-10-27T00:00:00"/>
    <x v="5"/>
    <x v="3"/>
    <x v="2"/>
    <n v="1160.06"/>
    <n v="870.98"/>
    <n v="8"/>
    <n v="9280.48"/>
    <n v="6967.84"/>
    <n v="2312.6399999999994"/>
    <n v="0.24919400720652374"/>
    <x v="17"/>
    <n v="2312.6399999999994"/>
  </r>
  <r>
    <d v="2022-04-22T00:00:00"/>
    <x v="0"/>
    <x v="0"/>
    <x v="0"/>
    <n v="1657.41"/>
    <n v="1134.4000000000001"/>
    <n v="8"/>
    <n v="13259.28"/>
    <n v="9075.2000000000007"/>
    <n v="4184.08"/>
    <n v="0.3155586125340139"/>
    <x v="32"/>
    <n v="4184.08"/>
  </r>
  <r>
    <d v="2023-08-09T00:00:00"/>
    <x v="1"/>
    <x v="1"/>
    <x v="3"/>
    <n v="303.79000000000002"/>
    <n v="260.11"/>
    <n v="7"/>
    <n v="2126.5300000000002"/>
    <n v="1820.77"/>
    <n v="305.76000000000022"/>
    <n v="0.14378353467856095"/>
    <x v="14"/>
    <n v="305.76000000000022"/>
  </r>
  <r>
    <d v="2022-02-17T00:00:00"/>
    <x v="10"/>
    <x v="2"/>
    <x v="1"/>
    <n v="1309.75"/>
    <n v="1024.75"/>
    <n v="5"/>
    <n v="6548.75"/>
    <n v="5123.75"/>
    <n v="1425"/>
    <n v="0.21759877839282304"/>
    <x v="20"/>
    <n v="1425"/>
  </r>
  <r>
    <d v="2024-04-10T00:00:00"/>
    <x v="2"/>
    <x v="0"/>
    <x v="0"/>
    <n v="1039.76"/>
    <n v="702.48"/>
    <n v="5"/>
    <n v="5198.8"/>
    <n v="3512.4"/>
    <n v="1686.4"/>
    <n v="0.32438254981918907"/>
    <x v="22"/>
    <n v="1686.4"/>
  </r>
  <r>
    <d v="2023-08-12T00:00:00"/>
    <x v="10"/>
    <x v="2"/>
    <x v="3"/>
    <n v="214.23"/>
    <n v="189.72"/>
    <n v="4"/>
    <n v="856.92"/>
    <n v="758.88"/>
    <n v="98.039999999999964"/>
    <n v="0.11440974653409883"/>
    <x v="14"/>
    <n v="98.039999999999964"/>
  </r>
  <r>
    <d v="2024-02-02T00:00:00"/>
    <x v="3"/>
    <x v="2"/>
    <x v="2"/>
    <n v="1052.07"/>
    <n v="652.79999999999995"/>
    <n v="8"/>
    <n v="8416.56"/>
    <n v="5222.3999999999996"/>
    <n v="3194.16"/>
    <n v="0.37950896803444639"/>
    <x v="34"/>
    <n v="3194.16"/>
  </r>
  <r>
    <d v="2024-07-27T00:00:00"/>
    <x v="8"/>
    <x v="1"/>
    <x v="3"/>
    <n v="1401.4"/>
    <n v="816.75"/>
    <n v="4"/>
    <n v="5605.6"/>
    <n v="3267"/>
    <n v="2338.6000000000004"/>
    <n v="0.41718995290423866"/>
    <x v="28"/>
    <n v="2338.6000000000004"/>
  </r>
  <r>
    <d v="2022-09-05T00:00:00"/>
    <x v="10"/>
    <x v="2"/>
    <x v="3"/>
    <n v="1325.58"/>
    <n v="698.61"/>
    <n v="1"/>
    <n v="1325.58"/>
    <n v="698.61"/>
    <n v="626.96999999999991"/>
    <n v="0.47297786629249078"/>
    <x v="12"/>
    <n v="626.96999999999991"/>
  </r>
  <r>
    <d v="2023-02-18T00:00:00"/>
    <x v="5"/>
    <x v="3"/>
    <x v="1"/>
    <n v="1079.9000000000001"/>
    <n v="720.23"/>
    <n v="7"/>
    <n v="7559.3000000000011"/>
    <n v="5041.6100000000006"/>
    <n v="2517.6900000000005"/>
    <n v="0.33305861653856839"/>
    <x v="27"/>
    <n v="2517.6900000000005"/>
  </r>
  <r>
    <d v="2023-05-20T00:00:00"/>
    <x v="7"/>
    <x v="0"/>
    <x v="0"/>
    <n v="1617.43"/>
    <n v="1287.07"/>
    <n v="1"/>
    <n v="1617.43"/>
    <n v="1287.07"/>
    <n v="330.36000000000013"/>
    <n v="0.20424995208447977"/>
    <x v="31"/>
    <n v="330.36000000000013"/>
  </r>
  <r>
    <d v="2024-01-24T00:00:00"/>
    <x v="0"/>
    <x v="0"/>
    <x v="3"/>
    <n v="599.78"/>
    <n v="439.6"/>
    <n v="10"/>
    <n v="5997.7999999999993"/>
    <n v="4396"/>
    <n v="1601.7999999999993"/>
    <n v="0.26706459034979485"/>
    <x v="26"/>
    <n v="1601.7999999999993"/>
  </r>
  <r>
    <d v="2023-04-06T00:00:00"/>
    <x v="3"/>
    <x v="2"/>
    <x v="1"/>
    <n v="1124.06"/>
    <n v="933.69"/>
    <n v="4"/>
    <n v="4496.24"/>
    <n v="3734.76"/>
    <n v="761.47999999999956"/>
    <n v="0.16935928687080751"/>
    <x v="6"/>
    <n v="761.47999999999956"/>
  </r>
  <r>
    <d v="2022-12-11T00:00:00"/>
    <x v="7"/>
    <x v="0"/>
    <x v="2"/>
    <n v="612.45000000000005"/>
    <n v="414.7"/>
    <n v="6"/>
    <n v="3674.7000000000003"/>
    <n v="2488.1999999999998"/>
    <n v="1186.5000000000005"/>
    <n v="0.32288350069393429"/>
    <x v="33"/>
    <n v="1186.5000000000005"/>
  </r>
  <r>
    <d v="2022-07-24T00:00:00"/>
    <x v="1"/>
    <x v="1"/>
    <x v="3"/>
    <n v="1395.4"/>
    <n v="967.37"/>
    <n v="9"/>
    <n v="12558.6"/>
    <n v="8706.33"/>
    <n v="3852.2700000000004"/>
    <n v="0.30674358606851082"/>
    <x v="8"/>
    <n v="3852.2700000000004"/>
  </r>
  <r>
    <d v="2022-03-02T00:00:00"/>
    <x v="3"/>
    <x v="2"/>
    <x v="0"/>
    <n v="1127.56"/>
    <n v="1010.94"/>
    <n v="8"/>
    <n v="9020.48"/>
    <n v="8087.52"/>
    <n v="932.95999999999913"/>
    <n v="0.10342686863670217"/>
    <x v="7"/>
    <n v="932.95999999999913"/>
  </r>
  <r>
    <d v="2022-10-27T00:00:00"/>
    <x v="0"/>
    <x v="0"/>
    <x v="3"/>
    <n v="1357.84"/>
    <n v="1144.47"/>
    <n v="10"/>
    <n v="13578.4"/>
    <n v="11444.7"/>
    <n v="2133.6999999999989"/>
    <n v="0.15713928003299349"/>
    <x v="25"/>
    <n v="2133.6999999999989"/>
  </r>
  <r>
    <d v="2024-01-10T00:00:00"/>
    <x v="9"/>
    <x v="3"/>
    <x v="1"/>
    <n v="775.07"/>
    <n v="542.89"/>
    <n v="5"/>
    <n v="3875.3500000000004"/>
    <n v="2714.45"/>
    <n v="1160.9000000000005"/>
    <n v="0.29956003973834633"/>
    <x v="26"/>
    <n v="1160.9000000000005"/>
  </r>
  <r>
    <d v="2024-10-05T00:00:00"/>
    <x v="2"/>
    <x v="0"/>
    <x v="0"/>
    <n v="692.45"/>
    <n v="471.87"/>
    <n v="6"/>
    <n v="4154.7000000000007"/>
    <n v="2831.2200000000003"/>
    <n v="1323.4800000000005"/>
    <n v="0.31855007581774863"/>
    <x v="17"/>
    <n v="1323.4800000000005"/>
  </r>
  <r>
    <d v="2024-03-15T00:00:00"/>
    <x v="5"/>
    <x v="3"/>
    <x v="1"/>
    <n v="1121.79"/>
    <n v="955.99"/>
    <n v="9"/>
    <n v="10096.11"/>
    <n v="8603.91"/>
    <n v="1492.2000000000007"/>
    <n v="0.14779949901496722"/>
    <x v="29"/>
    <n v="1492.2000000000007"/>
  </r>
  <r>
    <d v="2022-11-27T00:00:00"/>
    <x v="10"/>
    <x v="2"/>
    <x v="3"/>
    <n v="315.14999999999998"/>
    <n v="223.88"/>
    <n v="9"/>
    <n v="2836.35"/>
    <n v="2014.92"/>
    <n v="821.42999999999984"/>
    <n v="0.28960812311597645"/>
    <x v="1"/>
    <n v="821.42999999999984"/>
  </r>
  <r>
    <d v="2023-04-29T00:00:00"/>
    <x v="1"/>
    <x v="1"/>
    <x v="0"/>
    <n v="407.47"/>
    <n v="229.73"/>
    <n v="6"/>
    <n v="2444.8200000000002"/>
    <n v="1378.3799999999999"/>
    <n v="1066.4400000000003"/>
    <n v="0.43620389231109047"/>
    <x v="6"/>
    <n v="1066.4400000000003"/>
  </r>
  <r>
    <d v="2024-09-21T00:00:00"/>
    <x v="0"/>
    <x v="0"/>
    <x v="0"/>
    <n v="1302.4000000000001"/>
    <n v="877.18"/>
    <n v="10"/>
    <n v="13024"/>
    <n v="8771.7999999999993"/>
    <n v="4252.2000000000007"/>
    <n v="0.32648955773955779"/>
    <x v="16"/>
    <n v="4252.2000000000007"/>
  </r>
  <r>
    <d v="2024-08-19T00:00:00"/>
    <x v="5"/>
    <x v="3"/>
    <x v="0"/>
    <n v="943.8"/>
    <n v="778.52"/>
    <n v="5"/>
    <n v="4719"/>
    <n v="3892.6"/>
    <n v="826.40000000000009"/>
    <n v="0.1751218478491206"/>
    <x v="21"/>
    <n v="826.40000000000009"/>
  </r>
  <r>
    <d v="2023-04-07T00:00:00"/>
    <x v="8"/>
    <x v="1"/>
    <x v="1"/>
    <n v="474.3"/>
    <n v="391.91"/>
    <n v="7"/>
    <n v="3320.1"/>
    <n v="2743.3700000000003"/>
    <n v="576.72999999999956"/>
    <n v="0.1737086232342398"/>
    <x v="6"/>
    <n v="576.72999999999956"/>
  </r>
  <r>
    <d v="2024-07-30T00:00:00"/>
    <x v="2"/>
    <x v="0"/>
    <x v="0"/>
    <n v="1135.99"/>
    <n v="724.53"/>
    <n v="4"/>
    <n v="4543.96"/>
    <n v="2898.12"/>
    <n v="1645.8400000000001"/>
    <n v="0.36220389263990005"/>
    <x v="28"/>
    <n v="1645.8400000000001"/>
  </r>
  <r>
    <d v="2024-04-12T00:00:00"/>
    <x v="5"/>
    <x v="3"/>
    <x v="3"/>
    <n v="638.21"/>
    <n v="427.78"/>
    <n v="4"/>
    <n v="2552.84"/>
    <n v="1711.12"/>
    <n v="841.72000000000025"/>
    <n v="0.32971905799031676"/>
    <x v="22"/>
    <n v="841.72000000000025"/>
  </r>
  <r>
    <d v="2023-01-08T00:00:00"/>
    <x v="0"/>
    <x v="0"/>
    <x v="1"/>
    <n v="231.63"/>
    <n v="192.03"/>
    <n v="7"/>
    <n v="1621.4099999999999"/>
    <n v="1344.21"/>
    <n v="277.19999999999982"/>
    <n v="0.1709623105815308"/>
    <x v="13"/>
    <n v="277.19999999999982"/>
  </r>
  <r>
    <d v="2022-10-06T00:00:00"/>
    <x v="10"/>
    <x v="2"/>
    <x v="1"/>
    <n v="560.73"/>
    <n v="473.76"/>
    <n v="8"/>
    <n v="4485.84"/>
    <n v="3790.08"/>
    <n v="695.76000000000022"/>
    <n v="0.1551013856936494"/>
    <x v="25"/>
    <n v="695.76000000000022"/>
  </r>
  <r>
    <d v="2024-05-14T00:00:00"/>
    <x v="7"/>
    <x v="0"/>
    <x v="0"/>
    <n v="462.29"/>
    <n v="252.1"/>
    <n v="8"/>
    <n v="3698.32"/>
    <n v="2016.8"/>
    <n v="1681.5200000000002"/>
    <n v="0.45467131021653079"/>
    <x v="3"/>
    <n v="1681.5200000000002"/>
  </r>
  <r>
    <d v="2024-03-23T00:00:00"/>
    <x v="8"/>
    <x v="1"/>
    <x v="1"/>
    <n v="278.89999999999998"/>
    <n v="158.38999999999999"/>
    <n v="4"/>
    <n v="1115.5999999999999"/>
    <n v="633.55999999999995"/>
    <n v="482.03999999999996"/>
    <n v="0.43209035496593762"/>
    <x v="29"/>
    <n v="482.03999999999996"/>
  </r>
  <r>
    <d v="2022-01-21T00:00:00"/>
    <x v="2"/>
    <x v="0"/>
    <x v="2"/>
    <n v="52.34"/>
    <n v="40.700000000000003"/>
    <n v="3"/>
    <n v="157.02000000000001"/>
    <n v="122.10000000000001"/>
    <n v="34.92"/>
    <n v="0.22239205196790218"/>
    <x v="9"/>
    <n v="34.92"/>
  </r>
  <r>
    <d v="2022-04-10T00:00:00"/>
    <x v="2"/>
    <x v="0"/>
    <x v="0"/>
    <n v="906.21"/>
    <n v="601.20000000000005"/>
    <n v="1"/>
    <n v="906.21"/>
    <n v="601.20000000000005"/>
    <n v="305.01"/>
    <n v="0.33657761446022444"/>
    <x v="32"/>
    <n v="305.01"/>
  </r>
  <r>
    <d v="2024-09-16T00:00:00"/>
    <x v="10"/>
    <x v="2"/>
    <x v="1"/>
    <n v="1264.26"/>
    <n v="708.97"/>
    <n v="7"/>
    <n v="8849.82"/>
    <n v="4962.79"/>
    <n v="3887.0299999999997"/>
    <n v="0.43922136269438244"/>
    <x v="16"/>
    <n v="3887.0299999999997"/>
  </r>
  <r>
    <d v="2024-12-23T00:00:00"/>
    <x v="8"/>
    <x v="1"/>
    <x v="0"/>
    <n v="1800.13"/>
    <n v="1063.8499999999999"/>
    <n v="2"/>
    <n v="3600.26"/>
    <n v="2127.6999999999998"/>
    <n v="1472.5600000000004"/>
    <n v="0.40901490447912103"/>
    <x v="23"/>
    <n v="1472.5600000000004"/>
  </r>
  <r>
    <d v="2024-01-03T00:00:00"/>
    <x v="8"/>
    <x v="1"/>
    <x v="2"/>
    <n v="254.62"/>
    <n v="148.05000000000001"/>
    <n v="6"/>
    <n v="1527.72"/>
    <n v="888.30000000000007"/>
    <n v="639.41999999999996"/>
    <n v="0.41854528316707246"/>
    <x v="26"/>
    <n v="639.41999999999996"/>
  </r>
  <r>
    <d v="2023-06-25T00:00:00"/>
    <x v="3"/>
    <x v="2"/>
    <x v="0"/>
    <n v="829.51"/>
    <n v="463.47"/>
    <n v="9"/>
    <n v="7465.59"/>
    <n v="4171.2300000000005"/>
    <n v="3294.3599999999997"/>
    <n v="0.44127255849839059"/>
    <x v="0"/>
    <n v="3294.3599999999997"/>
  </r>
  <r>
    <d v="2023-05-24T00:00:00"/>
    <x v="1"/>
    <x v="1"/>
    <x v="2"/>
    <n v="219.93"/>
    <n v="175.69"/>
    <n v="2"/>
    <n v="439.86"/>
    <n v="351.38"/>
    <n v="88.480000000000018"/>
    <n v="0.2011549129268404"/>
    <x v="31"/>
    <n v="88.480000000000018"/>
  </r>
  <r>
    <d v="2024-01-19T00:00:00"/>
    <x v="3"/>
    <x v="2"/>
    <x v="2"/>
    <n v="1211.26"/>
    <n v="828.88"/>
    <n v="3"/>
    <n v="3633.7799999999997"/>
    <n v="2486.64"/>
    <n v="1147.1399999999999"/>
    <n v="0.3156877961791853"/>
    <x v="26"/>
    <n v="1147.1399999999999"/>
  </r>
  <r>
    <d v="2023-04-15T00:00:00"/>
    <x v="6"/>
    <x v="3"/>
    <x v="2"/>
    <n v="1641.74"/>
    <n v="1124.1199999999999"/>
    <n v="5"/>
    <n v="8208.7000000000007"/>
    <n v="5620.5999999999995"/>
    <n v="2588.1000000000013"/>
    <n v="0.315287438936738"/>
    <x v="6"/>
    <n v="2588.1000000000013"/>
  </r>
  <r>
    <d v="2022-02-16T00:00:00"/>
    <x v="2"/>
    <x v="0"/>
    <x v="3"/>
    <n v="745.14"/>
    <n v="578.77"/>
    <n v="7"/>
    <n v="5215.9799999999996"/>
    <n v="4051.39"/>
    <n v="1164.5899999999997"/>
    <n v="0.22327347880935122"/>
    <x v="20"/>
    <n v="1164.5899999999997"/>
  </r>
  <r>
    <d v="2024-03-11T00:00:00"/>
    <x v="0"/>
    <x v="0"/>
    <x v="3"/>
    <n v="816.04"/>
    <n v="488.47"/>
    <n v="5"/>
    <n v="4080.2"/>
    <n v="2442.3500000000004"/>
    <n v="1637.8499999999995"/>
    <n v="0.40141414636537415"/>
    <x v="29"/>
    <n v="1637.8499999999995"/>
  </r>
  <r>
    <d v="2024-05-07T00:00:00"/>
    <x v="0"/>
    <x v="0"/>
    <x v="2"/>
    <n v="416.97"/>
    <n v="291.49"/>
    <n v="3"/>
    <n v="1250.9100000000001"/>
    <n v="874.47"/>
    <n v="376.44000000000005"/>
    <n v="0.30093292083363316"/>
    <x v="3"/>
    <n v="376.44000000000005"/>
  </r>
  <r>
    <d v="2024-05-27T00:00:00"/>
    <x v="3"/>
    <x v="2"/>
    <x v="2"/>
    <n v="1986.18"/>
    <n v="1126.17"/>
    <n v="8"/>
    <n v="15889.44"/>
    <n v="9009.36"/>
    <n v="6880.08"/>
    <n v="0.43299700933450136"/>
    <x v="3"/>
    <n v="6880.08"/>
  </r>
  <r>
    <d v="2022-05-31T00:00:00"/>
    <x v="0"/>
    <x v="0"/>
    <x v="2"/>
    <n v="1786.93"/>
    <n v="1101.73"/>
    <n v="5"/>
    <n v="8934.65"/>
    <n v="5508.65"/>
    <n v="3426"/>
    <n v="0.38345094659555778"/>
    <x v="35"/>
    <n v="3426"/>
  </r>
  <r>
    <d v="2024-12-03T00:00:00"/>
    <x v="1"/>
    <x v="1"/>
    <x v="2"/>
    <n v="1052.48"/>
    <n v="891.27"/>
    <n v="2"/>
    <n v="2104.96"/>
    <n v="1782.54"/>
    <n v="322.42000000000007"/>
    <n v="0.15317155670416543"/>
    <x v="23"/>
    <n v="322.42000000000007"/>
  </r>
  <r>
    <d v="2022-12-20T00:00:00"/>
    <x v="3"/>
    <x v="2"/>
    <x v="2"/>
    <n v="762.83"/>
    <n v="624.35"/>
    <n v="6"/>
    <n v="4576.9800000000005"/>
    <n v="3746.1000000000004"/>
    <n v="830.88000000000011"/>
    <n v="0.18153454898207988"/>
    <x v="33"/>
    <n v="830.88000000000011"/>
  </r>
  <r>
    <d v="2022-08-11T00:00:00"/>
    <x v="1"/>
    <x v="1"/>
    <x v="3"/>
    <n v="143.44999999999999"/>
    <n v="87.8"/>
    <n v="3"/>
    <n v="430.34999999999997"/>
    <n v="263.39999999999998"/>
    <n v="166.95"/>
    <n v="0.38794004879749044"/>
    <x v="15"/>
    <n v="166.95"/>
  </r>
  <r>
    <d v="2022-01-05T00:00:00"/>
    <x v="5"/>
    <x v="3"/>
    <x v="3"/>
    <n v="198.75"/>
    <n v="124.68"/>
    <n v="9"/>
    <n v="1788.75"/>
    <n v="1122.1200000000001"/>
    <n v="666.62999999999988"/>
    <n v="0.37267924528301882"/>
    <x v="9"/>
    <n v="666.62999999999988"/>
  </r>
  <r>
    <d v="2023-08-21T00:00:00"/>
    <x v="10"/>
    <x v="2"/>
    <x v="0"/>
    <n v="1539.56"/>
    <n v="1043.3499999999999"/>
    <n v="7"/>
    <n v="10776.92"/>
    <n v="7303.4499999999989"/>
    <n v="3473.4700000000012"/>
    <n v="0.32230637324949996"/>
    <x v="14"/>
    <n v="3473.4700000000012"/>
  </r>
  <r>
    <d v="2023-10-17T00:00:00"/>
    <x v="4"/>
    <x v="2"/>
    <x v="3"/>
    <n v="1584.45"/>
    <n v="1147.31"/>
    <n v="8"/>
    <n v="12675.6"/>
    <n v="9178.48"/>
    <n v="3497.1200000000008"/>
    <n v="0.27589384328946959"/>
    <x v="5"/>
    <n v="3497.1200000000008"/>
  </r>
  <r>
    <d v="2024-12-08T00:00:00"/>
    <x v="10"/>
    <x v="2"/>
    <x v="0"/>
    <n v="488.84"/>
    <n v="394.77"/>
    <n v="7"/>
    <n v="3421.8799999999997"/>
    <n v="2763.39"/>
    <n v="658.48999999999978"/>
    <n v="0.19243515260616967"/>
    <x v="23"/>
    <n v="658.48999999999978"/>
  </r>
  <r>
    <d v="2024-08-20T00:00:00"/>
    <x v="8"/>
    <x v="1"/>
    <x v="2"/>
    <n v="553.57000000000005"/>
    <n v="297.56"/>
    <n v="8"/>
    <n v="4428.5600000000004"/>
    <n v="2380.48"/>
    <n v="2048.0800000000004"/>
    <n v="0.46247087089257011"/>
    <x v="21"/>
    <n v="2048.0800000000004"/>
  </r>
  <r>
    <d v="2023-05-29T00:00:00"/>
    <x v="7"/>
    <x v="0"/>
    <x v="0"/>
    <n v="62.22"/>
    <n v="38.08"/>
    <n v="5"/>
    <n v="311.10000000000002"/>
    <n v="190.39999999999998"/>
    <n v="120.70000000000005"/>
    <n v="0.38797814207650283"/>
    <x v="31"/>
    <n v="120.70000000000005"/>
  </r>
  <r>
    <d v="2024-01-31T00:00:00"/>
    <x v="7"/>
    <x v="0"/>
    <x v="2"/>
    <n v="1638.05"/>
    <n v="1244.67"/>
    <n v="9"/>
    <n v="14742.449999999999"/>
    <n v="11202.03"/>
    <n v="3540.4199999999983"/>
    <n v="0.24015139952992878"/>
    <x v="26"/>
    <n v="3540.4199999999983"/>
  </r>
  <r>
    <d v="2023-03-22T00:00:00"/>
    <x v="5"/>
    <x v="3"/>
    <x v="0"/>
    <n v="1897.76"/>
    <n v="1050.68"/>
    <n v="7"/>
    <n v="13284.32"/>
    <n v="7354.76"/>
    <n v="5929.5599999999995"/>
    <n v="0.44635781131439167"/>
    <x v="19"/>
    <n v="5929.5599999999995"/>
  </r>
  <r>
    <d v="2024-09-16T00:00:00"/>
    <x v="10"/>
    <x v="2"/>
    <x v="1"/>
    <n v="1862.85"/>
    <n v="992.86"/>
    <n v="5"/>
    <n v="9314.25"/>
    <n v="4964.3"/>
    <n v="4349.95"/>
    <n v="0.46702096250369057"/>
    <x v="16"/>
    <n v="4349.95"/>
  </r>
  <r>
    <d v="2022-02-13T00:00:00"/>
    <x v="9"/>
    <x v="3"/>
    <x v="3"/>
    <n v="212.51"/>
    <n v="178.51"/>
    <n v="8"/>
    <n v="1700.08"/>
    <n v="1428.08"/>
    <n v="272"/>
    <n v="0.15999247094254387"/>
    <x v="20"/>
    <n v="272"/>
  </r>
  <r>
    <d v="2024-12-21T00:00:00"/>
    <x v="0"/>
    <x v="0"/>
    <x v="1"/>
    <n v="476.9"/>
    <n v="394.92"/>
    <n v="5"/>
    <n v="2384.5"/>
    <n v="1974.6000000000001"/>
    <n v="409.89999999999986"/>
    <n v="0.17190186621933315"/>
    <x v="23"/>
    <n v="409.89999999999986"/>
  </r>
  <r>
    <d v="2022-03-09T00:00:00"/>
    <x v="9"/>
    <x v="3"/>
    <x v="0"/>
    <n v="842.49"/>
    <n v="669.84"/>
    <n v="7"/>
    <n v="5897.43"/>
    <n v="4688.88"/>
    <n v="1208.5500000000002"/>
    <n v="0.20492824840650931"/>
    <x v="7"/>
    <n v="1208.5500000000002"/>
  </r>
  <r>
    <d v="2024-07-15T00:00:00"/>
    <x v="5"/>
    <x v="3"/>
    <x v="2"/>
    <n v="370.93"/>
    <n v="210.12"/>
    <n v="1"/>
    <n v="370.93"/>
    <n v="210.12"/>
    <n v="160.81"/>
    <n v="0.43353193324886097"/>
    <x v="28"/>
    <n v="160.81"/>
  </r>
  <r>
    <d v="2022-03-15T00:00:00"/>
    <x v="6"/>
    <x v="3"/>
    <x v="3"/>
    <n v="1890.58"/>
    <n v="1394.64"/>
    <n v="6"/>
    <n v="11343.48"/>
    <n v="8367.84"/>
    <n v="2975.6399999999994"/>
    <n v="0.26232161558886685"/>
    <x v="7"/>
    <n v="2975.6399999999994"/>
  </r>
  <r>
    <d v="2023-05-02T00:00:00"/>
    <x v="5"/>
    <x v="3"/>
    <x v="2"/>
    <n v="1169.22"/>
    <n v="1052.04"/>
    <n v="10"/>
    <n v="11692.2"/>
    <n v="10520.4"/>
    <n v="1171.8000000000011"/>
    <n v="0.100220659927131"/>
    <x v="31"/>
    <n v="1171.8000000000011"/>
  </r>
  <r>
    <d v="2023-07-13T00:00:00"/>
    <x v="3"/>
    <x v="2"/>
    <x v="2"/>
    <n v="1106.67"/>
    <n v="745.6"/>
    <n v="2"/>
    <n v="2213.34"/>
    <n v="1491.2"/>
    <n v="722.1400000000001"/>
    <n v="0.32626708955695921"/>
    <x v="11"/>
    <n v="722.1400000000001"/>
  </r>
  <r>
    <d v="2024-02-19T00:00:00"/>
    <x v="0"/>
    <x v="0"/>
    <x v="2"/>
    <n v="91.23"/>
    <n v="64.430000000000007"/>
    <n v="5"/>
    <n v="456.15000000000003"/>
    <n v="322.15000000000003"/>
    <n v="134"/>
    <n v="0.29376301655157294"/>
    <x v="34"/>
    <n v="134"/>
  </r>
  <r>
    <d v="2022-07-20T00:00:00"/>
    <x v="0"/>
    <x v="0"/>
    <x v="0"/>
    <n v="1810.75"/>
    <n v="1121.55"/>
    <n v="8"/>
    <n v="14486"/>
    <n v="8972.4"/>
    <n v="5513.6"/>
    <n v="0.38061576694739752"/>
    <x v="8"/>
    <n v="5513.6"/>
  </r>
  <r>
    <d v="2024-10-30T00:00:00"/>
    <x v="6"/>
    <x v="3"/>
    <x v="2"/>
    <n v="186.13"/>
    <n v="136.72999999999999"/>
    <n v="5"/>
    <n v="930.65"/>
    <n v="683.65"/>
    <n v="247"/>
    <n v="0.26540589910277762"/>
    <x v="17"/>
    <n v="247"/>
  </r>
  <r>
    <d v="2023-09-05T00:00:00"/>
    <x v="8"/>
    <x v="1"/>
    <x v="0"/>
    <n v="1643.7"/>
    <n v="1391.07"/>
    <n v="2"/>
    <n v="3287.4"/>
    <n v="2782.14"/>
    <n v="505.26000000000022"/>
    <n v="0.15369592991421799"/>
    <x v="24"/>
    <n v="505.26000000000022"/>
  </r>
  <r>
    <d v="2024-02-21T00:00:00"/>
    <x v="2"/>
    <x v="0"/>
    <x v="2"/>
    <n v="1622.63"/>
    <n v="1394.95"/>
    <n v="2"/>
    <n v="3245.26"/>
    <n v="2789.9"/>
    <n v="455.36000000000013"/>
    <n v="0.1403154138651449"/>
    <x v="34"/>
    <n v="455.36000000000013"/>
  </r>
  <r>
    <d v="2023-01-19T00:00:00"/>
    <x v="5"/>
    <x v="3"/>
    <x v="1"/>
    <n v="728.08"/>
    <n v="390.13"/>
    <n v="2"/>
    <n v="1456.16"/>
    <n v="780.26"/>
    <n v="675.90000000000009"/>
    <n v="0.46416602571146032"/>
    <x v="13"/>
    <n v="675.90000000000009"/>
  </r>
  <r>
    <d v="2022-04-20T00:00:00"/>
    <x v="10"/>
    <x v="2"/>
    <x v="0"/>
    <n v="780.53"/>
    <n v="664.52"/>
    <n v="2"/>
    <n v="1561.06"/>
    <n v="1329.04"/>
    <n v="232.01999999999998"/>
    <n v="0.14862977720266998"/>
    <x v="32"/>
    <n v="232.01999999999998"/>
  </r>
  <r>
    <d v="2022-09-10T00:00:00"/>
    <x v="10"/>
    <x v="2"/>
    <x v="3"/>
    <n v="1079.6600000000001"/>
    <n v="655.84"/>
    <n v="6"/>
    <n v="6477.9600000000009"/>
    <n v="3935.04"/>
    <n v="2542.920000000001"/>
    <n v="0.39254950632606572"/>
    <x v="12"/>
    <n v="2542.920000000001"/>
  </r>
  <r>
    <d v="2024-05-04T00:00:00"/>
    <x v="8"/>
    <x v="1"/>
    <x v="0"/>
    <n v="576.11"/>
    <n v="314.83"/>
    <n v="5"/>
    <n v="2880.55"/>
    <n v="1574.1499999999999"/>
    <n v="1306.4000000000003"/>
    <n v="0.45352450052941284"/>
    <x v="3"/>
    <n v="1306.4000000000003"/>
  </r>
  <r>
    <d v="2022-11-05T00:00:00"/>
    <x v="0"/>
    <x v="0"/>
    <x v="2"/>
    <n v="1889.09"/>
    <n v="1266.4100000000001"/>
    <n v="3"/>
    <n v="5667.2699999999995"/>
    <n v="3799.2300000000005"/>
    <n v="1868.0399999999991"/>
    <n v="0.32961902291579531"/>
    <x v="1"/>
    <n v="1868.0399999999991"/>
  </r>
  <r>
    <d v="2022-01-25T00:00:00"/>
    <x v="10"/>
    <x v="2"/>
    <x v="1"/>
    <n v="1285.4100000000001"/>
    <n v="1067.6500000000001"/>
    <n v="1"/>
    <n v="1285.4100000000001"/>
    <n v="1067.6500000000001"/>
    <n v="217.76"/>
    <n v="0.16940898234804458"/>
    <x v="9"/>
    <n v="217.76"/>
  </r>
  <r>
    <d v="2023-08-17T00:00:00"/>
    <x v="0"/>
    <x v="0"/>
    <x v="2"/>
    <n v="1201.56"/>
    <n v="840.73"/>
    <n v="6"/>
    <n v="7209.36"/>
    <n v="5044.38"/>
    <n v="2164.9799999999996"/>
    <n v="0.30030127500915471"/>
    <x v="14"/>
    <n v="2164.9799999999996"/>
  </r>
  <r>
    <d v="2024-11-03T00:00:00"/>
    <x v="3"/>
    <x v="2"/>
    <x v="1"/>
    <n v="67.05"/>
    <n v="58.55"/>
    <n v="8"/>
    <n v="536.4"/>
    <n v="468.4"/>
    <n v="68"/>
    <n v="0.12677106636838181"/>
    <x v="2"/>
    <n v="68"/>
  </r>
  <r>
    <d v="2023-11-05T00:00:00"/>
    <x v="7"/>
    <x v="0"/>
    <x v="3"/>
    <n v="1583.25"/>
    <n v="1086.1199999999999"/>
    <n v="5"/>
    <n v="7916.25"/>
    <n v="5430.5999999999995"/>
    <n v="2485.6500000000005"/>
    <n v="0.31399336807200384"/>
    <x v="10"/>
    <n v="2485.6500000000005"/>
  </r>
  <r>
    <d v="2023-04-12T00:00:00"/>
    <x v="5"/>
    <x v="3"/>
    <x v="0"/>
    <n v="1719.15"/>
    <n v="1478.09"/>
    <n v="7"/>
    <n v="12034.050000000001"/>
    <n v="10346.629999999999"/>
    <n v="1687.4200000000019"/>
    <n v="0.14022045778437034"/>
    <x v="6"/>
    <n v="1687.4200000000019"/>
  </r>
  <r>
    <d v="2024-10-02T00:00:00"/>
    <x v="3"/>
    <x v="2"/>
    <x v="2"/>
    <n v="1144.9000000000001"/>
    <n v="582.98"/>
    <n v="7"/>
    <n v="8014.3000000000011"/>
    <n v="4080.86"/>
    <n v="3933.440000000001"/>
    <n v="0.49080269019128314"/>
    <x v="17"/>
    <n v="3933.440000000001"/>
  </r>
  <r>
    <d v="2022-04-19T00:00:00"/>
    <x v="0"/>
    <x v="0"/>
    <x v="0"/>
    <n v="1315.32"/>
    <n v="1170.27"/>
    <n v="8"/>
    <n v="10522.56"/>
    <n v="9362.16"/>
    <n v="1160.3999999999996"/>
    <n v="0.11027734695739437"/>
    <x v="32"/>
    <n v="1160.3999999999996"/>
  </r>
  <r>
    <d v="2023-06-06T00:00:00"/>
    <x v="6"/>
    <x v="3"/>
    <x v="3"/>
    <n v="1778.02"/>
    <n v="1147.54"/>
    <n v="10"/>
    <n v="17780.2"/>
    <n v="11475.4"/>
    <n v="6304.8000000000011"/>
    <n v="0.35459668620150508"/>
    <x v="0"/>
    <n v="6304.8000000000011"/>
  </r>
  <r>
    <d v="2024-02-02T00:00:00"/>
    <x v="3"/>
    <x v="2"/>
    <x v="0"/>
    <n v="1156.21"/>
    <n v="640.08000000000004"/>
    <n v="8"/>
    <n v="9249.68"/>
    <n v="5120.6400000000003"/>
    <n v="4129.04"/>
    <n v="0.44639814566557978"/>
    <x v="34"/>
    <n v="4129.04"/>
  </r>
  <r>
    <d v="2022-04-04T00:00:00"/>
    <x v="1"/>
    <x v="1"/>
    <x v="3"/>
    <n v="307.08"/>
    <n v="190.89"/>
    <n v="7"/>
    <n v="2149.56"/>
    <n v="1336.23"/>
    <n v="813.32999999999993"/>
    <n v="0.37837045720984758"/>
    <x v="32"/>
    <n v="813.32999999999993"/>
  </r>
  <r>
    <d v="2024-03-25T00:00:00"/>
    <x v="7"/>
    <x v="0"/>
    <x v="2"/>
    <n v="398.75"/>
    <n v="300.62"/>
    <n v="3"/>
    <n v="1196.25"/>
    <n v="901.86"/>
    <n v="294.39"/>
    <n v="0.24609404388714731"/>
    <x v="29"/>
    <n v="294.39"/>
  </r>
  <r>
    <d v="2024-08-02T00:00:00"/>
    <x v="4"/>
    <x v="2"/>
    <x v="2"/>
    <n v="1010.68"/>
    <n v="663.66"/>
    <n v="1"/>
    <n v="1010.68"/>
    <n v="663.66"/>
    <n v="347.02"/>
    <n v="0.3433529900660941"/>
    <x v="21"/>
    <n v="347.02"/>
  </r>
  <r>
    <d v="2023-04-14T00:00:00"/>
    <x v="3"/>
    <x v="2"/>
    <x v="3"/>
    <n v="1705.92"/>
    <n v="1086.25"/>
    <n v="4"/>
    <n v="6823.68"/>
    <n v="4345"/>
    <n v="2478.6800000000003"/>
    <n v="0.3632468111048584"/>
    <x v="6"/>
    <n v="2478.6800000000003"/>
  </r>
  <r>
    <d v="2024-06-26T00:00:00"/>
    <x v="10"/>
    <x v="2"/>
    <x v="0"/>
    <n v="1719.37"/>
    <n v="1027.07"/>
    <n v="8"/>
    <n v="13754.96"/>
    <n v="8216.56"/>
    <n v="5538.4"/>
    <n v="0.40264748134491124"/>
    <x v="4"/>
    <n v="5538.4"/>
  </r>
  <r>
    <d v="2022-11-16T00:00:00"/>
    <x v="10"/>
    <x v="2"/>
    <x v="3"/>
    <n v="1141.49"/>
    <n v="628.79999999999995"/>
    <n v="7"/>
    <n v="7990.43"/>
    <n v="4401.5999999999995"/>
    <n v="3588.8300000000008"/>
    <n v="0.44914103496307467"/>
    <x v="1"/>
    <n v="3588.8300000000008"/>
  </r>
  <r>
    <d v="2023-06-17T00:00:00"/>
    <x v="0"/>
    <x v="0"/>
    <x v="1"/>
    <n v="506.3"/>
    <n v="312.70999999999998"/>
    <n v="4"/>
    <n v="2025.2"/>
    <n v="1250.8399999999999"/>
    <n v="774.36000000000013"/>
    <n v="0.38236223582856022"/>
    <x v="0"/>
    <n v="774.36000000000013"/>
  </r>
  <r>
    <d v="2022-11-08T00:00:00"/>
    <x v="6"/>
    <x v="3"/>
    <x v="1"/>
    <n v="913.41"/>
    <n v="629.04"/>
    <n v="3"/>
    <n v="2740.23"/>
    <n v="1887.12"/>
    <n v="853.11000000000013"/>
    <n v="0.31132788123624666"/>
    <x v="1"/>
    <n v="853.11000000000013"/>
  </r>
  <r>
    <d v="2023-03-17T00:00:00"/>
    <x v="7"/>
    <x v="0"/>
    <x v="1"/>
    <n v="396.58"/>
    <n v="230.01"/>
    <n v="1"/>
    <n v="396.58"/>
    <n v="230.01"/>
    <n v="166.57"/>
    <n v="0.42001613797972664"/>
    <x v="19"/>
    <n v="166.57"/>
  </r>
  <r>
    <d v="2023-10-07T00:00:00"/>
    <x v="6"/>
    <x v="3"/>
    <x v="2"/>
    <n v="724.75"/>
    <n v="486.59"/>
    <n v="2"/>
    <n v="1449.5"/>
    <n v="973.18"/>
    <n v="476.32000000000005"/>
    <n v="0.32860986547085203"/>
    <x v="5"/>
    <n v="476.32000000000005"/>
  </r>
  <r>
    <d v="2024-02-13T00:00:00"/>
    <x v="3"/>
    <x v="2"/>
    <x v="3"/>
    <n v="202.31"/>
    <n v="168.92"/>
    <n v="2"/>
    <n v="404.62"/>
    <n v="337.84"/>
    <n v="66.78000000000003"/>
    <n v="0.16504374474815883"/>
    <x v="34"/>
    <n v="66.78000000000003"/>
  </r>
  <r>
    <d v="2023-08-25T00:00:00"/>
    <x v="10"/>
    <x v="2"/>
    <x v="1"/>
    <n v="1633.79"/>
    <n v="1118.45"/>
    <n v="10"/>
    <n v="16337.9"/>
    <n v="11184.5"/>
    <n v="5153.3999999999996"/>
    <n v="0.31542609515298781"/>
    <x v="14"/>
    <n v="5153.3999999999996"/>
  </r>
  <r>
    <d v="2024-03-24T00:00:00"/>
    <x v="5"/>
    <x v="3"/>
    <x v="2"/>
    <n v="1087.3"/>
    <n v="873.43"/>
    <n v="9"/>
    <n v="9785.6999999999989"/>
    <n v="7860.87"/>
    <n v="1924.829999999999"/>
    <n v="0.19669824335509972"/>
    <x v="29"/>
    <n v="1924.829999999999"/>
  </r>
  <r>
    <d v="2023-02-09T00:00:00"/>
    <x v="6"/>
    <x v="3"/>
    <x v="2"/>
    <n v="1948.06"/>
    <n v="1083.82"/>
    <n v="4"/>
    <n v="7792.24"/>
    <n v="4335.28"/>
    <n v="3456.96"/>
    <n v="0.44364136628235273"/>
    <x v="27"/>
    <n v="3456.96"/>
  </r>
  <r>
    <d v="2022-11-28T00:00:00"/>
    <x v="7"/>
    <x v="0"/>
    <x v="3"/>
    <n v="1160.3"/>
    <n v="768.68"/>
    <n v="9"/>
    <n v="10442.699999999999"/>
    <n v="6918.12"/>
    <n v="3524.579999999999"/>
    <n v="0.33751615961389292"/>
    <x v="1"/>
    <n v="3524.579999999999"/>
  </r>
  <r>
    <d v="2023-01-18T00:00:00"/>
    <x v="2"/>
    <x v="0"/>
    <x v="3"/>
    <n v="1927.47"/>
    <n v="1640.59"/>
    <n v="2"/>
    <n v="3854.94"/>
    <n v="3281.18"/>
    <n v="573.76000000000022"/>
    <n v="0.14883759539707497"/>
    <x v="13"/>
    <n v="573.76000000000022"/>
  </r>
  <r>
    <d v="2022-12-20T00:00:00"/>
    <x v="8"/>
    <x v="1"/>
    <x v="3"/>
    <n v="1199.23"/>
    <n v="635.83000000000004"/>
    <n v="9"/>
    <n v="10793.07"/>
    <n v="5722.47"/>
    <n v="5070.5999999999995"/>
    <n v="0.4698014559342244"/>
    <x v="33"/>
    <n v="5070.5999999999995"/>
  </r>
  <r>
    <d v="2024-04-04T00:00:00"/>
    <x v="0"/>
    <x v="0"/>
    <x v="1"/>
    <n v="976.9"/>
    <n v="644.08000000000004"/>
    <n v="1"/>
    <n v="976.9"/>
    <n v="644.08000000000004"/>
    <n v="332.81999999999994"/>
    <n v="0.34068993755758004"/>
    <x v="22"/>
    <n v="332.81999999999994"/>
  </r>
  <r>
    <d v="2023-02-13T00:00:00"/>
    <x v="10"/>
    <x v="2"/>
    <x v="2"/>
    <n v="118.09"/>
    <n v="67.22"/>
    <n v="8"/>
    <n v="944.72"/>
    <n v="537.76"/>
    <n v="406.96000000000004"/>
    <n v="0.43077313913117116"/>
    <x v="27"/>
    <n v="406.96000000000004"/>
  </r>
  <r>
    <d v="2024-03-15T00:00:00"/>
    <x v="1"/>
    <x v="1"/>
    <x v="3"/>
    <n v="687.24"/>
    <n v="343.76"/>
    <n v="1"/>
    <n v="687.24"/>
    <n v="343.76"/>
    <n v="343.48"/>
    <n v="0.499796286595658"/>
    <x v="29"/>
    <n v="343.48"/>
  </r>
  <r>
    <d v="2024-04-12T00:00:00"/>
    <x v="3"/>
    <x v="2"/>
    <x v="2"/>
    <n v="1549.95"/>
    <n v="1062.1400000000001"/>
    <n v="2"/>
    <n v="3099.9"/>
    <n v="2124.2800000000002"/>
    <n v="975.61999999999989"/>
    <n v="0.31472628149295134"/>
    <x v="22"/>
    <n v="975.61999999999989"/>
  </r>
  <r>
    <d v="2023-07-20T00:00:00"/>
    <x v="9"/>
    <x v="3"/>
    <x v="0"/>
    <n v="1613.88"/>
    <n v="1292.23"/>
    <n v="2"/>
    <n v="3227.76"/>
    <n v="2584.46"/>
    <n v="643.30000000000018"/>
    <n v="0.19930230252559056"/>
    <x v="11"/>
    <n v="643.30000000000018"/>
  </r>
  <r>
    <d v="2022-04-06T00:00:00"/>
    <x v="2"/>
    <x v="0"/>
    <x v="3"/>
    <n v="1787.28"/>
    <n v="1088.7"/>
    <n v="4"/>
    <n v="7149.12"/>
    <n v="4354.8"/>
    <n v="2794.3199999999997"/>
    <n v="0.39086209211763123"/>
    <x v="32"/>
    <n v="2794.3199999999997"/>
  </r>
  <r>
    <d v="2023-08-24T00:00:00"/>
    <x v="8"/>
    <x v="1"/>
    <x v="1"/>
    <n v="238.52"/>
    <n v="214.12"/>
    <n v="10"/>
    <n v="2385.2000000000003"/>
    <n v="2141.1999999999998"/>
    <n v="244.00000000000045"/>
    <n v="0.10229750125775634"/>
    <x v="14"/>
    <n v="244.00000000000045"/>
  </r>
  <r>
    <d v="2023-12-11T00:00:00"/>
    <x v="8"/>
    <x v="1"/>
    <x v="0"/>
    <n v="1015.49"/>
    <n v="619.99"/>
    <n v="8"/>
    <n v="8123.92"/>
    <n v="4959.92"/>
    <n v="3164"/>
    <n v="0.38946715378782654"/>
    <x v="30"/>
    <n v="3164"/>
  </r>
  <r>
    <d v="2024-10-06T00:00:00"/>
    <x v="4"/>
    <x v="2"/>
    <x v="0"/>
    <n v="1453.41"/>
    <n v="841.27"/>
    <n v="2"/>
    <n v="2906.82"/>
    <n v="1682.54"/>
    <n v="1224.2800000000002"/>
    <n v="0.42117502975760457"/>
    <x v="17"/>
    <n v="1224.2800000000002"/>
  </r>
  <r>
    <d v="2024-04-28T00:00:00"/>
    <x v="1"/>
    <x v="1"/>
    <x v="0"/>
    <n v="1161.29"/>
    <n v="612.62"/>
    <n v="10"/>
    <n v="11612.9"/>
    <n v="6126.2"/>
    <n v="5486.7"/>
    <n v="0.47246596457387907"/>
    <x v="22"/>
    <n v="5486.7"/>
  </r>
  <r>
    <d v="2024-12-04T00:00:00"/>
    <x v="0"/>
    <x v="0"/>
    <x v="2"/>
    <n v="1137.74"/>
    <n v="716.19"/>
    <n v="7"/>
    <n v="7964.18"/>
    <n v="5013.33"/>
    <n v="2950.8500000000004"/>
    <n v="0.3705152319510609"/>
    <x v="23"/>
    <n v="2950.8500000000004"/>
  </r>
  <r>
    <d v="2022-06-17T00:00:00"/>
    <x v="8"/>
    <x v="1"/>
    <x v="2"/>
    <n v="917.43"/>
    <n v="653.39"/>
    <n v="9"/>
    <n v="8256.869999999999"/>
    <n v="5880.51"/>
    <n v="2376.3599999999988"/>
    <n v="0.28780397414516629"/>
    <x v="18"/>
    <n v="2376.3599999999988"/>
  </r>
  <r>
    <d v="2022-10-25T00:00:00"/>
    <x v="1"/>
    <x v="1"/>
    <x v="3"/>
    <n v="1544.13"/>
    <n v="1233.1600000000001"/>
    <n v="2"/>
    <n v="3088.26"/>
    <n v="2466.3200000000002"/>
    <n v="621.94000000000005"/>
    <n v="0.2013884841302222"/>
    <x v="25"/>
    <n v="621.94000000000005"/>
  </r>
  <r>
    <d v="2023-04-24T00:00:00"/>
    <x v="10"/>
    <x v="2"/>
    <x v="0"/>
    <n v="321.01"/>
    <n v="226.61"/>
    <n v="6"/>
    <n v="1926.06"/>
    <n v="1359.66"/>
    <n v="566.39999999999986"/>
    <n v="0.29407183576835605"/>
    <x v="6"/>
    <n v="566.39999999999986"/>
  </r>
  <r>
    <d v="2022-02-20T00:00:00"/>
    <x v="3"/>
    <x v="2"/>
    <x v="1"/>
    <n v="869.09"/>
    <n v="605"/>
    <n v="9"/>
    <n v="7821.81"/>
    <n v="5445"/>
    <n v="2376.8100000000004"/>
    <n v="0.30386956471711796"/>
    <x v="20"/>
    <n v="2376.8100000000004"/>
  </r>
  <r>
    <d v="2023-06-03T00:00:00"/>
    <x v="0"/>
    <x v="0"/>
    <x v="2"/>
    <n v="1658.17"/>
    <n v="1416.04"/>
    <n v="6"/>
    <n v="9949.02"/>
    <n v="8496.24"/>
    <n v="1452.7800000000007"/>
    <n v="0.14602242230893098"/>
    <x v="0"/>
    <n v="1452.7800000000007"/>
  </r>
  <r>
    <d v="2024-12-25T00:00:00"/>
    <x v="7"/>
    <x v="0"/>
    <x v="3"/>
    <n v="1633.27"/>
    <n v="856.18"/>
    <n v="1"/>
    <n v="1633.27"/>
    <n v="856.18"/>
    <n v="777.09"/>
    <n v="0.47578783667121788"/>
    <x v="23"/>
    <n v="777.09"/>
  </r>
  <r>
    <d v="2024-01-10T00:00:00"/>
    <x v="5"/>
    <x v="3"/>
    <x v="1"/>
    <n v="1165.46"/>
    <n v="913.95"/>
    <n v="6"/>
    <n v="6992.76"/>
    <n v="5483.7000000000007"/>
    <n v="1509.0599999999995"/>
    <n v="0.21580320216910054"/>
    <x v="26"/>
    <n v="1509.0599999999995"/>
  </r>
  <r>
    <d v="2022-03-07T00:00:00"/>
    <x v="8"/>
    <x v="1"/>
    <x v="3"/>
    <n v="1572.25"/>
    <n v="1091.45"/>
    <n v="2"/>
    <n v="3144.5"/>
    <n v="2182.9"/>
    <n v="961.59999999999991"/>
    <n v="0.30580378438543487"/>
    <x v="7"/>
    <n v="961.59999999999991"/>
  </r>
  <r>
    <d v="2024-02-13T00:00:00"/>
    <x v="3"/>
    <x v="2"/>
    <x v="1"/>
    <n v="969.03"/>
    <n v="686.77"/>
    <n v="1"/>
    <n v="969.03"/>
    <n v="686.77"/>
    <n v="282.26"/>
    <n v="0.29128097169334283"/>
    <x v="34"/>
    <n v="282.26"/>
  </r>
  <r>
    <d v="2024-06-21T00:00:00"/>
    <x v="0"/>
    <x v="0"/>
    <x v="0"/>
    <n v="1320.47"/>
    <n v="830.25"/>
    <n v="3"/>
    <n v="3961.41"/>
    <n v="2490.75"/>
    <n v="1470.6599999999999"/>
    <n v="0.37124660158882822"/>
    <x v="4"/>
    <n v="1470.6599999999999"/>
  </r>
  <r>
    <d v="2023-02-20T00:00:00"/>
    <x v="8"/>
    <x v="1"/>
    <x v="3"/>
    <n v="1033.43"/>
    <n v="589.27"/>
    <n v="10"/>
    <n v="10334.300000000001"/>
    <n v="5892.7"/>
    <n v="4441.6000000000013"/>
    <n v="0.42979205171129159"/>
    <x v="27"/>
    <n v="4441.6000000000013"/>
  </r>
  <r>
    <d v="2023-01-24T00:00:00"/>
    <x v="3"/>
    <x v="2"/>
    <x v="1"/>
    <n v="1651.32"/>
    <n v="1471.54"/>
    <n v="4"/>
    <n v="6605.28"/>
    <n v="5886.16"/>
    <n v="719.11999999999989"/>
    <n v="0.10887047937407648"/>
    <x v="13"/>
    <n v="719.11999999999989"/>
  </r>
  <r>
    <d v="2024-05-28T00:00:00"/>
    <x v="10"/>
    <x v="2"/>
    <x v="0"/>
    <n v="89.43"/>
    <n v="44.91"/>
    <n v="4"/>
    <n v="357.72"/>
    <n v="179.64"/>
    <n v="178.08000000000004"/>
    <n v="0.49781952364978205"/>
    <x v="3"/>
    <n v="178.08000000000004"/>
  </r>
  <r>
    <d v="2023-02-12T00:00:00"/>
    <x v="5"/>
    <x v="3"/>
    <x v="3"/>
    <n v="53.34"/>
    <n v="28.46"/>
    <n v="6"/>
    <n v="320.04000000000002"/>
    <n v="170.76"/>
    <n v="149.28000000000003"/>
    <n v="0.46644169478815156"/>
    <x v="27"/>
    <n v="149.28000000000003"/>
  </r>
  <r>
    <d v="2022-06-11T00:00:00"/>
    <x v="7"/>
    <x v="0"/>
    <x v="2"/>
    <n v="303.29000000000002"/>
    <n v="210.67"/>
    <n v="4"/>
    <n v="1213.1600000000001"/>
    <n v="842.68"/>
    <n v="370.48000000000013"/>
    <n v="0.30538428566718329"/>
    <x v="18"/>
    <n v="370.48000000000013"/>
  </r>
  <r>
    <d v="2023-12-04T00:00:00"/>
    <x v="7"/>
    <x v="0"/>
    <x v="0"/>
    <n v="926.79"/>
    <n v="763.58"/>
    <n v="2"/>
    <n v="1853.58"/>
    <n v="1527.16"/>
    <n v="326.41999999999985"/>
    <n v="0.17610246118322373"/>
    <x v="30"/>
    <n v="326.41999999999985"/>
  </r>
  <r>
    <d v="2024-01-02T00:00:00"/>
    <x v="8"/>
    <x v="1"/>
    <x v="3"/>
    <n v="1301.8699999999999"/>
    <n v="1023.29"/>
    <n v="7"/>
    <n v="9113.09"/>
    <n v="7163.03"/>
    <n v="1950.0600000000004"/>
    <n v="0.21398449922035231"/>
    <x v="26"/>
    <n v="1950.0600000000004"/>
  </r>
  <r>
    <d v="2022-08-06T00:00:00"/>
    <x v="8"/>
    <x v="1"/>
    <x v="2"/>
    <n v="282.47000000000003"/>
    <n v="250.85"/>
    <n v="6"/>
    <n v="1694.8200000000002"/>
    <n v="1505.1"/>
    <n v="189.72000000000025"/>
    <n v="0.11194109108931936"/>
    <x v="15"/>
    <n v="189.72000000000025"/>
  </r>
  <r>
    <d v="2022-09-15T00:00:00"/>
    <x v="3"/>
    <x v="2"/>
    <x v="1"/>
    <n v="1788.88"/>
    <n v="1451.39"/>
    <n v="1"/>
    <n v="1788.88"/>
    <n v="1451.39"/>
    <n v="337.49"/>
    <n v="0.18865994365189392"/>
    <x v="12"/>
    <n v="337.49"/>
  </r>
  <r>
    <d v="2023-11-24T00:00:00"/>
    <x v="5"/>
    <x v="3"/>
    <x v="3"/>
    <n v="583.1"/>
    <n v="384.26"/>
    <n v="5"/>
    <n v="2915.5"/>
    <n v="1921.3"/>
    <n v="994.2"/>
    <n v="0.34100497341793862"/>
    <x v="10"/>
    <n v="994.2"/>
  </r>
  <r>
    <d v="2023-05-04T00:00:00"/>
    <x v="8"/>
    <x v="1"/>
    <x v="2"/>
    <n v="349.79"/>
    <n v="198.62"/>
    <n v="9"/>
    <n v="3148.11"/>
    <n v="1787.58"/>
    <n v="1360.5300000000002"/>
    <n v="0.4321735898682067"/>
    <x v="31"/>
    <n v="1360.5300000000002"/>
  </r>
  <r>
    <d v="2022-08-04T00:00:00"/>
    <x v="5"/>
    <x v="3"/>
    <x v="1"/>
    <n v="1204.21"/>
    <n v="837.2"/>
    <n v="3"/>
    <n v="3612.63"/>
    <n v="2511.6000000000004"/>
    <n v="1101.0299999999997"/>
    <n v="0.30477242341452065"/>
    <x v="15"/>
    <n v="1101.0299999999997"/>
  </r>
  <r>
    <d v="2022-10-03T00:00:00"/>
    <x v="5"/>
    <x v="3"/>
    <x v="0"/>
    <n v="206.96"/>
    <n v="133.19"/>
    <n v="6"/>
    <n v="1241.76"/>
    <n v="799.14"/>
    <n v="442.62"/>
    <n v="0.35644568998840354"/>
    <x v="25"/>
    <n v="442.62"/>
  </r>
  <r>
    <d v="2023-03-27T00:00:00"/>
    <x v="6"/>
    <x v="3"/>
    <x v="3"/>
    <n v="1835.43"/>
    <n v="1509.66"/>
    <n v="3"/>
    <n v="5506.29"/>
    <n v="4528.9800000000005"/>
    <n v="977.30999999999949"/>
    <n v="0.1774897435478334"/>
    <x v="19"/>
    <n v="977.30999999999949"/>
  </r>
  <r>
    <d v="2023-08-31T00:00:00"/>
    <x v="4"/>
    <x v="2"/>
    <x v="1"/>
    <n v="766.79"/>
    <n v="603.53"/>
    <n v="9"/>
    <n v="6901.11"/>
    <n v="5431.7699999999995"/>
    <n v="1469.3400000000001"/>
    <n v="0.21291357477275397"/>
    <x v="14"/>
    <n v="1469.3400000000001"/>
  </r>
  <r>
    <d v="2022-10-10T00:00:00"/>
    <x v="0"/>
    <x v="0"/>
    <x v="1"/>
    <n v="1548.71"/>
    <n v="1169.45"/>
    <n v="6"/>
    <n v="9292.26"/>
    <n v="7016.7000000000007"/>
    <n v="2275.5599999999995"/>
    <n v="0.24488768071491751"/>
    <x v="25"/>
    <n v="2275.5599999999995"/>
  </r>
  <r>
    <d v="2023-07-09T00:00:00"/>
    <x v="6"/>
    <x v="3"/>
    <x v="3"/>
    <n v="798.28"/>
    <n v="420.49"/>
    <n v="3"/>
    <n v="2394.84"/>
    <n v="1261.47"/>
    <n v="1133.3700000000001"/>
    <n v="0.47325499824622941"/>
    <x v="11"/>
    <n v="1133.3700000000001"/>
  </r>
  <r>
    <d v="2024-11-11T00:00:00"/>
    <x v="0"/>
    <x v="0"/>
    <x v="1"/>
    <n v="1477.13"/>
    <n v="1118.94"/>
    <n v="10"/>
    <n v="14771.300000000001"/>
    <n v="11189.400000000001"/>
    <n v="3581.8999999999996"/>
    <n v="0.24249050523650589"/>
    <x v="2"/>
    <n v="3581.8999999999996"/>
  </r>
  <r>
    <d v="2024-10-23T00:00:00"/>
    <x v="8"/>
    <x v="1"/>
    <x v="0"/>
    <n v="1011.41"/>
    <n v="579.97"/>
    <n v="6"/>
    <n v="6068.46"/>
    <n v="3479.82"/>
    <n v="2588.64"/>
    <n v="0.42657280430290384"/>
    <x v="17"/>
    <n v="2588.64"/>
  </r>
  <r>
    <d v="2023-06-05T00:00:00"/>
    <x v="10"/>
    <x v="2"/>
    <x v="1"/>
    <n v="236.15"/>
    <n v="196.7"/>
    <n v="4"/>
    <n v="944.6"/>
    <n v="786.8"/>
    <n v="157.80000000000007"/>
    <n v="0.16705483802667803"/>
    <x v="0"/>
    <n v="157.80000000000007"/>
  </r>
  <r>
    <d v="2024-07-18T00:00:00"/>
    <x v="8"/>
    <x v="1"/>
    <x v="2"/>
    <n v="1386.76"/>
    <n v="818.27"/>
    <n v="2"/>
    <n v="2773.52"/>
    <n v="1636.54"/>
    <n v="1136.98"/>
    <n v="0.40994115780668611"/>
    <x v="28"/>
    <n v="1136.98"/>
  </r>
  <r>
    <d v="2023-10-17T00:00:00"/>
    <x v="0"/>
    <x v="0"/>
    <x v="3"/>
    <n v="371.75"/>
    <n v="252.35"/>
    <n v="10"/>
    <n v="3717.5"/>
    <n v="2523.5"/>
    <n v="1194"/>
    <n v="0.3211835911230666"/>
    <x v="5"/>
    <n v="1194"/>
  </r>
  <r>
    <d v="2024-05-26T00:00:00"/>
    <x v="9"/>
    <x v="3"/>
    <x v="1"/>
    <n v="1380.16"/>
    <n v="918.45"/>
    <n v="10"/>
    <n v="13801.6"/>
    <n v="9184.5"/>
    <n v="4617.1000000000004"/>
    <n v="0.33453367725481103"/>
    <x v="3"/>
    <n v="4617.1000000000004"/>
  </r>
  <r>
    <d v="2022-07-02T00:00:00"/>
    <x v="10"/>
    <x v="2"/>
    <x v="2"/>
    <n v="802.11"/>
    <n v="681.97"/>
    <n v="5"/>
    <n v="4010.55"/>
    <n v="3409.8500000000004"/>
    <n v="600.69999999999982"/>
    <n v="0.1497799553677176"/>
    <x v="8"/>
    <n v="600.69999999999982"/>
  </r>
  <r>
    <d v="2024-07-24T00:00:00"/>
    <x v="0"/>
    <x v="0"/>
    <x v="2"/>
    <n v="903.77"/>
    <n v="610.20000000000005"/>
    <n v="9"/>
    <n v="8133.93"/>
    <n v="5491.8"/>
    <n v="2642.13"/>
    <n v="0.32482821956913815"/>
    <x v="28"/>
    <n v="2642.13"/>
  </r>
  <r>
    <d v="2024-05-22T00:00:00"/>
    <x v="1"/>
    <x v="1"/>
    <x v="1"/>
    <n v="537.85"/>
    <n v="329.26"/>
    <n v="9"/>
    <n v="4840.6500000000005"/>
    <n v="2963.34"/>
    <n v="1877.3100000000004"/>
    <n v="0.38782188342474672"/>
    <x v="3"/>
    <n v="1877.3100000000004"/>
  </r>
  <r>
    <d v="2022-10-23T00:00:00"/>
    <x v="5"/>
    <x v="3"/>
    <x v="0"/>
    <n v="930.95"/>
    <n v="773.5"/>
    <n v="7"/>
    <n v="6516.6500000000005"/>
    <n v="5414.5"/>
    <n v="1102.1500000000005"/>
    <n v="0.16912830979107371"/>
    <x v="25"/>
    <n v="1102.1500000000005"/>
  </r>
  <r>
    <d v="2023-01-08T00:00:00"/>
    <x v="2"/>
    <x v="0"/>
    <x v="1"/>
    <n v="380.35"/>
    <n v="292.57"/>
    <n v="4"/>
    <n v="1521.4"/>
    <n v="1170.28"/>
    <n v="351.12000000000012"/>
    <n v="0.23078743262784285"/>
    <x v="13"/>
    <n v="351.12000000000012"/>
  </r>
  <r>
    <d v="2023-01-22T00:00:00"/>
    <x v="8"/>
    <x v="1"/>
    <x v="0"/>
    <n v="1962.21"/>
    <n v="1465.56"/>
    <n v="1"/>
    <n v="1962.21"/>
    <n v="1465.56"/>
    <n v="496.65000000000009"/>
    <n v="0.25310746556179009"/>
    <x v="13"/>
    <n v="496.65000000000009"/>
  </r>
  <r>
    <d v="2024-02-29T00:00:00"/>
    <x v="2"/>
    <x v="0"/>
    <x v="1"/>
    <n v="1432.69"/>
    <n v="962.81"/>
    <n v="3"/>
    <n v="4298.07"/>
    <n v="2888.43"/>
    <n v="1409.6399999999999"/>
    <n v="0.32797046116047435"/>
    <x v="34"/>
    <n v="1409.6399999999999"/>
  </r>
  <r>
    <d v="2024-08-03T00:00:00"/>
    <x v="1"/>
    <x v="1"/>
    <x v="1"/>
    <n v="1759.93"/>
    <n v="1355.44"/>
    <n v="9"/>
    <n v="15839.37"/>
    <n v="12198.960000000001"/>
    <n v="3640.41"/>
    <n v="0.2298330047217787"/>
    <x v="21"/>
    <n v="3640.41"/>
  </r>
  <r>
    <d v="2022-09-27T00:00:00"/>
    <x v="2"/>
    <x v="0"/>
    <x v="2"/>
    <n v="1363.53"/>
    <n v="696.77"/>
    <n v="3"/>
    <n v="4090.59"/>
    <n v="2090.31"/>
    <n v="2000.2800000000002"/>
    <n v="0.48899547498038182"/>
    <x v="12"/>
    <n v="2000.2800000000002"/>
  </r>
  <r>
    <d v="2022-08-15T00:00:00"/>
    <x v="2"/>
    <x v="0"/>
    <x v="2"/>
    <n v="1612.14"/>
    <n v="1152.67"/>
    <n v="5"/>
    <n v="8060.7000000000007"/>
    <n v="5763.35"/>
    <n v="2297.3500000000004"/>
    <n v="0.28500626496458126"/>
    <x v="15"/>
    <n v="2297.3500000000004"/>
  </r>
  <r>
    <d v="2022-08-12T00:00:00"/>
    <x v="0"/>
    <x v="0"/>
    <x v="2"/>
    <n v="289.33"/>
    <n v="245.12"/>
    <n v="6"/>
    <n v="1735.98"/>
    <n v="1470.72"/>
    <n v="265.26"/>
    <n v="0.15280129955414232"/>
    <x v="15"/>
    <n v="265.26"/>
  </r>
  <r>
    <d v="2023-09-01T00:00:00"/>
    <x v="2"/>
    <x v="0"/>
    <x v="0"/>
    <n v="543"/>
    <n v="428.03"/>
    <n v="2"/>
    <n v="1086"/>
    <n v="856.06"/>
    <n v="229.94000000000005"/>
    <n v="0.21173112338858199"/>
    <x v="24"/>
    <n v="229.94000000000005"/>
  </r>
  <r>
    <d v="2023-07-05T00:00:00"/>
    <x v="8"/>
    <x v="1"/>
    <x v="1"/>
    <n v="991.64"/>
    <n v="849.78"/>
    <n v="5"/>
    <n v="4958.2"/>
    <n v="4248.8999999999996"/>
    <n v="709.30000000000018"/>
    <n v="0.14305594772296401"/>
    <x v="11"/>
    <n v="709.30000000000018"/>
  </r>
  <r>
    <d v="2023-07-05T00:00:00"/>
    <x v="1"/>
    <x v="1"/>
    <x v="0"/>
    <n v="543.12"/>
    <n v="318.77"/>
    <n v="1"/>
    <n v="543.12"/>
    <n v="318.77"/>
    <n v="224.35000000000002"/>
    <n v="0.4130762998968921"/>
    <x v="11"/>
    <n v="224.35000000000002"/>
  </r>
  <r>
    <d v="2022-02-22T00:00:00"/>
    <x v="9"/>
    <x v="3"/>
    <x v="1"/>
    <n v="517.47"/>
    <n v="311.36"/>
    <n v="6"/>
    <n v="3104.82"/>
    <n v="1868.16"/>
    <n v="1236.6600000000001"/>
    <n v="0.39830328328212267"/>
    <x v="20"/>
    <n v="1236.6600000000001"/>
  </r>
  <r>
    <d v="2022-12-10T00:00:00"/>
    <x v="7"/>
    <x v="0"/>
    <x v="0"/>
    <n v="765.59"/>
    <n v="445.24"/>
    <n v="6"/>
    <n v="4593.54"/>
    <n v="2671.44"/>
    <n v="1922.1"/>
    <n v="0.4184354550085555"/>
    <x v="33"/>
    <n v="1922.1"/>
  </r>
  <r>
    <d v="2022-06-11T00:00:00"/>
    <x v="3"/>
    <x v="2"/>
    <x v="2"/>
    <n v="1631.81"/>
    <n v="1109.1300000000001"/>
    <n v="9"/>
    <n v="14686.289999999999"/>
    <n v="9982.1700000000019"/>
    <n v="4704.1199999999972"/>
    <n v="0.32030689847469968"/>
    <x v="18"/>
    <n v="4704.1199999999972"/>
  </r>
  <r>
    <d v="2023-10-19T00:00:00"/>
    <x v="0"/>
    <x v="0"/>
    <x v="1"/>
    <n v="1024.79"/>
    <n v="562.46"/>
    <n v="9"/>
    <n v="9223.11"/>
    <n v="5062.1400000000003"/>
    <n v="4160.97"/>
    <n v="0.4511460884669054"/>
    <x v="5"/>
    <n v="4160.97"/>
  </r>
  <r>
    <d v="2024-08-12T00:00:00"/>
    <x v="5"/>
    <x v="3"/>
    <x v="0"/>
    <n v="32.270000000000003"/>
    <n v="24.21"/>
    <n v="2"/>
    <n v="64.540000000000006"/>
    <n v="48.42"/>
    <n v="16.120000000000005"/>
    <n v="0.24976758599318258"/>
    <x v="21"/>
    <n v="16.120000000000005"/>
  </r>
  <r>
    <d v="2023-07-11T00:00:00"/>
    <x v="9"/>
    <x v="3"/>
    <x v="3"/>
    <n v="1119.8"/>
    <n v="922.3"/>
    <n v="1"/>
    <n v="1119.8"/>
    <n v="922.3"/>
    <n v="197.5"/>
    <n v="0.17637078049651725"/>
    <x v="11"/>
    <n v="197.5"/>
  </r>
  <r>
    <d v="2024-07-29T00:00:00"/>
    <x v="2"/>
    <x v="0"/>
    <x v="2"/>
    <n v="1177.57"/>
    <n v="1029.32"/>
    <n v="3"/>
    <n v="3532.71"/>
    <n v="3087.96"/>
    <n v="444.75"/>
    <n v="0.12589485126149613"/>
    <x v="28"/>
    <n v="444.75"/>
  </r>
  <r>
    <d v="2024-10-03T00:00:00"/>
    <x v="10"/>
    <x v="2"/>
    <x v="0"/>
    <n v="115.2"/>
    <n v="93.27"/>
    <n v="3"/>
    <n v="345.6"/>
    <n v="279.81"/>
    <n v="65.79000000000002"/>
    <n v="0.19036458333333339"/>
    <x v="17"/>
    <n v="65.79000000000002"/>
  </r>
  <r>
    <d v="2024-04-25T00:00:00"/>
    <x v="0"/>
    <x v="0"/>
    <x v="2"/>
    <n v="1765.68"/>
    <n v="1563.7"/>
    <n v="1"/>
    <n v="1765.68"/>
    <n v="1563.7"/>
    <n v="201.98000000000002"/>
    <n v="0.11439218884509085"/>
    <x v="22"/>
    <n v="201.98000000000002"/>
  </r>
  <r>
    <d v="2023-03-18T00:00:00"/>
    <x v="3"/>
    <x v="2"/>
    <x v="1"/>
    <n v="855.77"/>
    <n v="769.4"/>
    <n v="4"/>
    <n v="3423.08"/>
    <n v="3077.6"/>
    <n v="345.48"/>
    <n v="0.10092665085244867"/>
    <x v="19"/>
    <n v="345.48"/>
  </r>
  <r>
    <d v="2023-03-27T00:00:00"/>
    <x v="3"/>
    <x v="2"/>
    <x v="0"/>
    <n v="1467.09"/>
    <n v="786"/>
    <n v="8"/>
    <n v="11736.72"/>
    <n v="6288"/>
    <n v="5448.7199999999993"/>
    <n v="0.4642455473079361"/>
    <x v="19"/>
    <n v="5448.7199999999993"/>
  </r>
  <r>
    <d v="2022-02-01T00:00:00"/>
    <x v="7"/>
    <x v="0"/>
    <x v="0"/>
    <n v="305.24"/>
    <n v="196.74"/>
    <n v="5"/>
    <n v="1526.2"/>
    <n v="983.7"/>
    <n v="542.5"/>
    <n v="0.35545800026208885"/>
    <x v="20"/>
    <n v="542.5"/>
  </r>
  <r>
    <d v="2023-12-27T00:00:00"/>
    <x v="7"/>
    <x v="0"/>
    <x v="3"/>
    <n v="1306.2"/>
    <n v="1097.76"/>
    <n v="7"/>
    <n v="9143.4"/>
    <n v="7684.32"/>
    <n v="1459.08"/>
    <n v="0.15957740009186955"/>
    <x v="30"/>
    <n v="1459.08"/>
  </r>
  <r>
    <d v="2022-04-14T00:00:00"/>
    <x v="5"/>
    <x v="3"/>
    <x v="3"/>
    <n v="1762.44"/>
    <n v="1176.1300000000001"/>
    <n v="6"/>
    <n v="10574.64"/>
    <n v="7056.7800000000007"/>
    <n v="3517.8599999999988"/>
    <n v="0.33266948094686899"/>
    <x v="32"/>
    <n v="3517.8599999999988"/>
  </r>
  <r>
    <d v="2022-11-03T00:00:00"/>
    <x v="10"/>
    <x v="2"/>
    <x v="0"/>
    <n v="317.47000000000003"/>
    <n v="261.48"/>
    <n v="7"/>
    <n v="2222.29"/>
    <n v="1830.3600000000001"/>
    <n v="391.92999999999984"/>
    <n v="0.17636312092481171"/>
    <x v="1"/>
    <n v="391.92999999999984"/>
  </r>
  <r>
    <d v="2022-01-26T00:00:00"/>
    <x v="4"/>
    <x v="2"/>
    <x v="3"/>
    <n v="541.66999999999996"/>
    <n v="286.8"/>
    <n v="3"/>
    <n v="1625.0099999999998"/>
    <n v="860.40000000000009"/>
    <n v="764.60999999999967"/>
    <n v="0.47052633522255233"/>
    <x v="9"/>
    <n v="764.60999999999967"/>
  </r>
  <r>
    <d v="2024-07-11T00:00:00"/>
    <x v="8"/>
    <x v="1"/>
    <x v="1"/>
    <n v="724.81"/>
    <n v="518.96"/>
    <n v="5"/>
    <n v="3624.0499999999997"/>
    <n v="2594.8000000000002"/>
    <n v="1029.2499999999995"/>
    <n v="0.28400546350077943"/>
    <x v="28"/>
    <n v="1029.2499999999995"/>
  </r>
  <r>
    <d v="2024-09-24T00:00:00"/>
    <x v="7"/>
    <x v="0"/>
    <x v="2"/>
    <n v="660.39"/>
    <n v="400.47"/>
    <n v="9"/>
    <n v="5943.51"/>
    <n v="3604.2300000000005"/>
    <n v="2339.2799999999997"/>
    <n v="0.39358560850406571"/>
    <x v="16"/>
    <n v="2339.2799999999997"/>
  </r>
  <r>
    <d v="2023-09-26T00:00:00"/>
    <x v="10"/>
    <x v="2"/>
    <x v="1"/>
    <n v="1106.9000000000001"/>
    <n v="873.78"/>
    <n v="4"/>
    <n v="4427.6000000000004"/>
    <n v="3495.12"/>
    <n v="932.48000000000047"/>
    <n v="0.21060619748848144"/>
    <x v="24"/>
    <n v="932.48000000000047"/>
  </r>
  <r>
    <d v="2024-06-11T00:00:00"/>
    <x v="9"/>
    <x v="3"/>
    <x v="2"/>
    <n v="1660.4"/>
    <n v="1123.53"/>
    <n v="1"/>
    <n v="1660.4"/>
    <n v="1123.53"/>
    <n v="536.87000000000012"/>
    <n v="0.3233377499397736"/>
    <x v="4"/>
    <n v="536.87000000000012"/>
  </r>
  <r>
    <d v="2024-10-13T00:00:00"/>
    <x v="3"/>
    <x v="2"/>
    <x v="3"/>
    <n v="1590.28"/>
    <n v="1048.22"/>
    <n v="4"/>
    <n v="6361.12"/>
    <n v="4192.88"/>
    <n v="2168.2399999999998"/>
    <n v="0.34085821364791102"/>
    <x v="17"/>
    <n v="2168.2399999999998"/>
  </r>
  <r>
    <d v="2022-10-31T00:00:00"/>
    <x v="8"/>
    <x v="1"/>
    <x v="3"/>
    <n v="1070.0899999999999"/>
    <n v="691.81"/>
    <n v="8"/>
    <n v="8560.7199999999993"/>
    <n v="5534.48"/>
    <n v="3026.24"/>
    <n v="0.35350297638516387"/>
    <x v="25"/>
    <n v="3026.24"/>
  </r>
  <r>
    <d v="2024-08-07T00:00:00"/>
    <x v="6"/>
    <x v="3"/>
    <x v="0"/>
    <n v="1226.98"/>
    <n v="985.93"/>
    <n v="1"/>
    <n v="1226.98"/>
    <n v="985.93"/>
    <n v="241.05000000000007"/>
    <n v="0.19645796997506076"/>
    <x v="21"/>
    <n v="241.05000000000007"/>
  </r>
  <r>
    <d v="2024-08-05T00:00:00"/>
    <x v="8"/>
    <x v="1"/>
    <x v="2"/>
    <n v="173.97"/>
    <n v="122.96"/>
    <n v="5"/>
    <n v="869.85"/>
    <n v="614.79999999999995"/>
    <n v="255.05000000000007"/>
    <n v="0.29321147324251312"/>
    <x v="21"/>
    <n v="255.05000000000007"/>
  </r>
  <r>
    <d v="2024-07-23T00:00:00"/>
    <x v="4"/>
    <x v="2"/>
    <x v="1"/>
    <n v="1478.14"/>
    <n v="1102.6400000000001"/>
    <n v="3"/>
    <n v="4434.42"/>
    <n v="3307.92"/>
    <n v="1126.5"/>
    <n v="0.25403547701841506"/>
    <x v="28"/>
    <n v="1126.5"/>
  </r>
  <r>
    <d v="2024-07-11T00:00:00"/>
    <x v="4"/>
    <x v="2"/>
    <x v="3"/>
    <n v="86.45"/>
    <n v="69.540000000000006"/>
    <n v="4"/>
    <n v="345.8"/>
    <n v="278.16000000000003"/>
    <n v="67.639999999999986"/>
    <n v="0.19560439560439555"/>
    <x v="28"/>
    <n v="67.639999999999986"/>
  </r>
  <r>
    <d v="2023-04-18T00:00:00"/>
    <x v="0"/>
    <x v="0"/>
    <x v="0"/>
    <n v="886.63"/>
    <n v="785.39"/>
    <n v="1"/>
    <n v="886.63"/>
    <n v="785.39"/>
    <n v="101.24000000000001"/>
    <n v="0.11418517307106686"/>
    <x v="6"/>
    <n v="101.24000000000001"/>
  </r>
  <r>
    <d v="2023-09-06T00:00:00"/>
    <x v="6"/>
    <x v="3"/>
    <x v="1"/>
    <n v="1749.47"/>
    <n v="1521.68"/>
    <n v="9"/>
    <n v="15745.23"/>
    <n v="13695.12"/>
    <n v="2050.1099999999988"/>
    <n v="0.13020514784477577"/>
    <x v="24"/>
    <n v="2050.1099999999988"/>
  </r>
  <r>
    <d v="2024-05-24T00:00:00"/>
    <x v="7"/>
    <x v="0"/>
    <x v="3"/>
    <n v="1558.43"/>
    <n v="1239.81"/>
    <n v="3"/>
    <n v="4675.29"/>
    <n v="3719.43"/>
    <n v="955.86000000000013"/>
    <n v="0.20444934966601006"/>
    <x v="3"/>
    <n v="955.86000000000013"/>
  </r>
  <r>
    <d v="2022-02-01T00:00:00"/>
    <x v="1"/>
    <x v="1"/>
    <x v="2"/>
    <n v="743.16"/>
    <n v="492.21"/>
    <n v="1"/>
    <n v="743.16"/>
    <n v="492.21"/>
    <n v="250.95"/>
    <n v="0.33767963830130793"/>
    <x v="20"/>
    <n v="250.95"/>
  </r>
  <r>
    <d v="2024-07-20T00:00:00"/>
    <x v="3"/>
    <x v="2"/>
    <x v="0"/>
    <n v="1729.16"/>
    <n v="874.39"/>
    <n v="1"/>
    <n v="1729.16"/>
    <n v="874.39"/>
    <n v="854.7700000000001"/>
    <n v="0.4943267251150848"/>
    <x v="28"/>
    <n v="854.7700000000001"/>
  </r>
  <r>
    <d v="2022-11-02T00:00:00"/>
    <x v="5"/>
    <x v="3"/>
    <x v="0"/>
    <n v="819.48"/>
    <n v="571.84"/>
    <n v="10"/>
    <n v="8194.7999999999993"/>
    <n v="5718.4000000000005"/>
    <n v="2476.3999999999987"/>
    <n v="0.30219163371894359"/>
    <x v="1"/>
    <n v="2476.3999999999987"/>
  </r>
  <r>
    <d v="2023-01-28T00:00:00"/>
    <x v="1"/>
    <x v="1"/>
    <x v="3"/>
    <n v="834.86"/>
    <n v="540.80999999999995"/>
    <n v="10"/>
    <n v="8348.6"/>
    <n v="5408.0999999999995"/>
    <n v="2940.5000000000009"/>
    <n v="0.35221474259157232"/>
    <x v="13"/>
    <n v="2940.5000000000009"/>
  </r>
  <r>
    <d v="2024-01-08T00:00:00"/>
    <x v="5"/>
    <x v="3"/>
    <x v="3"/>
    <n v="846.04"/>
    <n v="628.16999999999996"/>
    <n v="4"/>
    <n v="3384.16"/>
    <n v="2512.6799999999998"/>
    <n v="871.48"/>
    <n v="0.25751737506500877"/>
    <x v="26"/>
    <n v="871.48"/>
  </r>
  <r>
    <d v="2024-08-29T00:00:00"/>
    <x v="3"/>
    <x v="2"/>
    <x v="3"/>
    <n v="931.96"/>
    <n v="814.65"/>
    <n v="4"/>
    <n v="3727.84"/>
    <n v="3258.6"/>
    <n v="469.24000000000024"/>
    <n v="0.12587450105154732"/>
    <x v="21"/>
    <n v="469.24000000000024"/>
  </r>
  <r>
    <d v="2022-04-17T00:00:00"/>
    <x v="10"/>
    <x v="2"/>
    <x v="1"/>
    <n v="567.12"/>
    <n v="401.47"/>
    <n v="8"/>
    <n v="4536.96"/>
    <n v="3211.76"/>
    <n v="1325.1999999999998"/>
    <n v="0.29208985752574407"/>
    <x v="32"/>
    <n v="1325.1999999999998"/>
  </r>
  <r>
    <d v="2023-11-14T00:00:00"/>
    <x v="10"/>
    <x v="2"/>
    <x v="2"/>
    <n v="1795.28"/>
    <n v="1153.1099999999999"/>
    <n v="5"/>
    <n v="8976.4"/>
    <n v="5765.5499999999993"/>
    <n v="3210.8500000000004"/>
    <n v="0.357699077581213"/>
    <x v="10"/>
    <n v="3210.8500000000004"/>
  </r>
  <r>
    <d v="2024-05-22T00:00:00"/>
    <x v="2"/>
    <x v="0"/>
    <x v="2"/>
    <n v="97.44"/>
    <n v="76.87"/>
    <n v="10"/>
    <n v="974.4"/>
    <n v="768.7"/>
    <n v="205.69999999999993"/>
    <n v="0.2111042692939244"/>
    <x v="3"/>
    <n v="205.69999999999993"/>
  </r>
  <r>
    <d v="2023-05-03T00:00:00"/>
    <x v="9"/>
    <x v="3"/>
    <x v="3"/>
    <n v="970.7"/>
    <n v="731.64"/>
    <n v="8"/>
    <n v="7765.6"/>
    <n v="5853.12"/>
    <n v="1912.4800000000005"/>
    <n v="0.24627588338312562"/>
    <x v="31"/>
    <n v="1912.4800000000005"/>
  </r>
  <r>
    <d v="2022-03-16T00:00:00"/>
    <x v="4"/>
    <x v="2"/>
    <x v="1"/>
    <n v="1841"/>
    <n v="1500.93"/>
    <n v="3"/>
    <n v="5523"/>
    <n v="4502.79"/>
    <n v="1020.21"/>
    <n v="0.18472026072786529"/>
    <x v="7"/>
    <n v="1020.21"/>
  </r>
  <r>
    <d v="2022-09-02T00:00:00"/>
    <x v="9"/>
    <x v="3"/>
    <x v="0"/>
    <n v="1074.52"/>
    <n v="675.54"/>
    <n v="4"/>
    <n v="4298.08"/>
    <n v="2702.16"/>
    <n v="1595.92"/>
    <n v="0.37130998027026024"/>
    <x v="12"/>
    <n v="1595.92"/>
  </r>
  <r>
    <d v="2024-01-29T00:00:00"/>
    <x v="3"/>
    <x v="2"/>
    <x v="1"/>
    <n v="1091.45"/>
    <n v="886.94"/>
    <n v="3"/>
    <n v="3274.3500000000004"/>
    <n v="2660.82"/>
    <n v="613.5300000000002"/>
    <n v="0.1873745934307573"/>
    <x v="26"/>
    <n v="613.5300000000002"/>
  </r>
  <r>
    <d v="2023-07-28T00:00:00"/>
    <x v="10"/>
    <x v="2"/>
    <x v="0"/>
    <n v="97.75"/>
    <n v="57.05"/>
    <n v="2"/>
    <n v="195.5"/>
    <n v="114.1"/>
    <n v="81.400000000000006"/>
    <n v="0.41636828644501284"/>
    <x v="11"/>
    <n v="81.400000000000006"/>
  </r>
  <r>
    <d v="2022-12-23T00:00:00"/>
    <x v="2"/>
    <x v="0"/>
    <x v="0"/>
    <n v="147.15"/>
    <n v="74.7"/>
    <n v="1"/>
    <n v="147.15"/>
    <n v="74.7"/>
    <n v="72.45"/>
    <n v="0.49235474006116209"/>
    <x v="33"/>
    <n v="72.45"/>
  </r>
  <r>
    <d v="2024-07-05T00:00:00"/>
    <x v="1"/>
    <x v="1"/>
    <x v="0"/>
    <n v="615.64"/>
    <n v="369.45"/>
    <n v="5"/>
    <n v="3078.2"/>
    <n v="1847.25"/>
    <n v="1230.9499999999998"/>
    <n v="0.39989279449028647"/>
    <x v="28"/>
    <n v="1230.9499999999998"/>
  </r>
  <r>
    <d v="2022-11-04T00:00:00"/>
    <x v="2"/>
    <x v="0"/>
    <x v="3"/>
    <n v="312.75"/>
    <n v="261.73"/>
    <n v="2"/>
    <n v="625.5"/>
    <n v="523.46"/>
    <n v="102.03999999999996"/>
    <n v="0.1631334932054356"/>
    <x v="1"/>
    <n v="102.03999999999996"/>
  </r>
  <r>
    <d v="2023-04-15T00:00:00"/>
    <x v="4"/>
    <x v="2"/>
    <x v="2"/>
    <n v="839.99"/>
    <n v="620.89"/>
    <n v="9"/>
    <n v="7559.91"/>
    <n v="5588.01"/>
    <n v="1971.8999999999996"/>
    <n v="0.26083643852903005"/>
    <x v="6"/>
    <n v="1971.8999999999996"/>
  </r>
  <r>
    <d v="2024-08-08T00:00:00"/>
    <x v="7"/>
    <x v="0"/>
    <x v="1"/>
    <n v="1088.3499999999999"/>
    <n v="803.89"/>
    <n v="3"/>
    <n v="3265.0499999999997"/>
    <n v="2411.67"/>
    <n v="853.37999999999965"/>
    <n v="0.26136812606238796"/>
    <x v="21"/>
    <n v="853.37999999999965"/>
  </r>
  <r>
    <d v="2022-01-29T00:00:00"/>
    <x v="5"/>
    <x v="3"/>
    <x v="3"/>
    <n v="1724.09"/>
    <n v="1162.31"/>
    <n v="3"/>
    <n v="5172.2699999999995"/>
    <n v="3486.93"/>
    <n v="1685.3399999999997"/>
    <n v="0.3258414583925433"/>
    <x v="9"/>
    <n v="1685.3399999999997"/>
  </r>
  <r>
    <d v="2022-11-08T00:00:00"/>
    <x v="1"/>
    <x v="1"/>
    <x v="0"/>
    <n v="1390.5"/>
    <n v="1010.39"/>
    <n v="4"/>
    <n v="5562"/>
    <n v="4041.56"/>
    <n v="1520.44"/>
    <n v="0.2733620999640417"/>
    <x v="1"/>
    <n v="1520.44"/>
  </r>
  <r>
    <d v="2023-09-13T00:00:00"/>
    <x v="3"/>
    <x v="2"/>
    <x v="2"/>
    <n v="652.89"/>
    <n v="425.51"/>
    <n v="2"/>
    <n v="1305.78"/>
    <n v="851.02"/>
    <n v="454.76"/>
    <n v="0.34826693623734473"/>
    <x v="24"/>
    <n v="454.76"/>
  </r>
  <r>
    <d v="2022-11-13T00:00:00"/>
    <x v="5"/>
    <x v="3"/>
    <x v="3"/>
    <n v="633.85"/>
    <n v="545.44000000000005"/>
    <n v="9"/>
    <n v="5704.6500000000005"/>
    <n v="4908.9600000000009"/>
    <n v="795.6899999999996"/>
    <n v="0.13948094975151842"/>
    <x v="1"/>
    <n v="795.6899999999996"/>
  </r>
  <r>
    <d v="2023-02-06T00:00:00"/>
    <x v="10"/>
    <x v="2"/>
    <x v="0"/>
    <n v="1561.56"/>
    <n v="1150.92"/>
    <n v="1"/>
    <n v="1561.56"/>
    <n v="1150.92"/>
    <n v="410.63999999999987"/>
    <n v="0.26296780142933984"/>
    <x v="27"/>
    <n v="410.63999999999987"/>
  </r>
  <r>
    <d v="2024-10-16T00:00:00"/>
    <x v="7"/>
    <x v="0"/>
    <x v="2"/>
    <n v="919.4"/>
    <n v="596.37"/>
    <n v="7"/>
    <n v="6435.8"/>
    <n v="4174.59"/>
    <n v="2261.21"/>
    <n v="0.35134870567761584"/>
    <x v="17"/>
    <n v="2261.21"/>
  </r>
  <r>
    <d v="2024-06-15T00:00:00"/>
    <x v="0"/>
    <x v="0"/>
    <x v="1"/>
    <n v="83.72"/>
    <n v="44.65"/>
    <n v="8"/>
    <n v="669.76"/>
    <n v="357.2"/>
    <n v="312.56"/>
    <n v="0.46667462971810797"/>
    <x v="4"/>
    <n v="312.56"/>
  </r>
  <r>
    <d v="2023-08-16T00:00:00"/>
    <x v="2"/>
    <x v="0"/>
    <x v="2"/>
    <n v="1319.36"/>
    <n v="1105.67"/>
    <n v="3"/>
    <n v="3958.08"/>
    <n v="3317.01"/>
    <n v="641.06999999999971"/>
    <n v="0.16196489206888182"/>
    <x v="14"/>
    <n v="641.06999999999971"/>
  </r>
  <r>
    <d v="2024-02-02T00:00:00"/>
    <x v="0"/>
    <x v="0"/>
    <x v="1"/>
    <n v="1328.7"/>
    <n v="789.76"/>
    <n v="9"/>
    <n v="11958.300000000001"/>
    <n v="7107.84"/>
    <n v="4850.4600000000009"/>
    <n v="0.40561451042372249"/>
    <x v="34"/>
    <n v="4850.4600000000009"/>
  </r>
  <r>
    <d v="2022-02-02T00:00:00"/>
    <x v="5"/>
    <x v="3"/>
    <x v="3"/>
    <n v="1716.23"/>
    <n v="1334.58"/>
    <n v="5"/>
    <n v="8581.15"/>
    <n v="6672.9"/>
    <n v="1908.25"/>
    <n v="0.22237695413784866"/>
    <x v="20"/>
    <n v="1908.25"/>
  </r>
  <r>
    <d v="2023-04-09T00:00:00"/>
    <x v="1"/>
    <x v="1"/>
    <x v="3"/>
    <n v="696.9"/>
    <n v="568.29"/>
    <n v="4"/>
    <n v="2787.6"/>
    <n v="2273.16"/>
    <n v="514.44000000000005"/>
    <n v="0.18454584588893674"/>
    <x v="6"/>
    <n v="514.44000000000005"/>
  </r>
  <r>
    <d v="2023-05-04T00:00:00"/>
    <x v="7"/>
    <x v="0"/>
    <x v="0"/>
    <n v="380.58"/>
    <n v="241.54"/>
    <n v="8"/>
    <n v="3044.64"/>
    <n v="1932.32"/>
    <n v="1112.32"/>
    <n v="0.36533711703189869"/>
    <x v="31"/>
    <n v="1112.32"/>
  </r>
  <r>
    <d v="2023-11-27T00:00:00"/>
    <x v="9"/>
    <x v="3"/>
    <x v="2"/>
    <n v="1975.92"/>
    <n v="992.16"/>
    <n v="6"/>
    <n v="11855.52"/>
    <n v="5952.96"/>
    <n v="5902.56"/>
    <n v="0.49787440787076404"/>
    <x v="10"/>
    <n v="5902.56"/>
  </r>
  <r>
    <d v="2023-07-12T00:00:00"/>
    <x v="0"/>
    <x v="0"/>
    <x v="0"/>
    <n v="689.1"/>
    <n v="419.14"/>
    <n v="1"/>
    <n v="689.1"/>
    <n v="419.14"/>
    <n v="269.96000000000004"/>
    <n v="0.39175736467856631"/>
    <x v="11"/>
    <n v="269.96000000000004"/>
  </r>
  <r>
    <d v="2022-02-02T00:00:00"/>
    <x v="7"/>
    <x v="0"/>
    <x v="3"/>
    <n v="553.30999999999995"/>
    <n v="462.2"/>
    <n v="10"/>
    <n v="5533.0999999999995"/>
    <n v="4622"/>
    <n v="911.09999999999945"/>
    <n v="0.16466357015054844"/>
    <x v="20"/>
    <n v="911.09999999999945"/>
  </r>
  <r>
    <d v="2022-06-10T00:00:00"/>
    <x v="9"/>
    <x v="3"/>
    <x v="2"/>
    <n v="23.02"/>
    <n v="19.239999999999998"/>
    <n v="1"/>
    <n v="23.02"/>
    <n v="19.239999999999998"/>
    <n v="3.7800000000000011"/>
    <n v="0.16420503909643794"/>
    <x v="18"/>
    <n v="3.7800000000000011"/>
  </r>
  <r>
    <d v="2022-08-20T00:00:00"/>
    <x v="8"/>
    <x v="1"/>
    <x v="3"/>
    <n v="554.16"/>
    <n v="372.3"/>
    <n v="2"/>
    <n v="1108.32"/>
    <n v="744.6"/>
    <n v="363.71999999999991"/>
    <n v="0.32817236899090507"/>
    <x v="15"/>
    <n v="363.71999999999991"/>
  </r>
  <r>
    <d v="2023-10-04T00:00:00"/>
    <x v="8"/>
    <x v="1"/>
    <x v="1"/>
    <n v="860.66"/>
    <n v="704.4"/>
    <n v="7"/>
    <n v="6024.62"/>
    <n v="4930.8"/>
    <n v="1093.8199999999997"/>
    <n v="0.1815583389491785"/>
    <x v="5"/>
    <n v="1093.8199999999997"/>
  </r>
  <r>
    <d v="2023-09-17T00:00:00"/>
    <x v="4"/>
    <x v="2"/>
    <x v="2"/>
    <n v="792.39"/>
    <n v="566"/>
    <n v="6"/>
    <n v="4754.34"/>
    <n v="3396"/>
    <n v="1358.3400000000001"/>
    <n v="0.28570527139413676"/>
    <x v="24"/>
    <n v="1358.3400000000001"/>
  </r>
  <r>
    <d v="2023-03-16T00:00:00"/>
    <x v="4"/>
    <x v="2"/>
    <x v="1"/>
    <n v="914.08"/>
    <n v="714.46"/>
    <n v="5"/>
    <n v="4570.4000000000005"/>
    <n v="3572.3"/>
    <n v="998.10000000000036"/>
    <n v="0.2183835112900403"/>
    <x v="19"/>
    <n v="998.10000000000036"/>
  </r>
  <r>
    <d v="2024-08-12T00:00:00"/>
    <x v="3"/>
    <x v="2"/>
    <x v="3"/>
    <n v="360.9"/>
    <n v="236.5"/>
    <n v="5"/>
    <n v="1804.5"/>
    <n v="1182.5"/>
    <n v="622"/>
    <n v="0.34469382100304796"/>
    <x v="21"/>
    <n v="622"/>
  </r>
  <r>
    <d v="2023-12-10T00:00:00"/>
    <x v="5"/>
    <x v="3"/>
    <x v="2"/>
    <n v="483.09"/>
    <n v="425.34"/>
    <n v="3"/>
    <n v="1449.27"/>
    <n v="1276.02"/>
    <n v="173.25"/>
    <n v="0.11954294230888654"/>
    <x v="30"/>
    <n v="173.25"/>
  </r>
  <r>
    <d v="2022-02-01T00:00:00"/>
    <x v="6"/>
    <x v="3"/>
    <x v="1"/>
    <n v="822.25"/>
    <n v="502.28"/>
    <n v="10"/>
    <n v="8222.5"/>
    <n v="5022.7999999999993"/>
    <n v="3199.7000000000007"/>
    <n v="0.38913955609607792"/>
    <x v="20"/>
    <n v="3199.7000000000007"/>
  </r>
  <r>
    <d v="2022-08-06T00:00:00"/>
    <x v="10"/>
    <x v="2"/>
    <x v="0"/>
    <n v="1454.94"/>
    <n v="1142.9000000000001"/>
    <n v="7"/>
    <n v="10184.58"/>
    <n v="8000.3000000000011"/>
    <n v="2184.2799999999988"/>
    <n v="0.2144693251955406"/>
    <x v="15"/>
    <n v="2184.2799999999988"/>
  </r>
  <r>
    <d v="2022-08-01T00:00:00"/>
    <x v="5"/>
    <x v="3"/>
    <x v="2"/>
    <n v="217.74"/>
    <n v="119.91"/>
    <n v="3"/>
    <n v="653.22"/>
    <n v="359.73"/>
    <n v="293.49"/>
    <n v="0.44929732708735187"/>
    <x v="15"/>
    <n v="293.49"/>
  </r>
  <r>
    <d v="2024-05-13T00:00:00"/>
    <x v="1"/>
    <x v="1"/>
    <x v="1"/>
    <n v="53.69"/>
    <n v="40.79"/>
    <n v="3"/>
    <n v="161.07"/>
    <n v="122.37"/>
    <n v="38.699999999999989"/>
    <n v="0.24026820636990123"/>
    <x v="3"/>
    <n v="38.699999999999989"/>
  </r>
  <r>
    <d v="2024-09-30T00:00:00"/>
    <x v="9"/>
    <x v="3"/>
    <x v="1"/>
    <n v="1104.8900000000001"/>
    <n v="677.93"/>
    <n v="6"/>
    <n v="6629.34"/>
    <n v="4067.58"/>
    <n v="2561.7600000000002"/>
    <n v="0.38642760817818972"/>
    <x v="16"/>
    <n v="2561.7600000000002"/>
  </r>
  <r>
    <d v="2022-03-22T00:00:00"/>
    <x v="5"/>
    <x v="3"/>
    <x v="2"/>
    <n v="310.89"/>
    <n v="159.69999999999999"/>
    <n v="3"/>
    <n v="932.67"/>
    <n v="479.09999999999997"/>
    <n v="453.57"/>
    <n v="0.48631348708546435"/>
    <x v="7"/>
    <n v="453.57"/>
  </r>
  <r>
    <d v="2022-09-17T00:00:00"/>
    <x v="10"/>
    <x v="2"/>
    <x v="3"/>
    <n v="898.51"/>
    <n v="680.29"/>
    <n v="8"/>
    <n v="7188.08"/>
    <n v="5442.32"/>
    <n v="1745.7600000000002"/>
    <n v="0.2428687493739636"/>
    <x v="12"/>
    <n v="1745.7600000000002"/>
  </r>
  <r>
    <d v="2024-11-22T00:00:00"/>
    <x v="0"/>
    <x v="0"/>
    <x v="2"/>
    <n v="1013.86"/>
    <n v="664.56"/>
    <n v="4"/>
    <n v="4055.44"/>
    <n v="2658.24"/>
    <n v="1397.2000000000003"/>
    <n v="0.34452488509261642"/>
    <x v="2"/>
    <n v="1397.2000000000003"/>
  </r>
  <r>
    <d v="2024-01-08T00:00:00"/>
    <x v="1"/>
    <x v="1"/>
    <x v="0"/>
    <n v="1348.57"/>
    <n v="766.13"/>
    <n v="10"/>
    <n v="13485.699999999999"/>
    <n v="7661.3"/>
    <n v="5824.3999999999987"/>
    <n v="0.43189452531199707"/>
    <x v="26"/>
    <n v="5824.3999999999987"/>
  </r>
  <r>
    <d v="2022-03-07T00:00:00"/>
    <x v="3"/>
    <x v="2"/>
    <x v="2"/>
    <n v="773.67"/>
    <n v="482.61"/>
    <n v="5"/>
    <n v="3868.35"/>
    <n v="2413.0500000000002"/>
    <n v="1455.2999999999997"/>
    <n v="0.37620690992283523"/>
    <x v="7"/>
    <n v="1455.2999999999997"/>
  </r>
  <r>
    <d v="2022-07-03T00:00:00"/>
    <x v="4"/>
    <x v="2"/>
    <x v="2"/>
    <n v="47.54"/>
    <n v="39.31"/>
    <n v="7"/>
    <n v="332.78"/>
    <n v="275.17"/>
    <n v="57.609999999999957"/>
    <n v="0.17311737484223799"/>
    <x v="8"/>
    <n v="57.609999999999957"/>
  </r>
  <r>
    <d v="2024-10-28T00:00:00"/>
    <x v="2"/>
    <x v="0"/>
    <x v="0"/>
    <n v="1510.62"/>
    <n v="1058.3399999999999"/>
    <n v="7"/>
    <n v="10574.34"/>
    <n v="7408.3799999999992"/>
    <n v="3165.9600000000009"/>
    <n v="0.29940024625650402"/>
    <x v="17"/>
    <n v="3165.9600000000009"/>
  </r>
  <r>
    <d v="2023-11-28T00:00:00"/>
    <x v="1"/>
    <x v="1"/>
    <x v="2"/>
    <n v="977.48"/>
    <n v="875.81"/>
    <n v="9"/>
    <n v="8797.32"/>
    <n v="7882.2899999999991"/>
    <n v="915.03000000000065"/>
    <n v="0.10401235830912149"/>
    <x v="10"/>
    <n v="915.03000000000065"/>
  </r>
  <r>
    <d v="2024-06-12T00:00:00"/>
    <x v="9"/>
    <x v="3"/>
    <x v="3"/>
    <n v="309.81"/>
    <n v="203.66"/>
    <n v="10"/>
    <n v="3098.1"/>
    <n v="2036.6"/>
    <n v="1061.5"/>
    <n v="0.3426293534747103"/>
    <x v="4"/>
    <n v="1061.5"/>
  </r>
  <r>
    <d v="2024-04-13T00:00:00"/>
    <x v="5"/>
    <x v="3"/>
    <x v="1"/>
    <n v="763.82"/>
    <n v="579.17999999999995"/>
    <n v="2"/>
    <n v="1527.64"/>
    <n v="1158.3599999999999"/>
    <n v="369.2800000000002"/>
    <n v="0.24173234531695961"/>
    <x v="22"/>
    <n v="369.2800000000002"/>
  </r>
  <r>
    <d v="2023-04-11T00:00:00"/>
    <x v="7"/>
    <x v="0"/>
    <x v="1"/>
    <n v="1860.9"/>
    <n v="1669.22"/>
    <n v="10"/>
    <n v="18609"/>
    <n v="16692.2"/>
    <n v="1916.7999999999993"/>
    <n v="0.10300392283303773"/>
    <x v="6"/>
    <n v="1916.7999999999993"/>
  </r>
  <r>
    <d v="2022-01-29T00:00:00"/>
    <x v="10"/>
    <x v="2"/>
    <x v="3"/>
    <n v="254.73"/>
    <n v="203.41"/>
    <n v="7"/>
    <n v="1783.11"/>
    <n v="1423.87"/>
    <n v="359.24"/>
    <n v="0.20146822125387667"/>
    <x v="9"/>
    <n v="359.24"/>
  </r>
  <r>
    <d v="2023-09-06T00:00:00"/>
    <x v="6"/>
    <x v="3"/>
    <x v="3"/>
    <n v="504.48"/>
    <n v="368.04"/>
    <n v="2"/>
    <n v="1008.96"/>
    <n v="736.08"/>
    <n v="272.88"/>
    <n v="0.27045670789724069"/>
    <x v="24"/>
    <n v="272.88"/>
  </r>
  <r>
    <d v="2023-09-08T00:00:00"/>
    <x v="6"/>
    <x v="3"/>
    <x v="2"/>
    <n v="1502.87"/>
    <n v="1330.23"/>
    <n v="5"/>
    <n v="7514.3499999999995"/>
    <n v="6651.15"/>
    <n v="863.19999999999982"/>
    <n v="0.11487354195639009"/>
    <x v="24"/>
    <n v="863.19999999999982"/>
  </r>
  <r>
    <d v="2023-10-04T00:00:00"/>
    <x v="1"/>
    <x v="1"/>
    <x v="0"/>
    <n v="218.48"/>
    <n v="129.57"/>
    <n v="4"/>
    <n v="873.92"/>
    <n v="518.28"/>
    <n v="355.64"/>
    <n v="0.40694800439399487"/>
    <x v="5"/>
    <n v="355.64"/>
  </r>
  <r>
    <d v="2022-01-02T00:00:00"/>
    <x v="10"/>
    <x v="2"/>
    <x v="2"/>
    <n v="566.69000000000005"/>
    <n v="292.83999999999997"/>
    <n v="1"/>
    <n v="566.69000000000005"/>
    <n v="292.83999999999997"/>
    <n v="273.85000000000008"/>
    <n v="0.48324480756674737"/>
    <x v="9"/>
    <n v="273.85000000000008"/>
  </r>
  <r>
    <d v="2024-06-18T00:00:00"/>
    <x v="10"/>
    <x v="2"/>
    <x v="2"/>
    <n v="1687.17"/>
    <n v="1033"/>
    <n v="4"/>
    <n v="6748.68"/>
    <n v="4132"/>
    <n v="2616.6800000000003"/>
    <n v="0.3877321194663253"/>
    <x v="4"/>
    <n v="2616.6800000000003"/>
  </r>
  <r>
    <d v="2024-10-12T00:00:00"/>
    <x v="4"/>
    <x v="2"/>
    <x v="1"/>
    <n v="718.25"/>
    <n v="615.25"/>
    <n v="8"/>
    <n v="5746"/>
    <n v="4922"/>
    <n v="824"/>
    <n v="0.14340410720501218"/>
    <x v="17"/>
    <n v="824"/>
  </r>
  <r>
    <d v="2024-08-13T00:00:00"/>
    <x v="6"/>
    <x v="3"/>
    <x v="1"/>
    <n v="218.09"/>
    <n v="111.64"/>
    <n v="9"/>
    <n v="1962.81"/>
    <n v="1004.76"/>
    <n v="958.05"/>
    <n v="0.48810124260626347"/>
    <x v="21"/>
    <n v="958.05"/>
  </r>
  <r>
    <d v="2023-03-25T00:00:00"/>
    <x v="1"/>
    <x v="1"/>
    <x v="0"/>
    <n v="1116.4000000000001"/>
    <n v="956.79"/>
    <n v="8"/>
    <n v="8931.2000000000007"/>
    <n v="7654.32"/>
    <n v="1276.880000000001"/>
    <n v="0.14296847008240784"/>
    <x v="19"/>
    <n v="1276.880000000001"/>
  </r>
  <r>
    <d v="2022-02-23T00:00:00"/>
    <x v="4"/>
    <x v="2"/>
    <x v="2"/>
    <n v="1991.25"/>
    <n v="1280.02"/>
    <n v="4"/>
    <n v="7965"/>
    <n v="5120.08"/>
    <n v="2844.92"/>
    <n v="0.35717765222849968"/>
    <x v="20"/>
    <n v="2844.92"/>
  </r>
  <r>
    <d v="2022-09-29T00:00:00"/>
    <x v="0"/>
    <x v="0"/>
    <x v="3"/>
    <n v="1447.51"/>
    <n v="869.72"/>
    <n v="10"/>
    <n v="14475.1"/>
    <n v="8697.2000000000007"/>
    <n v="5777.9"/>
    <n v="0.39916131840194535"/>
    <x v="12"/>
    <n v="5777.9"/>
  </r>
  <r>
    <d v="2024-01-09T00:00:00"/>
    <x v="7"/>
    <x v="0"/>
    <x v="3"/>
    <n v="1059.55"/>
    <n v="777.85"/>
    <n v="5"/>
    <n v="5297.75"/>
    <n v="3889.25"/>
    <n v="1408.5"/>
    <n v="0.26586758529564436"/>
    <x v="26"/>
    <n v="1408.5"/>
  </r>
  <r>
    <d v="2023-03-06T00:00:00"/>
    <x v="2"/>
    <x v="0"/>
    <x v="0"/>
    <n v="1996.27"/>
    <n v="1478.03"/>
    <n v="8"/>
    <n v="15970.16"/>
    <n v="11824.24"/>
    <n v="4145.92"/>
    <n v="0.25960416176168555"/>
    <x v="19"/>
    <n v="4145.92"/>
  </r>
  <r>
    <d v="2023-02-03T00:00:00"/>
    <x v="10"/>
    <x v="2"/>
    <x v="3"/>
    <n v="1667.58"/>
    <n v="913.13"/>
    <n v="5"/>
    <n v="8337.9"/>
    <n v="4565.6499999999996"/>
    <n v="3772.25"/>
    <n v="0.45242207270415813"/>
    <x v="27"/>
    <n v="3772.25"/>
  </r>
  <r>
    <d v="2022-09-22T00:00:00"/>
    <x v="9"/>
    <x v="3"/>
    <x v="2"/>
    <n v="65.28"/>
    <n v="35.869999999999997"/>
    <n v="4"/>
    <n v="261.12"/>
    <n v="143.47999999999999"/>
    <n v="117.64000000000001"/>
    <n v="0.45052083333333337"/>
    <x v="12"/>
    <n v="117.64000000000001"/>
  </r>
  <r>
    <d v="2024-01-01T00:00:00"/>
    <x v="7"/>
    <x v="0"/>
    <x v="3"/>
    <n v="1887.88"/>
    <n v="1289.6500000000001"/>
    <n v="4"/>
    <n v="7551.52"/>
    <n v="5158.6000000000004"/>
    <n v="2392.92"/>
    <n v="0.31687925079983897"/>
    <x v="26"/>
    <n v="2392.92"/>
  </r>
  <r>
    <d v="2023-03-15T00:00:00"/>
    <x v="2"/>
    <x v="0"/>
    <x v="1"/>
    <n v="1526.23"/>
    <n v="1103.6099999999999"/>
    <n v="9"/>
    <n v="13736.07"/>
    <n v="9932.49"/>
    <n v="3803.58"/>
    <n v="0.27690452946148353"/>
    <x v="19"/>
    <n v="3803.58"/>
  </r>
  <r>
    <d v="2022-05-27T00:00:00"/>
    <x v="1"/>
    <x v="1"/>
    <x v="0"/>
    <n v="240.02"/>
    <n v="131.96"/>
    <n v="10"/>
    <n v="2400.2000000000003"/>
    <n v="1319.6000000000001"/>
    <n v="1080.6000000000001"/>
    <n v="0.45021248229314226"/>
    <x v="35"/>
    <n v="1080.6000000000001"/>
  </r>
  <r>
    <d v="2024-06-30T00:00:00"/>
    <x v="0"/>
    <x v="0"/>
    <x v="2"/>
    <n v="607.98"/>
    <n v="420.03"/>
    <n v="6"/>
    <n v="3647.88"/>
    <n v="2520.1799999999998"/>
    <n v="1127.7000000000003"/>
    <n v="0.30913845850192445"/>
    <x v="4"/>
    <n v="1127.7000000000003"/>
  </r>
  <r>
    <d v="2023-12-16T00:00:00"/>
    <x v="6"/>
    <x v="3"/>
    <x v="0"/>
    <n v="693.31"/>
    <n v="499.37"/>
    <n v="1"/>
    <n v="693.31"/>
    <n v="499.37"/>
    <n v="193.93999999999994"/>
    <n v="0.27973056785564893"/>
    <x v="30"/>
    <n v="193.93999999999994"/>
  </r>
  <r>
    <d v="2022-09-22T00:00:00"/>
    <x v="3"/>
    <x v="2"/>
    <x v="1"/>
    <n v="1242.4000000000001"/>
    <n v="914.89"/>
    <n v="4"/>
    <n v="4969.6000000000004"/>
    <n v="3659.56"/>
    <n v="1310.0400000000004"/>
    <n v="0.26361075338055384"/>
    <x v="12"/>
    <n v="1310.0400000000004"/>
  </r>
  <r>
    <d v="2022-08-08T00:00:00"/>
    <x v="2"/>
    <x v="0"/>
    <x v="3"/>
    <n v="1817.65"/>
    <n v="915.87"/>
    <n v="4"/>
    <n v="7270.6"/>
    <n v="3663.48"/>
    <n v="3607.1200000000003"/>
    <n v="0.49612411630401893"/>
    <x v="15"/>
    <n v="3607.1200000000003"/>
  </r>
  <r>
    <d v="2024-06-07T00:00:00"/>
    <x v="0"/>
    <x v="0"/>
    <x v="0"/>
    <n v="1535.29"/>
    <n v="1265.6199999999999"/>
    <n v="10"/>
    <n v="15352.9"/>
    <n v="12656.199999999999"/>
    <n v="2696.7000000000007"/>
    <n v="0.17564759752229225"/>
    <x v="4"/>
    <n v="2696.7000000000007"/>
  </r>
  <r>
    <d v="2022-12-30T00:00:00"/>
    <x v="9"/>
    <x v="3"/>
    <x v="1"/>
    <n v="1909.45"/>
    <n v="1057.6500000000001"/>
    <n v="5"/>
    <n v="9547.25"/>
    <n v="5288.25"/>
    <n v="4259"/>
    <n v="0.4460970436513132"/>
    <x v="33"/>
    <n v="4259"/>
  </r>
  <r>
    <d v="2023-02-20T00:00:00"/>
    <x v="9"/>
    <x v="3"/>
    <x v="3"/>
    <n v="1484.68"/>
    <n v="959.6"/>
    <n v="5"/>
    <n v="7423.4000000000005"/>
    <n v="4798"/>
    <n v="2625.4000000000005"/>
    <n v="0.35366543632297875"/>
    <x v="27"/>
    <n v="2625.4000000000005"/>
  </r>
  <r>
    <d v="2024-11-19T00:00:00"/>
    <x v="10"/>
    <x v="2"/>
    <x v="0"/>
    <n v="1790.94"/>
    <n v="1209.92"/>
    <n v="4"/>
    <n v="7163.76"/>
    <n v="4839.68"/>
    <n v="2324.08"/>
    <n v="0.32442181200933584"/>
    <x v="2"/>
    <n v="2324.08"/>
  </r>
  <r>
    <d v="2024-07-03T00:00:00"/>
    <x v="8"/>
    <x v="1"/>
    <x v="0"/>
    <n v="1544.7"/>
    <n v="1284.9000000000001"/>
    <n v="3"/>
    <n v="4634.1000000000004"/>
    <n v="3854.7000000000003"/>
    <n v="779.40000000000009"/>
    <n v="0.16818799766945039"/>
    <x v="28"/>
    <n v="779.40000000000009"/>
  </r>
  <r>
    <d v="2024-08-01T00:00:00"/>
    <x v="5"/>
    <x v="3"/>
    <x v="0"/>
    <n v="1304.75"/>
    <n v="829.13"/>
    <n v="10"/>
    <n v="13047.5"/>
    <n v="8291.2999999999993"/>
    <n v="4756.2000000000007"/>
    <n v="0.36452960337229362"/>
    <x v="21"/>
    <n v="4756.2000000000007"/>
  </r>
  <r>
    <d v="2024-09-04T00:00:00"/>
    <x v="5"/>
    <x v="3"/>
    <x v="2"/>
    <n v="1986.78"/>
    <n v="1065.8599999999999"/>
    <n v="7"/>
    <n v="13907.46"/>
    <n v="7461.0199999999995"/>
    <n v="6446.44"/>
    <n v="0.46352389293228241"/>
    <x v="16"/>
    <n v="6446.44"/>
  </r>
  <r>
    <d v="2023-02-14T00:00:00"/>
    <x v="1"/>
    <x v="1"/>
    <x v="0"/>
    <n v="55.35"/>
    <n v="46.29"/>
    <n v="8"/>
    <n v="442.8"/>
    <n v="370.32"/>
    <n v="72.480000000000018"/>
    <n v="0.16368563685636861"/>
    <x v="27"/>
    <n v="72.480000000000018"/>
  </r>
  <r>
    <d v="2022-02-26T00:00:00"/>
    <x v="5"/>
    <x v="3"/>
    <x v="3"/>
    <n v="200.25"/>
    <n v="106.31"/>
    <n v="7"/>
    <n v="1401.75"/>
    <n v="744.17000000000007"/>
    <n v="657.57999999999993"/>
    <n v="0.46911360799001245"/>
    <x v="20"/>
    <n v="657.57999999999993"/>
  </r>
  <r>
    <d v="2022-07-25T00:00:00"/>
    <x v="2"/>
    <x v="0"/>
    <x v="3"/>
    <n v="1330.06"/>
    <n v="963.69"/>
    <n v="5"/>
    <n v="6650.2999999999993"/>
    <n v="4818.4500000000007"/>
    <n v="1831.8499999999985"/>
    <n v="0.27545373892907066"/>
    <x v="8"/>
    <n v="1831.8499999999985"/>
  </r>
  <r>
    <d v="2024-11-23T00:00:00"/>
    <x v="1"/>
    <x v="1"/>
    <x v="0"/>
    <n v="482.48"/>
    <n v="426.32"/>
    <n v="6"/>
    <n v="2894.88"/>
    <n v="2557.92"/>
    <n v="336.96000000000004"/>
    <n v="0.11639860719615322"/>
    <x v="2"/>
    <n v="336.96000000000004"/>
  </r>
  <r>
    <d v="2023-11-07T00:00:00"/>
    <x v="8"/>
    <x v="1"/>
    <x v="0"/>
    <n v="1561.99"/>
    <n v="1131.01"/>
    <n v="5"/>
    <n v="7809.95"/>
    <n v="5655.05"/>
    <n v="2154.8999999999996"/>
    <n v="0.27591725939346601"/>
    <x v="10"/>
    <n v="2154.8999999999996"/>
  </r>
  <r>
    <d v="2024-11-06T00:00:00"/>
    <x v="0"/>
    <x v="0"/>
    <x v="2"/>
    <n v="1859.7"/>
    <n v="1121.8900000000001"/>
    <n v="9"/>
    <n v="16737.3"/>
    <n v="10097.01"/>
    <n v="6640.2899999999991"/>
    <n v="0.39673603269344515"/>
    <x v="2"/>
    <n v="6640.2899999999991"/>
  </r>
  <r>
    <d v="2023-09-23T00:00:00"/>
    <x v="4"/>
    <x v="2"/>
    <x v="3"/>
    <n v="1635.62"/>
    <n v="1421.44"/>
    <n v="1"/>
    <n v="1635.62"/>
    <n v="1421.44"/>
    <n v="214.17999999999984"/>
    <n v="0.13094728604443565"/>
    <x v="24"/>
    <n v="214.17999999999984"/>
  </r>
  <r>
    <d v="2024-08-20T00:00:00"/>
    <x v="9"/>
    <x v="3"/>
    <x v="3"/>
    <n v="1734.94"/>
    <n v="871.98"/>
    <n v="10"/>
    <n v="17349.400000000001"/>
    <n v="8719.7999999999993"/>
    <n v="8629.6000000000022"/>
    <n v="0.49740048647215473"/>
    <x v="21"/>
    <n v="8629.6000000000022"/>
  </r>
  <r>
    <d v="2023-09-11T00:00:00"/>
    <x v="4"/>
    <x v="2"/>
    <x v="1"/>
    <n v="214.14"/>
    <n v="179.63"/>
    <n v="2"/>
    <n v="428.28"/>
    <n v="359.26"/>
    <n v="69.019999999999982"/>
    <n v="0.16115625291865132"/>
    <x v="24"/>
    <n v="69.019999999999982"/>
  </r>
  <r>
    <d v="2024-05-11T00:00:00"/>
    <x v="6"/>
    <x v="3"/>
    <x v="1"/>
    <n v="219.1"/>
    <n v="182.3"/>
    <n v="1"/>
    <n v="219.1"/>
    <n v="182.3"/>
    <n v="36.799999999999983"/>
    <n v="0.167959835691465"/>
    <x v="3"/>
    <n v="36.799999999999983"/>
  </r>
  <r>
    <d v="2022-10-08T00:00:00"/>
    <x v="5"/>
    <x v="3"/>
    <x v="2"/>
    <n v="860.16"/>
    <n v="702.62"/>
    <n v="7"/>
    <n v="6021.12"/>
    <n v="4918.34"/>
    <n v="1102.7799999999997"/>
    <n v="0.18315197172619044"/>
    <x v="25"/>
    <n v="1102.7799999999997"/>
  </r>
  <r>
    <d v="2024-01-10T00:00:00"/>
    <x v="4"/>
    <x v="2"/>
    <x v="3"/>
    <n v="1449.06"/>
    <n v="1037.03"/>
    <n v="7"/>
    <n v="10143.42"/>
    <n v="7259.21"/>
    <n v="2884.21"/>
    <n v="0.28434295336286974"/>
    <x v="26"/>
    <n v="2884.21"/>
  </r>
  <r>
    <d v="2023-07-23T00:00:00"/>
    <x v="6"/>
    <x v="3"/>
    <x v="1"/>
    <n v="1641.75"/>
    <n v="1381.9"/>
    <n v="8"/>
    <n v="13134"/>
    <n v="11055.2"/>
    <n v="2078.7999999999993"/>
    <n v="0.15827622963301349"/>
    <x v="11"/>
    <n v="2078.7999999999993"/>
  </r>
  <r>
    <d v="2024-08-16T00:00:00"/>
    <x v="6"/>
    <x v="3"/>
    <x v="3"/>
    <n v="390.77"/>
    <n v="234.8"/>
    <n v="5"/>
    <n v="1953.85"/>
    <n v="1174"/>
    <n v="779.84999999999991"/>
    <n v="0.39913504107275377"/>
    <x v="21"/>
    <n v="779.84999999999991"/>
  </r>
  <r>
    <d v="2023-04-02T00:00:00"/>
    <x v="4"/>
    <x v="2"/>
    <x v="2"/>
    <n v="1810.22"/>
    <n v="1513.13"/>
    <n v="5"/>
    <n v="9051.1"/>
    <n v="7565.6500000000005"/>
    <n v="1485.4499999999998"/>
    <n v="0.16411817348167623"/>
    <x v="6"/>
    <n v="1485.4499999999998"/>
  </r>
  <r>
    <d v="2024-07-03T00:00:00"/>
    <x v="3"/>
    <x v="2"/>
    <x v="2"/>
    <n v="742.68"/>
    <n v="588.86"/>
    <n v="5"/>
    <n v="3713.3999999999996"/>
    <n v="2944.3"/>
    <n v="769.09999999999945"/>
    <n v="0.20711477352291688"/>
    <x v="28"/>
    <n v="769.09999999999945"/>
  </r>
  <r>
    <d v="2022-05-12T00:00:00"/>
    <x v="2"/>
    <x v="0"/>
    <x v="1"/>
    <n v="956"/>
    <n v="721.45"/>
    <n v="9"/>
    <n v="8604"/>
    <n v="6493.05"/>
    <n v="2110.9499999999998"/>
    <n v="0.24534518828451882"/>
    <x v="35"/>
    <n v="2110.9499999999998"/>
  </r>
  <r>
    <d v="2024-12-24T00:00:00"/>
    <x v="2"/>
    <x v="0"/>
    <x v="0"/>
    <n v="1965.35"/>
    <n v="1648.23"/>
    <n v="6"/>
    <n v="11792.099999999999"/>
    <n v="9889.380000000001"/>
    <n v="1902.7199999999975"/>
    <n v="0.16135548375607378"/>
    <x v="23"/>
    <n v="1902.7199999999975"/>
  </r>
  <r>
    <d v="2024-12-11T00:00:00"/>
    <x v="7"/>
    <x v="0"/>
    <x v="2"/>
    <n v="715.94"/>
    <n v="589.49"/>
    <n v="1"/>
    <n v="715.94"/>
    <n v="589.49"/>
    <n v="126.45000000000005"/>
    <n v="0.1766209458893204"/>
    <x v="23"/>
    <n v="126.45000000000005"/>
  </r>
  <r>
    <d v="2022-10-06T00:00:00"/>
    <x v="2"/>
    <x v="0"/>
    <x v="2"/>
    <n v="938.08"/>
    <n v="492.63"/>
    <n v="6"/>
    <n v="5628.4800000000005"/>
    <n v="2955.7799999999997"/>
    <n v="2672.7000000000007"/>
    <n v="0.47485289101142769"/>
    <x v="25"/>
    <n v="2672.7000000000007"/>
  </r>
  <r>
    <d v="2023-06-16T00:00:00"/>
    <x v="2"/>
    <x v="0"/>
    <x v="2"/>
    <n v="129.08000000000001"/>
    <n v="96.59"/>
    <n v="4"/>
    <n v="516.32000000000005"/>
    <n v="386.36"/>
    <n v="129.96000000000004"/>
    <n v="0.25170436938332824"/>
    <x v="0"/>
    <n v="129.96000000000004"/>
  </r>
  <r>
    <d v="2024-08-21T00:00:00"/>
    <x v="7"/>
    <x v="0"/>
    <x v="0"/>
    <n v="681.37"/>
    <n v="548.79999999999995"/>
    <n v="3"/>
    <n v="2044.1100000000001"/>
    <n v="1646.3999999999999"/>
    <n v="397.71000000000026"/>
    <n v="0.19456389333255072"/>
    <x v="21"/>
    <n v="397.71000000000026"/>
  </r>
  <r>
    <d v="2022-05-07T00:00:00"/>
    <x v="0"/>
    <x v="0"/>
    <x v="2"/>
    <n v="1801.09"/>
    <n v="1049.99"/>
    <n v="1"/>
    <n v="1801.09"/>
    <n v="1049.99"/>
    <n v="751.09999999999991"/>
    <n v="0.41702524582336248"/>
    <x v="35"/>
    <n v="751.09999999999991"/>
  </r>
  <r>
    <d v="2024-01-26T00:00:00"/>
    <x v="10"/>
    <x v="2"/>
    <x v="1"/>
    <n v="85.52"/>
    <n v="63.24"/>
    <n v="4"/>
    <n v="342.08"/>
    <n v="252.96"/>
    <n v="89.119999999999976"/>
    <n v="0.26052385406922351"/>
    <x v="26"/>
    <n v="89.119999999999976"/>
  </r>
  <r>
    <d v="2024-06-16T00:00:00"/>
    <x v="3"/>
    <x v="2"/>
    <x v="2"/>
    <n v="739.71"/>
    <n v="376.91"/>
    <n v="9"/>
    <n v="6657.39"/>
    <n v="3392.19"/>
    <n v="3265.2000000000003"/>
    <n v="0.49046247853888686"/>
    <x v="4"/>
    <n v="3265.2000000000003"/>
  </r>
  <r>
    <d v="2024-04-22T00:00:00"/>
    <x v="6"/>
    <x v="3"/>
    <x v="0"/>
    <n v="574.38"/>
    <n v="401.86"/>
    <n v="3"/>
    <n v="1723.1399999999999"/>
    <n v="1205.58"/>
    <n v="517.55999999999995"/>
    <n v="0.30035864758522229"/>
    <x v="22"/>
    <n v="517.55999999999995"/>
  </r>
  <r>
    <d v="2022-09-20T00:00:00"/>
    <x v="10"/>
    <x v="2"/>
    <x v="0"/>
    <n v="220.54"/>
    <n v="130.94999999999999"/>
    <n v="5"/>
    <n v="1102.7"/>
    <n v="654.75"/>
    <n v="447.95000000000005"/>
    <n v="0.40623016232882925"/>
    <x v="12"/>
    <n v="447.95000000000005"/>
  </r>
  <r>
    <d v="2024-09-13T00:00:00"/>
    <x v="3"/>
    <x v="2"/>
    <x v="2"/>
    <n v="760.85"/>
    <n v="385.04"/>
    <n v="5"/>
    <n v="3804.25"/>
    <n v="1925.2"/>
    <n v="1879.05"/>
    <n v="0.49393441545639744"/>
    <x v="16"/>
    <n v="1879.05"/>
  </r>
  <r>
    <d v="2023-05-16T00:00:00"/>
    <x v="9"/>
    <x v="3"/>
    <x v="0"/>
    <n v="1130.27"/>
    <n v="841.17"/>
    <n v="1"/>
    <n v="1130.27"/>
    <n v="841.17"/>
    <n v="289.10000000000002"/>
    <n v="0.25577959248675097"/>
    <x v="31"/>
    <n v="289.10000000000002"/>
  </r>
  <r>
    <d v="2023-01-26T00:00:00"/>
    <x v="8"/>
    <x v="1"/>
    <x v="0"/>
    <n v="715.45"/>
    <n v="503.65"/>
    <n v="1"/>
    <n v="715.45"/>
    <n v="503.65"/>
    <n v="211.80000000000007"/>
    <n v="0.29603745894192474"/>
    <x v="13"/>
    <n v="211.80000000000007"/>
  </r>
  <r>
    <d v="2024-06-07T00:00:00"/>
    <x v="0"/>
    <x v="0"/>
    <x v="1"/>
    <n v="1697.56"/>
    <n v="1489.32"/>
    <n v="7"/>
    <n v="11882.92"/>
    <n v="10425.24"/>
    <n v="1457.6800000000003"/>
    <n v="0.12267018544263533"/>
    <x v="4"/>
    <n v="1457.6800000000003"/>
  </r>
  <r>
    <d v="2022-05-23T00:00:00"/>
    <x v="2"/>
    <x v="0"/>
    <x v="2"/>
    <n v="20.77"/>
    <n v="12.36"/>
    <n v="8"/>
    <n v="166.16"/>
    <n v="98.88"/>
    <n v="67.28"/>
    <n v="0.40491092922484356"/>
    <x v="35"/>
    <n v="67.28"/>
  </r>
  <r>
    <d v="2024-06-16T00:00:00"/>
    <x v="7"/>
    <x v="0"/>
    <x v="3"/>
    <n v="595.87"/>
    <n v="460.96"/>
    <n v="5"/>
    <n v="2979.35"/>
    <n v="2304.7999999999997"/>
    <n v="674.55000000000018"/>
    <n v="0.22640844479500569"/>
    <x v="4"/>
    <n v="674.55000000000018"/>
  </r>
  <r>
    <d v="2023-10-14T00:00:00"/>
    <x v="0"/>
    <x v="0"/>
    <x v="3"/>
    <n v="610.69000000000005"/>
    <n v="399.76"/>
    <n v="1"/>
    <n v="610.69000000000005"/>
    <n v="399.76"/>
    <n v="210.93000000000006"/>
    <n v="0.34539619119356801"/>
    <x v="5"/>
    <n v="210.93000000000006"/>
  </r>
  <r>
    <d v="2022-08-20T00:00:00"/>
    <x v="6"/>
    <x v="3"/>
    <x v="0"/>
    <n v="1695.87"/>
    <n v="1460.02"/>
    <n v="10"/>
    <n v="16958.699999999997"/>
    <n v="14600.2"/>
    <n v="2358.4999999999964"/>
    <n v="0.13907316008892173"/>
    <x v="15"/>
    <n v="2358.4999999999964"/>
  </r>
  <r>
    <d v="2024-01-13T00:00:00"/>
    <x v="8"/>
    <x v="1"/>
    <x v="2"/>
    <n v="1505.56"/>
    <n v="1230.24"/>
    <n v="7"/>
    <n v="10538.92"/>
    <n v="8611.68"/>
    <n v="1927.2399999999998"/>
    <n v="0.18286883285953398"/>
    <x v="26"/>
    <n v="1927.2399999999998"/>
  </r>
  <r>
    <d v="2023-06-24T00:00:00"/>
    <x v="6"/>
    <x v="3"/>
    <x v="2"/>
    <n v="1301.1400000000001"/>
    <n v="719.12"/>
    <n v="4"/>
    <n v="5204.5600000000004"/>
    <n v="2876.48"/>
    <n v="2328.0800000000004"/>
    <n v="0.44731543108351141"/>
    <x v="0"/>
    <n v="2328.0800000000004"/>
  </r>
  <r>
    <d v="2022-09-11T00:00:00"/>
    <x v="10"/>
    <x v="2"/>
    <x v="2"/>
    <n v="223.34"/>
    <n v="153.13"/>
    <n v="5"/>
    <n v="1116.7"/>
    <n v="765.65"/>
    <n v="351.05000000000007"/>
    <n v="0.31436375033581093"/>
    <x v="12"/>
    <n v="351.05000000000007"/>
  </r>
  <r>
    <d v="2024-11-28T00:00:00"/>
    <x v="6"/>
    <x v="3"/>
    <x v="2"/>
    <n v="334.53"/>
    <n v="281.25"/>
    <n v="4"/>
    <n v="1338.12"/>
    <n v="1125"/>
    <n v="213.11999999999989"/>
    <n v="0.15926822706483718"/>
    <x v="2"/>
    <n v="213.11999999999989"/>
  </r>
  <r>
    <d v="2024-02-02T00:00:00"/>
    <x v="9"/>
    <x v="3"/>
    <x v="3"/>
    <n v="37.56"/>
    <n v="21.71"/>
    <n v="8"/>
    <n v="300.48"/>
    <n v="173.68"/>
    <n v="126.80000000000001"/>
    <n v="0.42199148029818956"/>
    <x v="34"/>
    <n v="126.80000000000001"/>
  </r>
  <r>
    <d v="2023-08-27T00:00:00"/>
    <x v="5"/>
    <x v="3"/>
    <x v="3"/>
    <n v="967.48"/>
    <n v="845.74"/>
    <n v="2"/>
    <n v="1934.96"/>
    <n v="1691.48"/>
    <n v="243.48000000000002"/>
    <n v="0.12583205854384588"/>
    <x v="14"/>
    <n v="243.48000000000002"/>
  </r>
  <r>
    <d v="2024-10-07T00:00:00"/>
    <x v="8"/>
    <x v="1"/>
    <x v="2"/>
    <n v="1121.81"/>
    <n v="887.92"/>
    <n v="9"/>
    <n v="10096.289999999999"/>
    <n v="7991.28"/>
    <n v="2105.0099999999993"/>
    <n v="0.2084934168887779"/>
    <x v="17"/>
    <n v="2105.0099999999993"/>
  </r>
  <r>
    <d v="2023-12-31T00:00:00"/>
    <x v="5"/>
    <x v="3"/>
    <x v="1"/>
    <n v="396.64"/>
    <n v="247.03"/>
    <n v="6"/>
    <n v="2379.84"/>
    <n v="1482.18"/>
    <n v="897.66000000000008"/>
    <n v="0.37719342476805162"/>
    <x v="30"/>
    <n v="897.66000000000008"/>
  </r>
  <r>
    <d v="2022-10-24T00:00:00"/>
    <x v="5"/>
    <x v="3"/>
    <x v="1"/>
    <n v="1377.44"/>
    <n v="1229.98"/>
    <n v="1"/>
    <n v="1377.44"/>
    <n v="1229.98"/>
    <n v="147.46000000000004"/>
    <n v="0.10705366476942736"/>
    <x v="25"/>
    <n v="147.46000000000004"/>
  </r>
  <r>
    <d v="2024-12-19T00:00:00"/>
    <x v="10"/>
    <x v="2"/>
    <x v="0"/>
    <n v="1695.79"/>
    <n v="1316.3"/>
    <n v="3"/>
    <n v="5087.37"/>
    <n v="3948.8999999999996"/>
    <n v="1138.4700000000003"/>
    <n v="0.22378360528131436"/>
    <x v="23"/>
    <n v="1138.4700000000003"/>
  </r>
  <r>
    <d v="2022-12-27T00:00:00"/>
    <x v="8"/>
    <x v="1"/>
    <x v="1"/>
    <n v="175.23"/>
    <n v="106.14"/>
    <n v="2"/>
    <n v="350.46"/>
    <n v="212.28"/>
    <n v="138.17999999999998"/>
    <n v="0.39428180106146204"/>
    <x v="33"/>
    <n v="138.17999999999998"/>
  </r>
  <r>
    <d v="2023-08-09T00:00:00"/>
    <x v="3"/>
    <x v="2"/>
    <x v="2"/>
    <n v="1774"/>
    <n v="1441.85"/>
    <n v="8"/>
    <n v="14192"/>
    <n v="11534.8"/>
    <n v="2657.2000000000007"/>
    <n v="0.18723224351747469"/>
    <x v="14"/>
    <n v="2657.2000000000007"/>
  </r>
  <r>
    <d v="2023-10-07T00:00:00"/>
    <x v="7"/>
    <x v="0"/>
    <x v="2"/>
    <n v="158.86000000000001"/>
    <n v="92.5"/>
    <n v="3"/>
    <n v="476.58000000000004"/>
    <n v="277.5"/>
    <n v="199.08000000000004"/>
    <n v="0.41772629988669274"/>
    <x v="5"/>
    <n v="199.08000000000004"/>
  </r>
  <r>
    <d v="2023-10-14T00:00:00"/>
    <x v="4"/>
    <x v="2"/>
    <x v="2"/>
    <n v="1811"/>
    <n v="1479.12"/>
    <n v="5"/>
    <n v="9055"/>
    <n v="7395.5999999999995"/>
    <n v="1659.4000000000005"/>
    <n v="0.1832578685808946"/>
    <x v="5"/>
    <n v="1659.4000000000005"/>
  </r>
  <r>
    <d v="2024-11-23T00:00:00"/>
    <x v="1"/>
    <x v="1"/>
    <x v="0"/>
    <n v="1348.84"/>
    <n v="873.74"/>
    <n v="3"/>
    <n v="4046.5199999999995"/>
    <n v="2621.2200000000003"/>
    <n v="1425.2999999999993"/>
    <n v="0.35222858159603793"/>
    <x v="2"/>
    <n v="1425.2999999999993"/>
  </r>
  <r>
    <d v="2022-01-27T00:00:00"/>
    <x v="6"/>
    <x v="3"/>
    <x v="2"/>
    <n v="1772.66"/>
    <n v="1327.73"/>
    <n v="10"/>
    <n v="17726.600000000002"/>
    <n v="13277.3"/>
    <n v="4449.3000000000029"/>
    <n v="0.25099567881037549"/>
    <x v="9"/>
    <n v="4449.3000000000029"/>
  </r>
  <r>
    <d v="2023-07-13T00:00:00"/>
    <x v="7"/>
    <x v="0"/>
    <x v="0"/>
    <n v="197.59"/>
    <n v="116.64"/>
    <n v="8"/>
    <n v="1580.72"/>
    <n v="933.12"/>
    <n v="647.6"/>
    <n v="0.40968672503669212"/>
    <x v="11"/>
    <n v="647.6"/>
  </r>
  <r>
    <d v="2023-07-16T00:00:00"/>
    <x v="4"/>
    <x v="2"/>
    <x v="0"/>
    <n v="507.51"/>
    <n v="456"/>
    <n v="8"/>
    <n v="4060.08"/>
    <n v="3648"/>
    <n v="412.07999999999993"/>
    <n v="0.10149553703375301"/>
    <x v="11"/>
    <n v="412.07999999999993"/>
  </r>
  <r>
    <d v="2022-07-16T00:00:00"/>
    <x v="4"/>
    <x v="2"/>
    <x v="3"/>
    <n v="1405.89"/>
    <n v="1253.01"/>
    <n v="4"/>
    <n v="5623.56"/>
    <n v="5012.04"/>
    <n v="611.52000000000044"/>
    <n v="0.10874250474788219"/>
    <x v="8"/>
    <n v="611.52000000000044"/>
  </r>
  <r>
    <d v="2024-12-15T00:00:00"/>
    <x v="10"/>
    <x v="2"/>
    <x v="0"/>
    <n v="1110.55"/>
    <n v="904.08"/>
    <n v="2"/>
    <n v="2221.1"/>
    <n v="1808.16"/>
    <n v="412.93999999999983"/>
    <n v="0.1859168880284543"/>
    <x v="23"/>
    <n v="412.93999999999983"/>
  </r>
  <r>
    <d v="2022-10-25T00:00:00"/>
    <x v="0"/>
    <x v="0"/>
    <x v="1"/>
    <n v="626.87"/>
    <n v="385.21"/>
    <n v="7"/>
    <n v="4388.09"/>
    <n v="2696.47"/>
    <n v="1691.6200000000003"/>
    <n v="0.38550257629173518"/>
    <x v="25"/>
    <n v="1691.6200000000003"/>
  </r>
  <r>
    <d v="2024-05-12T00:00:00"/>
    <x v="4"/>
    <x v="2"/>
    <x v="2"/>
    <n v="1939.06"/>
    <n v="1392.65"/>
    <n v="5"/>
    <n v="9695.2999999999993"/>
    <n v="6963.25"/>
    <n v="2732.0499999999993"/>
    <n v="0.28179117716831864"/>
    <x v="3"/>
    <n v="2732.0499999999993"/>
  </r>
  <r>
    <d v="2023-04-16T00:00:00"/>
    <x v="2"/>
    <x v="0"/>
    <x v="3"/>
    <n v="1092.54"/>
    <n v="640.03"/>
    <n v="8"/>
    <n v="8740.32"/>
    <n v="5120.24"/>
    <n v="3620.08"/>
    <n v="0.41418163179380163"/>
    <x v="6"/>
    <n v="3620.08"/>
  </r>
  <r>
    <d v="2024-01-30T00:00:00"/>
    <x v="1"/>
    <x v="1"/>
    <x v="0"/>
    <n v="1024.53"/>
    <n v="774.73"/>
    <n v="8"/>
    <n v="8196.24"/>
    <n v="6197.84"/>
    <n v="1998.3999999999996"/>
    <n v="0.24381911705855364"/>
    <x v="26"/>
    <n v="1998.3999999999996"/>
  </r>
  <r>
    <d v="2024-10-20T00:00:00"/>
    <x v="1"/>
    <x v="1"/>
    <x v="2"/>
    <n v="1889.31"/>
    <n v="1234.0999999999999"/>
    <n v="5"/>
    <n v="9446.5499999999993"/>
    <n v="6170.5"/>
    <n v="3276.0499999999993"/>
    <n v="0.34679856667248887"/>
    <x v="17"/>
    <n v="3276.0499999999993"/>
  </r>
  <r>
    <d v="2022-09-27T00:00:00"/>
    <x v="2"/>
    <x v="0"/>
    <x v="0"/>
    <n v="205.01"/>
    <n v="124.11"/>
    <n v="8"/>
    <n v="1640.08"/>
    <n v="992.88"/>
    <n v="647.19999999999993"/>
    <n v="0.39461489683430073"/>
    <x v="12"/>
    <n v="647.19999999999993"/>
  </r>
  <r>
    <d v="2024-01-12T00:00:00"/>
    <x v="5"/>
    <x v="3"/>
    <x v="2"/>
    <n v="283.47000000000003"/>
    <n v="216.35"/>
    <n v="8"/>
    <n v="2267.7600000000002"/>
    <n v="1730.8"/>
    <n v="536.96000000000026"/>
    <n v="0.23677990616290975"/>
    <x v="26"/>
    <n v="536.96000000000026"/>
  </r>
  <r>
    <d v="2023-10-05T00:00:00"/>
    <x v="1"/>
    <x v="1"/>
    <x v="0"/>
    <n v="1200.6099999999999"/>
    <n v="653.27"/>
    <n v="8"/>
    <n v="9604.8799999999992"/>
    <n v="5226.16"/>
    <n v="4378.7199999999993"/>
    <n v="0.45588492516304208"/>
    <x v="5"/>
    <n v="4378.7199999999993"/>
  </r>
  <r>
    <d v="2022-08-08T00:00:00"/>
    <x v="5"/>
    <x v="3"/>
    <x v="1"/>
    <n v="434.24"/>
    <n v="345.91"/>
    <n v="1"/>
    <n v="434.24"/>
    <n v="345.91"/>
    <n v="88.329999999999984"/>
    <n v="0.20341285924834188"/>
    <x v="15"/>
    <n v="88.329999999999984"/>
  </r>
  <r>
    <d v="2024-03-17T00:00:00"/>
    <x v="8"/>
    <x v="1"/>
    <x v="3"/>
    <n v="242.72"/>
    <n v="155.30000000000001"/>
    <n v="3"/>
    <n v="728.16"/>
    <n v="465.90000000000003"/>
    <n v="262.25999999999993"/>
    <n v="0.36016809492419238"/>
    <x v="29"/>
    <n v="262.25999999999993"/>
  </r>
  <r>
    <d v="2024-07-22T00:00:00"/>
    <x v="0"/>
    <x v="0"/>
    <x v="3"/>
    <n v="1738.03"/>
    <n v="1127.77"/>
    <n v="4"/>
    <n v="6952.12"/>
    <n v="4511.08"/>
    <n v="2441.04"/>
    <n v="0.35112167223810864"/>
    <x v="28"/>
    <n v="2441.04"/>
  </r>
  <r>
    <d v="2024-09-02T00:00:00"/>
    <x v="6"/>
    <x v="3"/>
    <x v="2"/>
    <n v="317.18"/>
    <n v="205.79"/>
    <n v="3"/>
    <n v="951.54"/>
    <n v="617.37"/>
    <n v="334.16999999999996"/>
    <n v="0.35118859953338794"/>
    <x v="16"/>
    <n v="334.16999999999996"/>
  </r>
  <r>
    <d v="2023-06-13T00:00:00"/>
    <x v="3"/>
    <x v="2"/>
    <x v="3"/>
    <n v="1348.51"/>
    <n v="741.24"/>
    <n v="5"/>
    <n v="6742.55"/>
    <n v="3706.2"/>
    <n v="3036.3500000000004"/>
    <n v="0.45032665682864798"/>
    <x v="0"/>
    <n v="3036.3500000000004"/>
  </r>
  <r>
    <d v="2022-02-23T00:00:00"/>
    <x v="4"/>
    <x v="2"/>
    <x v="3"/>
    <n v="1037.48"/>
    <n v="609.1"/>
    <n v="4"/>
    <n v="4149.92"/>
    <n v="2436.4"/>
    <n v="1713.52"/>
    <n v="0.41290434514400276"/>
    <x v="20"/>
    <n v="1713.52"/>
  </r>
  <r>
    <d v="2024-06-23T00:00:00"/>
    <x v="4"/>
    <x v="2"/>
    <x v="0"/>
    <n v="858.29"/>
    <n v="451.07"/>
    <n v="1"/>
    <n v="858.29"/>
    <n v="451.07"/>
    <n v="407.21999999999997"/>
    <n v="0.47445502103018794"/>
    <x v="4"/>
    <n v="407.21999999999997"/>
  </r>
  <r>
    <d v="2023-07-12T00:00:00"/>
    <x v="9"/>
    <x v="3"/>
    <x v="2"/>
    <n v="1759.27"/>
    <n v="1029.58"/>
    <n v="5"/>
    <n v="8796.35"/>
    <n v="5147.8999999999996"/>
    <n v="3648.4500000000007"/>
    <n v="0.41476862562312783"/>
    <x v="11"/>
    <n v="3648.4500000000007"/>
  </r>
  <r>
    <d v="2024-05-29T00:00:00"/>
    <x v="0"/>
    <x v="0"/>
    <x v="2"/>
    <n v="1066.71"/>
    <n v="744.26"/>
    <n v="1"/>
    <n v="1066.71"/>
    <n v="744.26"/>
    <n v="322.45000000000005"/>
    <n v="0.30228459468834079"/>
    <x v="3"/>
    <n v="322.45000000000005"/>
  </r>
  <r>
    <d v="2022-08-28T00:00:00"/>
    <x v="9"/>
    <x v="3"/>
    <x v="2"/>
    <n v="268.95"/>
    <n v="144.58000000000001"/>
    <n v="5"/>
    <n v="1344.75"/>
    <n v="722.90000000000009"/>
    <n v="621.84999999999991"/>
    <n v="0.46242796058746971"/>
    <x v="15"/>
    <n v="621.84999999999991"/>
  </r>
  <r>
    <d v="2023-09-11T00:00:00"/>
    <x v="3"/>
    <x v="2"/>
    <x v="3"/>
    <n v="1012.18"/>
    <n v="577.04999999999995"/>
    <n v="1"/>
    <n v="1012.18"/>
    <n v="577.04999999999995"/>
    <n v="435.13"/>
    <n v="0.42989389239068154"/>
    <x v="24"/>
    <n v="435.13"/>
  </r>
  <r>
    <d v="2024-04-03T00:00:00"/>
    <x v="8"/>
    <x v="1"/>
    <x v="3"/>
    <n v="1728.11"/>
    <n v="1182.44"/>
    <n v="6"/>
    <n v="10368.66"/>
    <n v="7094.64"/>
    <n v="3274.0199999999995"/>
    <n v="0.31576114946386513"/>
    <x v="22"/>
    <n v="3274.0199999999995"/>
  </r>
  <r>
    <d v="2024-02-01T00:00:00"/>
    <x v="4"/>
    <x v="2"/>
    <x v="1"/>
    <n v="777.04"/>
    <n v="489.5"/>
    <n v="9"/>
    <n v="6993.36"/>
    <n v="4405.5"/>
    <n v="2587.8599999999997"/>
    <n v="0.37004530011325026"/>
    <x v="34"/>
    <n v="2587.8599999999997"/>
  </r>
  <r>
    <d v="2024-06-04T00:00:00"/>
    <x v="7"/>
    <x v="0"/>
    <x v="1"/>
    <n v="700.51"/>
    <n v="400.32"/>
    <n v="6"/>
    <n v="4203.0599999999995"/>
    <n v="2401.92"/>
    <n v="1801.1399999999994"/>
    <n v="0.42853064196085699"/>
    <x v="4"/>
    <n v="1801.1399999999994"/>
  </r>
  <r>
    <d v="2022-03-17T00:00:00"/>
    <x v="10"/>
    <x v="2"/>
    <x v="3"/>
    <n v="1587.58"/>
    <n v="1040.03"/>
    <n v="6"/>
    <n v="9525.48"/>
    <n v="6240.18"/>
    <n v="3285.2999999999993"/>
    <n v="0.3448960052406807"/>
    <x v="7"/>
    <n v="3285.2999999999993"/>
  </r>
  <r>
    <d v="2023-03-27T00:00:00"/>
    <x v="0"/>
    <x v="0"/>
    <x v="0"/>
    <n v="767.44"/>
    <n v="681.08"/>
    <n v="4"/>
    <n v="3069.76"/>
    <n v="2724.32"/>
    <n v="345.44000000000005"/>
    <n v="0.11252996976962369"/>
    <x v="19"/>
    <n v="345.44000000000005"/>
  </r>
  <r>
    <d v="2024-12-29T00:00:00"/>
    <x v="4"/>
    <x v="2"/>
    <x v="1"/>
    <n v="739"/>
    <n v="591.79"/>
    <n v="2"/>
    <n v="1478"/>
    <n v="1183.58"/>
    <n v="294.42000000000007"/>
    <n v="0.19920162381596757"/>
    <x v="23"/>
    <n v="294.42000000000007"/>
  </r>
  <r>
    <d v="2022-10-11T00:00:00"/>
    <x v="1"/>
    <x v="1"/>
    <x v="3"/>
    <n v="528.92999999999995"/>
    <n v="328.09"/>
    <n v="9"/>
    <n v="4760.37"/>
    <n v="2952.81"/>
    <n v="1807.56"/>
    <n v="0.37970998052672378"/>
    <x v="25"/>
    <n v="1807.56"/>
  </r>
  <r>
    <d v="2024-05-04T00:00:00"/>
    <x v="6"/>
    <x v="3"/>
    <x v="3"/>
    <n v="548.57000000000005"/>
    <n v="451.73"/>
    <n v="9"/>
    <n v="4937.13"/>
    <n v="4065.57"/>
    <n v="871.56"/>
    <n v="0.17653170971799403"/>
    <x v="3"/>
    <n v="871.56"/>
  </r>
  <r>
    <d v="2023-09-18T00:00:00"/>
    <x v="10"/>
    <x v="2"/>
    <x v="1"/>
    <n v="1681.93"/>
    <n v="1234.75"/>
    <n v="2"/>
    <n v="3363.86"/>
    <n v="2469.5"/>
    <n v="894.36000000000013"/>
    <n v="0.26587313384029065"/>
    <x v="24"/>
    <n v="894.36000000000013"/>
  </r>
  <r>
    <d v="2023-01-07T00:00:00"/>
    <x v="5"/>
    <x v="3"/>
    <x v="1"/>
    <n v="607.64"/>
    <n v="307.88"/>
    <n v="3"/>
    <n v="1822.92"/>
    <n v="923.64"/>
    <n v="899.28000000000009"/>
    <n v="0.49331841221776057"/>
    <x v="13"/>
    <n v="899.28000000000009"/>
  </r>
  <r>
    <d v="2024-08-19T00:00:00"/>
    <x v="9"/>
    <x v="3"/>
    <x v="3"/>
    <n v="1271.6600000000001"/>
    <n v="979.22"/>
    <n v="3"/>
    <n v="3814.9800000000005"/>
    <n v="2937.66"/>
    <n v="877.32000000000062"/>
    <n v="0.22996712957866108"/>
    <x v="21"/>
    <n v="877.32000000000062"/>
  </r>
  <r>
    <d v="2024-04-02T00:00:00"/>
    <x v="10"/>
    <x v="2"/>
    <x v="3"/>
    <n v="443.96"/>
    <n v="302.62"/>
    <n v="1"/>
    <n v="443.96"/>
    <n v="302.62"/>
    <n v="141.33999999999997"/>
    <n v="0.31836201459590951"/>
    <x v="22"/>
    <n v="141.33999999999997"/>
  </r>
  <r>
    <d v="2022-06-01T00:00:00"/>
    <x v="5"/>
    <x v="3"/>
    <x v="2"/>
    <n v="1316.58"/>
    <n v="920.59"/>
    <n v="1"/>
    <n v="1316.58"/>
    <n v="920.59"/>
    <n v="395.9899999999999"/>
    <n v="0.30077169636482393"/>
    <x v="18"/>
    <n v="395.9899999999999"/>
  </r>
  <r>
    <d v="2022-12-17T00:00:00"/>
    <x v="3"/>
    <x v="2"/>
    <x v="2"/>
    <n v="999.38"/>
    <n v="673.38"/>
    <n v="2"/>
    <n v="1998.76"/>
    <n v="1346.76"/>
    <n v="652"/>
    <n v="0.32620224539214315"/>
    <x v="33"/>
    <n v="652"/>
  </r>
  <r>
    <d v="2022-07-22T00:00:00"/>
    <x v="5"/>
    <x v="3"/>
    <x v="1"/>
    <n v="1817.59"/>
    <n v="1069.08"/>
    <n v="9"/>
    <n v="16358.31"/>
    <n v="9621.7199999999993"/>
    <n v="6736.59"/>
    <n v="0.41181454563460407"/>
    <x v="8"/>
    <n v="6736.59"/>
  </r>
  <r>
    <d v="2022-12-06T00:00:00"/>
    <x v="5"/>
    <x v="3"/>
    <x v="1"/>
    <n v="966.08"/>
    <n v="591.65"/>
    <n v="9"/>
    <n v="8694.7200000000012"/>
    <n v="5324.8499999999995"/>
    <n v="3369.8700000000017"/>
    <n v="0.38757659821132839"/>
    <x v="33"/>
    <n v="3369.8700000000017"/>
  </r>
  <r>
    <d v="2023-09-28T00:00:00"/>
    <x v="4"/>
    <x v="2"/>
    <x v="1"/>
    <n v="536.4"/>
    <n v="300.35000000000002"/>
    <n v="10"/>
    <n v="5364"/>
    <n v="3003.5"/>
    <n v="2360.5"/>
    <n v="0.44006338553318419"/>
    <x v="24"/>
    <n v="2360.5"/>
  </r>
  <r>
    <d v="2022-10-21T00:00:00"/>
    <x v="2"/>
    <x v="0"/>
    <x v="2"/>
    <n v="1932.17"/>
    <n v="1261.76"/>
    <n v="7"/>
    <n v="13525.19"/>
    <n v="8832.32"/>
    <n v="4692.8700000000008"/>
    <n v="0.34697257487695188"/>
    <x v="25"/>
    <n v="4692.8700000000008"/>
  </r>
  <r>
    <d v="2024-10-10T00:00:00"/>
    <x v="2"/>
    <x v="0"/>
    <x v="1"/>
    <n v="1218.51"/>
    <n v="906.62"/>
    <n v="8"/>
    <n v="9748.08"/>
    <n v="7252.96"/>
    <n v="2495.12"/>
    <n v="0.25596014804966721"/>
    <x v="17"/>
    <n v="2495.12"/>
  </r>
  <r>
    <d v="2024-06-21T00:00:00"/>
    <x v="3"/>
    <x v="2"/>
    <x v="0"/>
    <n v="1729.54"/>
    <n v="1526.38"/>
    <n v="9"/>
    <n v="15565.86"/>
    <n v="13737.420000000002"/>
    <n v="1828.4399999999987"/>
    <n v="0.11746475941579833"/>
    <x v="4"/>
    <n v="1828.4399999999987"/>
  </r>
  <r>
    <d v="2022-03-01T00:00:00"/>
    <x v="0"/>
    <x v="0"/>
    <x v="1"/>
    <n v="648.55999999999995"/>
    <n v="471.47"/>
    <n v="4"/>
    <n v="2594.2399999999998"/>
    <n v="1885.88"/>
    <n v="708.35999999999967"/>
    <n v="0.27305106697915371"/>
    <x v="7"/>
    <n v="708.35999999999967"/>
  </r>
  <r>
    <d v="2022-10-28T00:00:00"/>
    <x v="0"/>
    <x v="0"/>
    <x v="2"/>
    <n v="1262.32"/>
    <n v="1031.57"/>
    <n v="1"/>
    <n v="1262.32"/>
    <n v="1031.57"/>
    <n v="230.75"/>
    <n v="0.18279833956524497"/>
    <x v="25"/>
    <n v="230.75"/>
  </r>
  <r>
    <d v="2022-12-26T00:00:00"/>
    <x v="1"/>
    <x v="1"/>
    <x v="3"/>
    <n v="250.53"/>
    <n v="185.4"/>
    <n v="2"/>
    <n v="501.06"/>
    <n v="370.8"/>
    <n v="130.26"/>
    <n v="0.25996886600407138"/>
    <x v="33"/>
    <n v="130.26"/>
  </r>
  <r>
    <d v="2024-04-24T00:00:00"/>
    <x v="7"/>
    <x v="0"/>
    <x v="0"/>
    <n v="1429.15"/>
    <n v="1066.29"/>
    <n v="4"/>
    <n v="5716.6"/>
    <n v="4265.16"/>
    <n v="1451.4400000000005"/>
    <n v="0.25389917083581159"/>
    <x v="22"/>
    <n v="1451.4400000000005"/>
  </r>
  <r>
    <d v="2022-06-12T00:00:00"/>
    <x v="0"/>
    <x v="0"/>
    <x v="0"/>
    <n v="108.36"/>
    <n v="68.5"/>
    <n v="7"/>
    <n v="758.52"/>
    <n v="479.5"/>
    <n v="279.02"/>
    <n v="0.36784791435954223"/>
    <x v="18"/>
    <n v="279.02"/>
  </r>
  <r>
    <d v="2023-08-23T00:00:00"/>
    <x v="0"/>
    <x v="0"/>
    <x v="1"/>
    <n v="367.92"/>
    <n v="280.77999999999997"/>
    <n v="1"/>
    <n v="367.92"/>
    <n v="280.77999999999997"/>
    <n v="87.140000000000043"/>
    <n v="0.2368449662970212"/>
    <x v="14"/>
    <n v="87.140000000000043"/>
  </r>
  <r>
    <d v="2023-09-07T00:00:00"/>
    <x v="1"/>
    <x v="1"/>
    <x v="0"/>
    <n v="977.19"/>
    <n v="553.46"/>
    <n v="3"/>
    <n v="2931.57"/>
    <n v="1660.38"/>
    <n v="1271.19"/>
    <n v="0.4336208925592771"/>
    <x v="24"/>
    <n v="1271.19"/>
  </r>
  <r>
    <d v="2023-07-04T00:00:00"/>
    <x v="3"/>
    <x v="2"/>
    <x v="2"/>
    <n v="1659.13"/>
    <n v="988.67"/>
    <n v="8"/>
    <n v="13273.04"/>
    <n v="7909.36"/>
    <n v="5363.6800000000012"/>
    <n v="0.40410335537299674"/>
    <x v="11"/>
    <n v="5363.6800000000012"/>
  </r>
  <r>
    <d v="2022-03-13T00:00:00"/>
    <x v="9"/>
    <x v="3"/>
    <x v="1"/>
    <n v="331.17"/>
    <n v="255.79"/>
    <n v="10"/>
    <n v="3311.7000000000003"/>
    <n v="2557.9"/>
    <n v="753.80000000000018"/>
    <n v="0.22761723586073621"/>
    <x v="7"/>
    <n v="753.80000000000018"/>
  </r>
  <r>
    <d v="2022-07-02T00:00:00"/>
    <x v="7"/>
    <x v="0"/>
    <x v="1"/>
    <n v="591.03"/>
    <n v="325.7"/>
    <n v="4"/>
    <n v="2364.12"/>
    <n v="1302.8"/>
    <n v="1061.32"/>
    <n v="0.44892814239547907"/>
    <x v="8"/>
    <n v="1061.32"/>
  </r>
  <r>
    <d v="2024-07-10T00:00:00"/>
    <x v="0"/>
    <x v="0"/>
    <x v="3"/>
    <n v="1127.4000000000001"/>
    <n v="607.27"/>
    <n v="9"/>
    <n v="10146.6"/>
    <n v="5465.43"/>
    <n v="4681.17"/>
    <n v="0.46135355685648394"/>
    <x v="28"/>
    <n v="4681.17"/>
  </r>
  <r>
    <d v="2023-03-28T00:00:00"/>
    <x v="3"/>
    <x v="2"/>
    <x v="1"/>
    <n v="1207.53"/>
    <n v="779.42"/>
    <n v="5"/>
    <n v="6037.65"/>
    <n v="3897.1"/>
    <n v="2140.5499999999997"/>
    <n v="0.35453363477511946"/>
    <x v="19"/>
    <n v="2140.5499999999997"/>
  </r>
  <r>
    <d v="2022-12-03T00:00:00"/>
    <x v="5"/>
    <x v="3"/>
    <x v="1"/>
    <n v="1837.07"/>
    <n v="1579.54"/>
    <n v="3"/>
    <n v="5511.21"/>
    <n v="4738.62"/>
    <n v="772.59000000000015"/>
    <n v="0.14018518619323164"/>
    <x v="33"/>
    <n v="772.59000000000015"/>
  </r>
  <r>
    <d v="2022-05-23T00:00:00"/>
    <x v="4"/>
    <x v="2"/>
    <x v="1"/>
    <n v="1957.74"/>
    <n v="1388.04"/>
    <n v="4"/>
    <n v="7830.96"/>
    <n v="5552.16"/>
    <n v="2278.8000000000002"/>
    <n v="0.29099880474424594"/>
    <x v="35"/>
    <n v="2278.8000000000002"/>
  </r>
  <r>
    <d v="2022-11-09T00:00:00"/>
    <x v="4"/>
    <x v="2"/>
    <x v="3"/>
    <n v="867.77"/>
    <n v="686.12"/>
    <n v="10"/>
    <n v="8677.7000000000007"/>
    <n v="6861.2"/>
    <n v="1816.5000000000009"/>
    <n v="0.2093296610853107"/>
    <x v="1"/>
    <n v="1816.5000000000009"/>
  </r>
  <r>
    <d v="2022-06-28T00:00:00"/>
    <x v="3"/>
    <x v="2"/>
    <x v="3"/>
    <n v="825.55"/>
    <n v="530.54"/>
    <n v="8"/>
    <n v="6604.4"/>
    <n v="4244.32"/>
    <n v="2360.08"/>
    <n v="0.35734964569075162"/>
    <x v="18"/>
    <n v="2360.08"/>
  </r>
  <r>
    <d v="2024-12-10T00:00:00"/>
    <x v="4"/>
    <x v="2"/>
    <x v="2"/>
    <n v="81.459999999999994"/>
    <n v="53.92"/>
    <n v="4"/>
    <n v="325.83999999999997"/>
    <n v="215.68"/>
    <n v="110.15999999999997"/>
    <n v="0.33808003928308367"/>
    <x v="23"/>
    <n v="110.15999999999997"/>
  </r>
  <r>
    <d v="2023-04-28T00:00:00"/>
    <x v="8"/>
    <x v="1"/>
    <x v="3"/>
    <n v="630.1"/>
    <n v="475.08"/>
    <n v="7"/>
    <n v="4410.7"/>
    <n v="3325.56"/>
    <n v="1085.1399999999999"/>
    <n v="0.24602444056498968"/>
    <x v="6"/>
    <n v="1085.1399999999999"/>
  </r>
  <r>
    <d v="2022-09-09T00:00:00"/>
    <x v="10"/>
    <x v="2"/>
    <x v="2"/>
    <n v="844.06"/>
    <n v="667.53"/>
    <n v="9"/>
    <n v="7596.5399999999991"/>
    <n v="6007.7699999999995"/>
    <n v="1588.7699999999995"/>
    <n v="0.20914389972276848"/>
    <x v="12"/>
    <n v="1588.7699999999995"/>
  </r>
  <r>
    <d v="2024-08-07T00:00:00"/>
    <x v="4"/>
    <x v="2"/>
    <x v="0"/>
    <n v="1483.82"/>
    <n v="771.55"/>
    <n v="3"/>
    <n v="4451.46"/>
    <n v="2314.6499999999996"/>
    <n v="2136.8100000000004"/>
    <n v="0.48002453127737876"/>
    <x v="21"/>
    <n v="2136.8100000000004"/>
  </r>
  <r>
    <d v="2024-09-13T00:00:00"/>
    <x v="3"/>
    <x v="2"/>
    <x v="3"/>
    <n v="1679.95"/>
    <n v="1403.01"/>
    <n v="5"/>
    <n v="8399.75"/>
    <n v="7015.05"/>
    <n v="1384.6999999999998"/>
    <n v="0.16485014434953418"/>
    <x v="16"/>
    <n v="1384.6999999999998"/>
  </r>
  <r>
    <d v="2022-12-16T00:00:00"/>
    <x v="6"/>
    <x v="3"/>
    <x v="0"/>
    <n v="227.15"/>
    <n v="175.43"/>
    <n v="7"/>
    <n v="1590.05"/>
    <n v="1228.01"/>
    <n v="362.03999999999996"/>
    <n v="0.2276909531146819"/>
    <x v="33"/>
    <n v="362.03999999999996"/>
  </r>
  <r>
    <d v="2024-06-27T00:00:00"/>
    <x v="3"/>
    <x v="2"/>
    <x v="3"/>
    <n v="1899.3"/>
    <n v="1480.03"/>
    <n v="6"/>
    <n v="11395.8"/>
    <n v="8880.18"/>
    <n v="2515.619999999999"/>
    <n v="0.22074974990786073"/>
    <x v="4"/>
    <n v="2515.619999999999"/>
  </r>
  <r>
    <d v="2024-12-08T00:00:00"/>
    <x v="6"/>
    <x v="3"/>
    <x v="2"/>
    <n v="1245.3399999999999"/>
    <n v="901.92"/>
    <n v="8"/>
    <n v="9962.7199999999993"/>
    <n v="7215.36"/>
    <n v="2747.3599999999997"/>
    <n v="0.27576404837233204"/>
    <x v="23"/>
    <n v="2747.3599999999997"/>
  </r>
  <r>
    <d v="2023-07-04T00:00:00"/>
    <x v="9"/>
    <x v="3"/>
    <x v="2"/>
    <n v="1743.48"/>
    <n v="1043.54"/>
    <n v="10"/>
    <n v="17434.8"/>
    <n v="10435.4"/>
    <n v="6999.4"/>
    <n v="0.40146144492623947"/>
    <x v="11"/>
    <n v="6999.4"/>
  </r>
  <r>
    <d v="2024-09-08T00:00:00"/>
    <x v="8"/>
    <x v="1"/>
    <x v="0"/>
    <n v="1419.91"/>
    <n v="1220.79"/>
    <n v="6"/>
    <n v="8519.4600000000009"/>
    <n v="7324.74"/>
    <n v="1194.7200000000012"/>
    <n v="0.14023424019832256"/>
    <x v="16"/>
    <n v="1194.7200000000012"/>
  </r>
  <r>
    <d v="2023-10-25T00:00:00"/>
    <x v="0"/>
    <x v="0"/>
    <x v="2"/>
    <n v="1453.39"/>
    <n v="912.28"/>
    <n v="8"/>
    <n v="11627.12"/>
    <n v="7298.24"/>
    <n v="4328.880000000001"/>
    <n v="0.37230887786485395"/>
    <x v="5"/>
    <n v="4328.880000000001"/>
  </r>
  <r>
    <d v="2024-09-28T00:00:00"/>
    <x v="9"/>
    <x v="3"/>
    <x v="0"/>
    <n v="964.62"/>
    <n v="512.19000000000005"/>
    <n v="4"/>
    <n v="3858.48"/>
    <n v="2048.7600000000002"/>
    <n v="1809.7199999999998"/>
    <n v="0.46902407165515947"/>
    <x v="16"/>
    <n v="1809.7199999999998"/>
  </r>
  <r>
    <d v="2023-07-10T00:00:00"/>
    <x v="2"/>
    <x v="0"/>
    <x v="0"/>
    <n v="953"/>
    <n v="731.67"/>
    <n v="7"/>
    <n v="6671"/>
    <n v="5121.6899999999996"/>
    <n v="1549.3100000000004"/>
    <n v="0.23224554039874087"/>
    <x v="11"/>
    <n v="1549.3100000000004"/>
  </r>
  <r>
    <d v="2022-11-17T00:00:00"/>
    <x v="6"/>
    <x v="3"/>
    <x v="2"/>
    <n v="913.14"/>
    <n v="771.16"/>
    <n v="7"/>
    <n v="6391.98"/>
    <n v="5398.12"/>
    <n v="993.85999999999967"/>
    <n v="0.15548546772674504"/>
    <x v="1"/>
    <n v="993.85999999999967"/>
  </r>
  <r>
    <d v="2022-05-31T00:00:00"/>
    <x v="4"/>
    <x v="2"/>
    <x v="2"/>
    <n v="432.07"/>
    <n v="265.01"/>
    <n v="9"/>
    <n v="3888.63"/>
    <n v="2385.09"/>
    <n v="1503.54"/>
    <n v="0.38665031129215172"/>
    <x v="35"/>
    <n v="1503.54"/>
  </r>
  <r>
    <d v="2023-07-07T00:00:00"/>
    <x v="5"/>
    <x v="3"/>
    <x v="3"/>
    <n v="952.28"/>
    <n v="711.45"/>
    <n v="1"/>
    <n v="952.28"/>
    <n v="711.45"/>
    <n v="240.82999999999993"/>
    <n v="0.25289830722056533"/>
    <x v="11"/>
    <n v="240.82999999999993"/>
  </r>
  <r>
    <d v="2024-10-21T00:00:00"/>
    <x v="10"/>
    <x v="2"/>
    <x v="1"/>
    <n v="1288.1199999999999"/>
    <n v="877.09"/>
    <n v="6"/>
    <n v="7728.7199999999993"/>
    <n v="5262.54"/>
    <n v="2466.1799999999994"/>
    <n v="0.3190929416513989"/>
    <x v="17"/>
    <n v="2466.1799999999994"/>
  </r>
  <r>
    <d v="2023-04-16T00:00:00"/>
    <x v="0"/>
    <x v="0"/>
    <x v="2"/>
    <n v="1491.56"/>
    <n v="1215.9100000000001"/>
    <n v="8"/>
    <n v="11932.48"/>
    <n v="9727.2800000000007"/>
    <n v="2205.1999999999989"/>
    <n v="0.18480651130360151"/>
    <x v="6"/>
    <n v="2205.1999999999989"/>
  </r>
  <r>
    <d v="2024-03-24T00:00:00"/>
    <x v="2"/>
    <x v="0"/>
    <x v="3"/>
    <n v="1139.1600000000001"/>
    <n v="941.3"/>
    <n v="5"/>
    <n v="5695.8"/>
    <n v="4706.5"/>
    <n v="989.30000000000018"/>
    <n v="0.17368938516099586"/>
    <x v="29"/>
    <n v="989.30000000000018"/>
  </r>
  <r>
    <d v="2024-12-28T00:00:00"/>
    <x v="9"/>
    <x v="3"/>
    <x v="1"/>
    <n v="1336.9"/>
    <n v="1046.0999999999999"/>
    <n v="2"/>
    <n v="2673.8"/>
    <n v="2092.1999999999998"/>
    <n v="581.60000000000036"/>
    <n v="0.21751813897823336"/>
    <x v="23"/>
    <n v="581.60000000000036"/>
  </r>
  <r>
    <d v="2022-09-13T00:00:00"/>
    <x v="3"/>
    <x v="2"/>
    <x v="2"/>
    <n v="1319.97"/>
    <n v="851"/>
    <n v="9"/>
    <n v="11879.73"/>
    <n v="7659"/>
    <n v="4220.7299999999996"/>
    <n v="0.35528837776616135"/>
    <x v="12"/>
    <n v="4220.7299999999996"/>
  </r>
  <r>
    <d v="2024-06-02T00:00:00"/>
    <x v="1"/>
    <x v="1"/>
    <x v="0"/>
    <n v="1982.51"/>
    <n v="1381.17"/>
    <n v="2"/>
    <n v="3965.02"/>
    <n v="2762.34"/>
    <n v="1202.6799999999998"/>
    <n v="0.30332255575003403"/>
    <x v="4"/>
    <n v="1202.6799999999998"/>
  </r>
  <r>
    <d v="2024-12-03T00:00:00"/>
    <x v="9"/>
    <x v="3"/>
    <x v="1"/>
    <n v="1758.36"/>
    <n v="913.35"/>
    <n v="4"/>
    <n v="7033.44"/>
    <n v="3653.4"/>
    <n v="3380.0399999999995"/>
    <n v="0.48056711936122293"/>
    <x v="23"/>
    <n v="3380.0399999999995"/>
  </r>
  <r>
    <d v="2022-09-09T00:00:00"/>
    <x v="8"/>
    <x v="1"/>
    <x v="0"/>
    <n v="1544.25"/>
    <n v="1202.3399999999999"/>
    <n v="4"/>
    <n v="6177"/>
    <n v="4809.3599999999997"/>
    <n v="1367.6400000000003"/>
    <n v="0.22140845070422541"/>
    <x v="12"/>
    <n v="1367.6400000000003"/>
  </r>
  <r>
    <d v="2022-03-20T00:00:00"/>
    <x v="2"/>
    <x v="0"/>
    <x v="3"/>
    <n v="21.58"/>
    <n v="14.16"/>
    <n v="9"/>
    <n v="194.21999999999997"/>
    <n v="127.44"/>
    <n v="66.779999999999973"/>
    <n v="0.34383688600556062"/>
    <x v="7"/>
    <n v="66.779999999999973"/>
  </r>
  <r>
    <d v="2024-07-12T00:00:00"/>
    <x v="9"/>
    <x v="3"/>
    <x v="1"/>
    <n v="250.97"/>
    <n v="157.43"/>
    <n v="2"/>
    <n v="501.94"/>
    <n v="314.86"/>
    <n v="187.07999999999998"/>
    <n v="0.37271387018368729"/>
    <x v="28"/>
    <n v="187.07999999999998"/>
  </r>
  <r>
    <d v="2023-01-22T00:00:00"/>
    <x v="5"/>
    <x v="3"/>
    <x v="1"/>
    <n v="1684.45"/>
    <n v="1193.51"/>
    <n v="10"/>
    <n v="16844.5"/>
    <n v="11935.1"/>
    <n v="4909.3999999999996"/>
    <n v="0.29145418385823263"/>
    <x v="13"/>
    <n v="4909.3999999999996"/>
  </r>
  <r>
    <d v="2024-07-13T00:00:00"/>
    <x v="4"/>
    <x v="2"/>
    <x v="2"/>
    <n v="725.05"/>
    <n v="367.27"/>
    <n v="4"/>
    <n v="2900.2"/>
    <n v="1469.08"/>
    <n v="1431.12"/>
    <n v="0.49345562375008617"/>
    <x v="28"/>
    <n v="1431.12"/>
  </r>
  <r>
    <d v="2022-07-26T00:00:00"/>
    <x v="0"/>
    <x v="0"/>
    <x v="0"/>
    <n v="1930.54"/>
    <n v="1294.3900000000001"/>
    <n v="5"/>
    <n v="9652.7000000000007"/>
    <n v="6471.9500000000007"/>
    <n v="3180.75"/>
    <n v="0.32951920188133887"/>
    <x v="8"/>
    <n v="3180.75"/>
  </r>
  <r>
    <d v="2023-09-19T00:00:00"/>
    <x v="2"/>
    <x v="0"/>
    <x v="2"/>
    <n v="1165.76"/>
    <n v="1005.33"/>
    <n v="5"/>
    <n v="5828.8"/>
    <n v="5026.6500000000005"/>
    <n v="802.14999999999964"/>
    <n v="0.13761837771067795"/>
    <x v="24"/>
    <n v="802.14999999999964"/>
  </r>
  <r>
    <d v="2023-01-02T00:00:00"/>
    <x v="2"/>
    <x v="0"/>
    <x v="2"/>
    <n v="1777.49"/>
    <n v="1220.56"/>
    <n v="8"/>
    <n v="14219.92"/>
    <n v="9764.48"/>
    <n v="4455.4400000000005"/>
    <n v="0.31332384429729565"/>
    <x v="13"/>
    <n v="4455.4400000000005"/>
  </r>
  <r>
    <d v="2024-11-25T00:00:00"/>
    <x v="7"/>
    <x v="0"/>
    <x v="0"/>
    <n v="1581.61"/>
    <n v="1024.01"/>
    <n v="8"/>
    <n v="12652.88"/>
    <n v="8192.08"/>
    <n v="4460.7999999999993"/>
    <n v="0.35255214623073955"/>
    <x v="2"/>
    <n v="4460.7999999999993"/>
  </r>
  <r>
    <d v="2024-05-29T00:00:00"/>
    <x v="0"/>
    <x v="0"/>
    <x v="1"/>
    <n v="47.15"/>
    <n v="30.73"/>
    <n v="5"/>
    <n v="235.75"/>
    <n v="153.65"/>
    <n v="82.1"/>
    <n v="0.34825026511134677"/>
    <x v="3"/>
    <n v="82.1"/>
  </r>
  <r>
    <d v="2024-01-01T00:00:00"/>
    <x v="9"/>
    <x v="3"/>
    <x v="1"/>
    <n v="489.11"/>
    <n v="439.64"/>
    <n v="6"/>
    <n v="2934.66"/>
    <n v="2637.84"/>
    <n v="296.81999999999971"/>
    <n v="0.10114289219194036"/>
    <x v="26"/>
    <n v="296.81999999999971"/>
  </r>
  <r>
    <d v="2022-06-09T00:00:00"/>
    <x v="9"/>
    <x v="3"/>
    <x v="3"/>
    <n v="1107.8399999999999"/>
    <n v="849.75"/>
    <n v="7"/>
    <n v="7754.8799999999992"/>
    <n v="5948.25"/>
    <n v="1806.6299999999992"/>
    <n v="0.23296685441941067"/>
    <x v="18"/>
    <n v="1806.6299999999992"/>
  </r>
  <r>
    <d v="2024-08-11T00:00:00"/>
    <x v="7"/>
    <x v="0"/>
    <x v="3"/>
    <n v="884.07"/>
    <n v="590.16999999999996"/>
    <n v="6"/>
    <n v="5304.42"/>
    <n v="3541.0199999999995"/>
    <n v="1763.4000000000005"/>
    <n v="0.33243973893469986"/>
    <x v="21"/>
    <n v="1763.4000000000005"/>
  </r>
  <r>
    <d v="2024-01-01T00:00:00"/>
    <x v="7"/>
    <x v="0"/>
    <x v="0"/>
    <n v="1358.16"/>
    <n v="767.05"/>
    <n v="5"/>
    <n v="6790.8"/>
    <n v="3835.25"/>
    <n v="2955.55"/>
    <n v="0.43522854450138426"/>
    <x v="26"/>
    <n v="2955.55"/>
  </r>
  <r>
    <d v="2023-05-11T00:00:00"/>
    <x v="3"/>
    <x v="2"/>
    <x v="1"/>
    <n v="1888.57"/>
    <n v="1557.88"/>
    <n v="10"/>
    <n v="18885.7"/>
    <n v="15578.800000000001"/>
    <n v="3306.8999999999996"/>
    <n v="0.17510073759511163"/>
    <x v="31"/>
    <n v="3306.8999999999996"/>
  </r>
  <r>
    <d v="2022-06-15T00:00:00"/>
    <x v="8"/>
    <x v="1"/>
    <x v="3"/>
    <n v="625.55999999999995"/>
    <n v="458.82"/>
    <n v="1"/>
    <n v="625.55999999999995"/>
    <n v="458.82"/>
    <n v="166.73999999999995"/>
    <n v="0.2665451755227316"/>
    <x v="18"/>
    <n v="166.73999999999995"/>
  </r>
  <r>
    <d v="2023-08-29T00:00:00"/>
    <x v="8"/>
    <x v="1"/>
    <x v="3"/>
    <n v="1453.74"/>
    <n v="791"/>
    <n v="10"/>
    <n v="14537.4"/>
    <n v="7910"/>
    <n v="6627.4"/>
    <n v="0.45588619698157856"/>
    <x v="14"/>
    <n v="6627.4"/>
  </r>
  <r>
    <d v="2024-08-01T00:00:00"/>
    <x v="6"/>
    <x v="3"/>
    <x v="3"/>
    <n v="321.62"/>
    <n v="278.04000000000002"/>
    <n v="10"/>
    <n v="3216.2"/>
    <n v="2780.4"/>
    <n v="435.79999999999973"/>
    <n v="0.13550152353709338"/>
    <x v="21"/>
    <n v="435.79999999999973"/>
  </r>
  <r>
    <d v="2022-07-24T00:00:00"/>
    <x v="0"/>
    <x v="0"/>
    <x v="1"/>
    <n v="664.44"/>
    <n v="568.25"/>
    <n v="1"/>
    <n v="664.44"/>
    <n v="568.25"/>
    <n v="96.190000000000055"/>
    <n v="0.14476852687977854"/>
    <x v="8"/>
    <n v="96.190000000000055"/>
  </r>
  <r>
    <d v="2024-07-23T00:00:00"/>
    <x v="7"/>
    <x v="0"/>
    <x v="1"/>
    <n v="548.28"/>
    <n v="368.75"/>
    <n v="5"/>
    <n v="2741.3999999999996"/>
    <n v="1843.75"/>
    <n v="897.64999999999964"/>
    <n v="0.32744218282629306"/>
    <x v="28"/>
    <n v="897.64999999999964"/>
  </r>
  <r>
    <d v="2023-03-23T00:00:00"/>
    <x v="0"/>
    <x v="0"/>
    <x v="2"/>
    <n v="1868.51"/>
    <n v="1672.14"/>
    <n v="1"/>
    <n v="1868.51"/>
    <n v="1672.14"/>
    <n v="196.36999999999989"/>
    <n v="0.10509443353260078"/>
    <x v="19"/>
    <n v="196.36999999999989"/>
  </r>
  <r>
    <d v="2024-03-21T00:00:00"/>
    <x v="3"/>
    <x v="2"/>
    <x v="1"/>
    <n v="443.56"/>
    <n v="370.71"/>
    <n v="10"/>
    <n v="4435.6000000000004"/>
    <n v="3707.1"/>
    <n v="728.50000000000045"/>
    <n v="0.16423933627919568"/>
    <x v="29"/>
    <n v="728.50000000000045"/>
  </r>
  <r>
    <d v="2023-11-13T00:00:00"/>
    <x v="6"/>
    <x v="3"/>
    <x v="3"/>
    <n v="1525.41"/>
    <n v="860.09"/>
    <n v="7"/>
    <n v="10677.87"/>
    <n v="6020.63"/>
    <n v="4657.2400000000007"/>
    <n v="0.43615814764555105"/>
    <x v="10"/>
    <n v="4657.2400000000007"/>
  </r>
  <r>
    <d v="2024-08-30T00:00:00"/>
    <x v="8"/>
    <x v="1"/>
    <x v="3"/>
    <n v="838.44"/>
    <n v="647.36"/>
    <n v="7"/>
    <n v="5869.08"/>
    <n v="4531.5200000000004"/>
    <n v="1337.5599999999995"/>
    <n v="0.22789943227899423"/>
    <x v="21"/>
    <n v="1337.5599999999995"/>
  </r>
  <r>
    <d v="2024-03-22T00:00:00"/>
    <x v="6"/>
    <x v="3"/>
    <x v="0"/>
    <n v="1468.24"/>
    <n v="1002.88"/>
    <n v="9"/>
    <n v="13214.16"/>
    <n v="9025.92"/>
    <n v="4188.24"/>
    <n v="0.31695090720863073"/>
    <x v="29"/>
    <n v="4188.24"/>
  </r>
  <r>
    <d v="2023-05-29T00:00:00"/>
    <x v="8"/>
    <x v="1"/>
    <x v="1"/>
    <n v="159.68"/>
    <n v="126.62"/>
    <n v="7"/>
    <n v="1117.76"/>
    <n v="886.34"/>
    <n v="231.41999999999996"/>
    <n v="0.20703907815631259"/>
    <x v="31"/>
    <n v="231.41999999999996"/>
  </r>
  <r>
    <d v="2022-07-24T00:00:00"/>
    <x v="8"/>
    <x v="1"/>
    <x v="0"/>
    <n v="721.72"/>
    <n v="639.95000000000005"/>
    <n v="4"/>
    <n v="2886.88"/>
    <n v="2559.8000000000002"/>
    <n v="327.07999999999993"/>
    <n v="0.11329878623288807"/>
    <x v="8"/>
    <n v="327.07999999999993"/>
  </r>
  <r>
    <d v="2023-05-19T00:00:00"/>
    <x v="0"/>
    <x v="0"/>
    <x v="1"/>
    <n v="250.48"/>
    <n v="152.56"/>
    <n v="10"/>
    <n v="2504.7999999999997"/>
    <n v="1525.6"/>
    <n v="979.19999999999982"/>
    <n v="0.39092941552219734"/>
    <x v="31"/>
    <n v="979.19999999999982"/>
  </r>
  <r>
    <d v="2023-05-08T00:00:00"/>
    <x v="7"/>
    <x v="0"/>
    <x v="1"/>
    <n v="975.19"/>
    <n v="591.45000000000005"/>
    <n v="4"/>
    <n v="3900.76"/>
    <n v="2365.8000000000002"/>
    <n v="1534.96"/>
    <n v="0.39350280458167125"/>
    <x v="31"/>
    <n v="1534.96"/>
  </r>
  <r>
    <d v="2022-07-25T00:00:00"/>
    <x v="4"/>
    <x v="2"/>
    <x v="3"/>
    <n v="871.95"/>
    <n v="482.82"/>
    <n v="4"/>
    <n v="3487.8"/>
    <n v="1931.28"/>
    <n v="1556.5200000000002"/>
    <n v="0.4462755891966283"/>
    <x v="8"/>
    <n v="1556.5200000000002"/>
  </r>
  <r>
    <d v="2024-03-19T00:00:00"/>
    <x v="10"/>
    <x v="2"/>
    <x v="2"/>
    <n v="1676.02"/>
    <n v="1310.79"/>
    <n v="5"/>
    <n v="8380.1"/>
    <n v="6553.95"/>
    <n v="1826.1500000000005"/>
    <n v="0.21791506067946689"/>
    <x v="29"/>
    <n v="1826.1500000000005"/>
  </r>
  <r>
    <d v="2024-06-27T00:00:00"/>
    <x v="2"/>
    <x v="0"/>
    <x v="1"/>
    <n v="1121.32"/>
    <n v="911.5"/>
    <n v="1"/>
    <n v="1121.32"/>
    <n v="911.5"/>
    <n v="209.81999999999994"/>
    <n v="0.18711875289836974"/>
    <x v="4"/>
    <n v="209.81999999999994"/>
  </r>
  <r>
    <d v="2023-11-03T00:00:00"/>
    <x v="9"/>
    <x v="3"/>
    <x v="3"/>
    <n v="766.17"/>
    <n v="614.24"/>
    <n v="6"/>
    <n v="4597.0199999999995"/>
    <n v="3685.44"/>
    <n v="911.57999999999947"/>
    <n v="0.1982980278528263"/>
    <x v="10"/>
    <n v="911.57999999999947"/>
  </r>
  <r>
    <d v="2022-09-25T00:00:00"/>
    <x v="8"/>
    <x v="1"/>
    <x v="1"/>
    <n v="308.2"/>
    <n v="207.31"/>
    <n v="5"/>
    <n v="1541"/>
    <n v="1036.55"/>
    <n v="504.45000000000005"/>
    <n v="0.32735236859182354"/>
    <x v="12"/>
    <n v="504.45000000000005"/>
  </r>
  <r>
    <d v="2023-07-05T00:00:00"/>
    <x v="2"/>
    <x v="0"/>
    <x v="1"/>
    <n v="1795.53"/>
    <n v="1491.31"/>
    <n v="5"/>
    <n v="8977.65"/>
    <n v="7456.5499999999993"/>
    <n v="1521.1000000000004"/>
    <n v="0.16943186691394746"/>
    <x v="11"/>
    <n v="1521.1000000000004"/>
  </r>
  <r>
    <d v="2023-01-26T00:00:00"/>
    <x v="4"/>
    <x v="2"/>
    <x v="2"/>
    <n v="1130.3800000000001"/>
    <n v="659.2"/>
    <n v="10"/>
    <n v="11303.800000000001"/>
    <n v="6592"/>
    <n v="4711.8000000000011"/>
    <n v="0.41683327730497716"/>
    <x v="13"/>
    <n v="4711.8000000000011"/>
  </r>
  <r>
    <d v="2024-06-26T00:00:00"/>
    <x v="6"/>
    <x v="3"/>
    <x v="1"/>
    <n v="436.03"/>
    <n v="267.27"/>
    <n v="10"/>
    <n v="4360.2999999999993"/>
    <n v="2672.7"/>
    <n v="1687.5999999999995"/>
    <n v="0.38703758915670933"/>
    <x v="4"/>
    <n v="1687.5999999999995"/>
  </r>
  <r>
    <d v="2023-07-23T00:00:00"/>
    <x v="6"/>
    <x v="3"/>
    <x v="2"/>
    <n v="1266.3499999999999"/>
    <n v="844.5"/>
    <n v="5"/>
    <n v="6331.75"/>
    <n v="4222.5"/>
    <n v="2109.25"/>
    <n v="0.33312275437280375"/>
    <x v="11"/>
    <n v="2109.25"/>
  </r>
  <r>
    <d v="2024-12-16T00:00:00"/>
    <x v="8"/>
    <x v="1"/>
    <x v="1"/>
    <n v="1639.28"/>
    <n v="1116.92"/>
    <n v="2"/>
    <n v="3278.56"/>
    <n v="2233.84"/>
    <n v="1044.7199999999998"/>
    <n v="0.31865209116197352"/>
    <x v="23"/>
    <n v="1044.7199999999998"/>
  </r>
  <r>
    <d v="2024-12-27T00:00:00"/>
    <x v="9"/>
    <x v="3"/>
    <x v="2"/>
    <n v="323.02"/>
    <n v="234.61"/>
    <n v="9"/>
    <n v="2907.18"/>
    <n v="2111.4900000000002"/>
    <n v="795.6899999999996"/>
    <n v="0.27369822302024632"/>
    <x v="23"/>
    <n v="795.6899999999996"/>
  </r>
  <r>
    <d v="2023-02-03T00:00:00"/>
    <x v="1"/>
    <x v="1"/>
    <x v="2"/>
    <n v="876.13"/>
    <n v="605.9"/>
    <n v="8"/>
    <n v="7009.04"/>
    <n v="4847.2"/>
    <n v="2161.84"/>
    <n v="0.30843596269959939"/>
    <x v="27"/>
    <n v="2161.84"/>
  </r>
  <r>
    <d v="2024-07-12T00:00:00"/>
    <x v="7"/>
    <x v="0"/>
    <x v="0"/>
    <n v="1744.8"/>
    <n v="1545.04"/>
    <n v="7"/>
    <n v="12213.6"/>
    <n v="10815.279999999999"/>
    <n v="1398.3200000000015"/>
    <n v="0.11448876662081627"/>
    <x v="28"/>
    <n v="1398.3200000000015"/>
  </r>
  <r>
    <d v="2023-09-29T00:00:00"/>
    <x v="8"/>
    <x v="1"/>
    <x v="1"/>
    <n v="1077.5999999999999"/>
    <n v="839.05"/>
    <n v="9"/>
    <n v="9698.4"/>
    <n v="7551.45"/>
    <n v="2146.9499999999998"/>
    <n v="0.22137156644394951"/>
    <x v="24"/>
    <n v="2146.9499999999998"/>
  </r>
  <r>
    <d v="2023-12-18T00:00:00"/>
    <x v="3"/>
    <x v="2"/>
    <x v="3"/>
    <n v="1929.83"/>
    <n v="1059.17"/>
    <n v="7"/>
    <n v="13508.81"/>
    <n v="7414.1900000000005"/>
    <n v="6094.619999999999"/>
    <n v="0.45115891037034345"/>
    <x v="30"/>
    <n v="6094.619999999999"/>
  </r>
  <r>
    <d v="2022-02-26T00:00:00"/>
    <x v="9"/>
    <x v="3"/>
    <x v="0"/>
    <n v="545.80999999999995"/>
    <n v="424.85"/>
    <n v="2"/>
    <n v="1091.6199999999999"/>
    <n v="849.7"/>
    <n v="241.91999999999985"/>
    <n v="0.22161558051336533"/>
    <x v="20"/>
    <n v="241.91999999999985"/>
  </r>
  <r>
    <d v="2022-02-28T00:00:00"/>
    <x v="7"/>
    <x v="0"/>
    <x v="1"/>
    <n v="1597.06"/>
    <n v="1066.47"/>
    <n v="6"/>
    <n v="9582.36"/>
    <n v="6398.82"/>
    <n v="3183.5400000000009"/>
    <n v="0.33222922119394394"/>
    <x v="20"/>
    <n v="3183.5400000000009"/>
  </r>
  <r>
    <d v="2024-12-26T00:00:00"/>
    <x v="2"/>
    <x v="0"/>
    <x v="3"/>
    <n v="1903.59"/>
    <n v="1375"/>
    <n v="7"/>
    <n v="13325.13"/>
    <n v="9625"/>
    <n v="3700.1299999999992"/>
    <n v="0.27768059298483388"/>
    <x v="23"/>
    <n v="3700.1299999999992"/>
  </r>
  <r>
    <d v="2022-03-27T00:00:00"/>
    <x v="10"/>
    <x v="2"/>
    <x v="2"/>
    <n v="813.29"/>
    <n v="566.61"/>
    <n v="5"/>
    <n v="4066.45"/>
    <n v="2833.05"/>
    <n v="1233.3999999999996"/>
    <n v="0.30331124199240117"/>
    <x v="7"/>
    <n v="1233.3999999999996"/>
  </r>
  <r>
    <d v="2024-06-19T00:00:00"/>
    <x v="7"/>
    <x v="0"/>
    <x v="2"/>
    <n v="788.33"/>
    <n v="660.03"/>
    <n v="4"/>
    <n v="3153.32"/>
    <n v="2640.12"/>
    <n v="513.20000000000027"/>
    <n v="0.16274910253320318"/>
    <x v="4"/>
    <n v="513.20000000000027"/>
  </r>
  <r>
    <d v="2022-11-24T00:00:00"/>
    <x v="6"/>
    <x v="3"/>
    <x v="1"/>
    <n v="552.01"/>
    <n v="401.41"/>
    <n v="3"/>
    <n v="1656.03"/>
    <n v="1204.23"/>
    <n v="451.79999999999995"/>
    <n v="0.27282114454448286"/>
    <x v="1"/>
    <n v="451.79999999999995"/>
  </r>
  <r>
    <d v="2023-11-21T00:00:00"/>
    <x v="7"/>
    <x v="0"/>
    <x v="2"/>
    <n v="288.73"/>
    <n v="173.81"/>
    <n v="6"/>
    <n v="1732.38"/>
    <n v="1042.8600000000001"/>
    <n v="689.52"/>
    <n v="0.39801891040072035"/>
    <x v="10"/>
    <n v="689.52"/>
  </r>
  <r>
    <d v="2024-03-06T00:00:00"/>
    <x v="1"/>
    <x v="1"/>
    <x v="2"/>
    <n v="1157.82"/>
    <n v="761.72"/>
    <n v="6"/>
    <n v="6946.92"/>
    <n v="4570.32"/>
    <n v="2376.6000000000004"/>
    <n v="0.34210844518146177"/>
    <x v="29"/>
    <n v="2376.6000000000004"/>
  </r>
  <r>
    <d v="2023-10-12T00:00:00"/>
    <x v="2"/>
    <x v="0"/>
    <x v="0"/>
    <n v="1423.46"/>
    <n v="955.46"/>
    <n v="10"/>
    <n v="14234.6"/>
    <n v="9554.6"/>
    <n v="4680"/>
    <n v="0.32877636182260128"/>
    <x v="5"/>
    <n v="4680"/>
  </r>
  <r>
    <d v="2024-02-25T00:00:00"/>
    <x v="4"/>
    <x v="2"/>
    <x v="1"/>
    <n v="339.03"/>
    <n v="229.1"/>
    <n v="9"/>
    <n v="3051.2699999999995"/>
    <n v="2061.9"/>
    <n v="989.36999999999944"/>
    <n v="0.32424859157006741"/>
    <x v="34"/>
    <n v="989.36999999999944"/>
  </r>
  <r>
    <d v="2022-08-29T00:00:00"/>
    <x v="6"/>
    <x v="3"/>
    <x v="2"/>
    <n v="1596.54"/>
    <n v="1179.71"/>
    <n v="8"/>
    <n v="12772.32"/>
    <n v="9437.68"/>
    <n v="3334.6399999999994"/>
    <n v="0.26108334272865069"/>
    <x v="15"/>
    <n v="3334.6399999999994"/>
  </r>
  <r>
    <d v="2023-08-22T00:00:00"/>
    <x v="9"/>
    <x v="3"/>
    <x v="2"/>
    <n v="1672.34"/>
    <n v="1476.13"/>
    <n v="3"/>
    <n v="5017.0199999999995"/>
    <n v="4428.3900000000003"/>
    <n v="588.6299999999992"/>
    <n v="0.11732662018489048"/>
    <x v="14"/>
    <n v="588.6299999999992"/>
  </r>
  <r>
    <d v="2023-05-01T00:00:00"/>
    <x v="4"/>
    <x v="2"/>
    <x v="0"/>
    <n v="162.26"/>
    <n v="127.93"/>
    <n v="9"/>
    <n v="1460.34"/>
    <n v="1151.3700000000001"/>
    <n v="308.9699999999998"/>
    <n v="0.21157401700973733"/>
    <x v="31"/>
    <n v="308.9699999999998"/>
  </r>
  <r>
    <d v="2024-01-06T00:00:00"/>
    <x v="7"/>
    <x v="0"/>
    <x v="2"/>
    <n v="646.45000000000005"/>
    <n v="406.13"/>
    <n v="4"/>
    <n v="2585.8000000000002"/>
    <n v="1624.52"/>
    <n v="961.2800000000002"/>
    <n v="0.37175342253847943"/>
    <x v="26"/>
    <n v="961.2800000000002"/>
  </r>
  <r>
    <d v="2023-02-25T00:00:00"/>
    <x v="0"/>
    <x v="0"/>
    <x v="1"/>
    <n v="166.1"/>
    <n v="92.38"/>
    <n v="6"/>
    <n v="996.59999999999991"/>
    <n v="554.28"/>
    <n v="442.31999999999994"/>
    <n v="0.4438290186634557"/>
    <x v="27"/>
    <n v="442.31999999999994"/>
  </r>
  <r>
    <d v="2024-09-01T00:00:00"/>
    <x v="1"/>
    <x v="1"/>
    <x v="0"/>
    <n v="255.13"/>
    <n v="183.57"/>
    <n v="8"/>
    <n v="2041.04"/>
    <n v="1468.56"/>
    <n v="572.48"/>
    <n v="0.2804844589033042"/>
    <x v="16"/>
    <n v="572.48"/>
  </r>
  <r>
    <d v="2024-06-18T00:00:00"/>
    <x v="0"/>
    <x v="0"/>
    <x v="0"/>
    <n v="979.61"/>
    <n v="709.29"/>
    <n v="7"/>
    <n v="6857.27"/>
    <n v="4965.03"/>
    <n v="1892.2400000000007"/>
    <n v="0.27594655015771591"/>
    <x v="4"/>
    <n v="1892.2400000000007"/>
  </r>
  <r>
    <d v="2023-10-11T00:00:00"/>
    <x v="9"/>
    <x v="3"/>
    <x v="1"/>
    <n v="328.45"/>
    <n v="180.09"/>
    <n v="7"/>
    <n v="2299.15"/>
    <n v="1260.6300000000001"/>
    <n v="1038.52"/>
    <n v="0.45169736641802405"/>
    <x v="5"/>
    <n v="1038.52"/>
  </r>
  <r>
    <d v="2023-07-12T00:00:00"/>
    <x v="8"/>
    <x v="1"/>
    <x v="0"/>
    <n v="89.74"/>
    <n v="66.61"/>
    <n v="4"/>
    <n v="358.96"/>
    <n v="266.44"/>
    <n v="92.519999999999982"/>
    <n v="0.25774459549810558"/>
    <x v="11"/>
    <n v="92.519999999999982"/>
  </r>
  <r>
    <d v="2023-12-26T00:00:00"/>
    <x v="2"/>
    <x v="0"/>
    <x v="1"/>
    <n v="1042.8"/>
    <n v="602.79"/>
    <n v="6"/>
    <n v="6256.7999999999993"/>
    <n v="3616.74"/>
    <n v="2640.0599999999995"/>
    <n v="0.42195051783659376"/>
    <x v="30"/>
    <n v="2640.0599999999995"/>
  </r>
  <r>
    <d v="2023-03-22T00:00:00"/>
    <x v="8"/>
    <x v="1"/>
    <x v="0"/>
    <n v="1434.89"/>
    <n v="967.8"/>
    <n v="1"/>
    <n v="1434.89"/>
    <n v="967.8"/>
    <n v="467.09000000000015"/>
    <n v="0.32552321083846159"/>
    <x v="19"/>
    <n v="467.09000000000015"/>
  </r>
  <r>
    <d v="2022-03-05T00:00:00"/>
    <x v="2"/>
    <x v="0"/>
    <x v="2"/>
    <n v="1681.11"/>
    <n v="1032.73"/>
    <n v="8"/>
    <n v="13448.88"/>
    <n v="8261.84"/>
    <n v="5187.0399999999991"/>
    <n v="0.38568564817293333"/>
    <x v="7"/>
    <n v="5187.0399999999991"/>
  </r>
  <r>
    <d v="2023-05-14T00:00:00"/>
    <x v="4"/>
    <x v="2"/>
    <x v="0"/>
    <n v="1045.03"/>
    <n v="730.79"/>
    <n v="7"/>
    <n v="7315.21"/>
    <n v="5115.53"/>
    <n v="2199.6800000000003"/>
    <n v="0.30069950144971919"/>
    <x v="31"/>
    <n v="2199.6800000000003"/>
  </r>
  <r>
    <d v="2024-12-10T00:00:00"/>
    <x v="6"/>
    <x v="3"/>
    <x v="2"/>
    <n v="1597.81"/>
    <n v="916"/>
    <n v="2"/>
    <n v="3195.62"/>
    <n v="1832"/>
    <n v="1363.62"/>
    <n v="0.42671531658958195"/>
    <x v="23"/>
    <n v="1363.62"/>
  </r>
  <r>
    <d v="2024-01-31T00:00:00"/>
    <x v="10"/>
    <x v="2"/>
    <x v="3"/>
    <n v="1931.59"/>
    <n v="1539.6"/>
    <n v="10"/>
    <n v="19315.899999999998"/>
    <n v="15396"/>
    <n v="3919.8999999999978"/>
    <n v="0.20293644096314425"/>
    <x v="26"/>
    <n v="3919.8999999999978"/>
  </r>
  <r>
    <d v="2024-02-23T00:00:00"/>
    <x v="10"/>
    <x v="2"/>
    <x v="2"/>
    <n v="729.93"/>
    <n v="582.66999999999996"/>
    <n v="9"/>
    <n v="6569.37"/>
    <n v="5244.03"/>
    <n v="1325.3400000000001"/>
    <n v="0.20174537284397137"/>
    <x v="34"/>
    <n v="1325.3400000000001"/>
  </r>
  <r>
    <d v="2024-11-19T00:00:00"/>
    <x v="8"/>
    <x v="1"/>
    <x v="1"/>
    <n v="71.19"/>
    <n v="41.79"/>
    <n v="1"/>
    <n v="71.19"/>
    <n v="41.79"/>
    <n v="29.4"/>
    <n v="0.41297935103244837"/>
    <x v="2"/>
    <n v="29.4"/>
  </r>
  <r>
    <d v="2024-08-15T00:00:00"/>
    <x v="10"/>
    <x v="2"/>
    <x v="3"/>
    <n v="1177.77"/>
    <n v="1025.54"/>
    <n v="5"/>
    <n v="5888.85"/>
    <n v="5127.7"/>
    <n v="761.15000000000055"/>
    <n v="0.12925274034828541"/>
    <x v="21"/>
    <n v="761.15000000000055"/>
  </r>
  <r>
    <d v="2023-09-26T00:00:00"/>
    <x v="3"/>
    <x v="2"/>
    <x v="0"/>
    <n v="277.68"/>
    <n v="203.53"/>
    <n v="6"/>
    <n v="1666.08"/>
    <n v="1221.18"/>
    <n v="444.89999999999986"/>
    <n v="0.26703399596658017"/>
    <x v="24"/>
    <n v="444.89999999999986"/>
  </r>
  <r>
    <d v="2024-07-30T00:00:00"/>
    <x v="10"/>
    <x v="2"/>
    <x v="3"/>
    <n v="1106.8499999999999"/>
    <n v="969.85"/>
    <n v="5"/>
    <n v="5534.25"/>
    <n v="4849.25"/>
    <n v="685"/>
    <n v="0.1237746758820075"/>
    <x v="28"/>
    <n v="685"/>
  </r>
  <r>
    <d v="2023-12-24T00:00:00"/>
    <x v="4"/>
    <x v="2"/>
    <x v="2"/>
    <n v="1873.67"/>
    <n v="1213.8599999999999"/>
    <n v="7"/>
    <n v="13115.69"/>
    <n v="8497.0199999999986"/>
    <n v="4618.6700000000019"/>
    <n v="0.35214845730571565"/>
    <x v="30"/>
    <n v="4618.6700000000019"/>
  </r>
  <r>
    <d v="2022-07-29T00:00:00"/>
    <x v="1"/>
    <x v="1"/>
    <x v="1"/>
    <n v="1410.94"/>
    <n v="1143.8699999999999"/>
    <n v="1"/>
    <n v="1410.94"/>
    <n v="1143.8699999999999"/>
    <n v="267.07000000000016"/>
    <n v="0.18928515741278876"/>
    <x v="8"/>
    <n v="267.07000000000016"/>
  </r>
  <r>
    <d v="2022-04-18T00:00:00"/>
    <x v="7"/>
    <x v="0"/>
    <x v="0"/>
    <n v="1496.81"/>
    <n v="844.19"/>
    <n v="5"/>
    <n v="7484.0499999999993"/>
    <n v="4220.9500000000007"/>
    <n v="3263.0999999999985"/>
    <n v="0.43600724206813141"/>
    <x v="32"/>
    <n v="3263.0999999999985"/>
  </r>
  <r>
    <d v="2024-09-28T00:00:00"/>
    <x v="2"/>
    <x v="0"/>
    <x v="1"/>
    <n v="1927.82"/>
    <n v="1417.71"/>
    <n v="7"/>
    <n v="13494.74"/>
    <n v="9923.9700000000012"/>
    <n v="3570.7699999999986"/>
    <n v="0.26460457926569897"/>
    <x v="16"/>
    <n v="3570.7699999999986"/>
  </r>
  <r>
    <d v="2023-12-21T00:00:00"/>
    <x v="6"/>
    <x v="3"/>
    <x v="1"/>
    <n v="1465.89"/>
    <n v="828.56"/>
    <n v="8"/>
    <n v="11727.12"/>
    <n v="6628.48"/>
    <n v="5098.6400000000012"/>
    <n v="0.43477341410337755"/>
    <x v="30"/>
    <n v="5098.6400000000012"/>
  </r>
  <r>
    <d v="2024-03-11T00:00:00"/>
    <x v="5"/>
    <x v="3"/>
    <x v="1"/>
    <n v="1580.72"/>
    <n v="1003.68"/>
    <n v="5"/>
    <n v="7903.6"/>
    <n v="5018.3999999999996"/>
    <n v="2885.2000000000007"/>
    <n v="0.36504883850397296"/>
    <x v="29"/>
    <n v="2885.2000000000007"/>
  </r>
  <r>
    <d v="2022-08-21T00:00:00"/>
    <x v="6"/>
    <x v="3"/>
    <x v="0"/>
    <n v="391.55"/>
    <n v="207.8"/>
    <n v="1"/>
    <n v="391.55"/>
    <n v="207.8"/>
    <n v="183.75"/>
    <n v="0.46928872430085555"/>
    <x v="15"/>
    <n v="183.75"/>
  </r>
  <r>
    <d v="2024-08-13T00:00:00"/>
    <x v="2"/>
    <x v="0"/>
    <x v="0"/>
    <n v="1563.09"/>
    <n v="833.93"/>
    <n v="2"/>
    <n v="3126.18"/>
    <n v="1667.86"/>
    <n v="1458.32"/>
    <n v="0.46648625479019123"/>
    <x v="21"/>
    <n v="1458.32"/>
  </r>
  <r>
    <d v="2023-07-26T00:00:00"/>
    <x v="2"/>
    <x v="0"/>
    <x v="2"/>
    <n v="519.54"/>
    <n v="324.77999999999997"/>
    <n v="6"/>
    <n v="3117.24"/>
    <n v="1948.6799999999998"/>
    <n v="1168.56"/>
    <n v="0.37487007737614042"/>
    <x v="11"/>
    <n v="1168.56"/>
  </r>
  <r>
    <d v="2022-02-23T00:00:00"/>
    <x v="9"/>
    <x v="3"/>
    <x v="2"/>
    <n v="1314.17"/>
    <n v="725.61"/>
    <n v="10"/>
    <n v="13141.7"/>
    <n v="7256.1"/>
    <n v="5885.6"/>
    <n v="0.44785682217673511"/>
    <x v="20"/>
    <n v="5885.6"/>
  </r>
  <r>
    <d v="2023-10-29T00:00:00"/>
    <x v="8"/>
    <x v="1"/>
    <x v="0"/>
    <n v="455.78"/>
    <n v="242.29"/>
    <n v="10"/>
    <n v="4557.7999999999993"/>
    <n v="2422.9"/>
    <n v="2134.8999999999992"/>
    <n v="0.46840580982052732"/>
    <x v="5"/>
    <n v="2134.8999999999992"/>
  </r>
  <r>
    <d v="2023-11-16T00:00:00"/>
    <x v="1"/>
    <x v="1"/>
    <x v="1"/>
    <n v="279.73"/>
    <n v="230.98"/>
    <n v="1"/>
    <n v="279.73"/>
    <n v="230.98"/>
    <n v="48.750000000000028"/>
    <n v="0.17427519393701077"/>
    <x v="10"/>
    <n v="48.750000000000028"/>
  </r>
  <r>
    <d v="2022-03-21T00:00:00"/>
    <x v="1"/>
    <x v="1"/>
    <x v="3"/>
    <n v="135.49"/>
    <n v="92.01"/>
    <n v="1"/>
    <n v="135.49"/>
    <n v="92.01"/>
    <n v="43.480000000000004"/>
    <n v="0.32090929219868625"/>
    <x v="7"/>
    <n v="43.480000000000004"/>
  </r>
  <r>
    <d v="2024-09-22T00:00:00"/>
    <x v="3"/>
    <x v="2"/>
    <x v="0"/>
    <n v="559.36"/>
    <n v="432.84"/>
    <n v="3"/>
    <n v="1678.08"/>
    <n v="1298.52"/>
    <n v="379.55999999999995"/>
    <n v="0.22618707093821508"/>
    <x v="16"/>
    <n v="379.55999999999995"/>
  </r>
  <r>
    <d v="2022-05-06T00:00:00"/>
    <x v="6"/>
    <x v="3"/>
    <x v="2"/>
    <n v="42.93"/>
    <n v="31.96"/>
    <n v="7"/>
    <n v="300.51"/>
    <n v="223.72"/>
    <n v="76.789999999999992"/>
    <n v="0.25553226182156996"/>
    <x v="35"/>
    <n v="76.789999999999992"/>
  </r>
  <r>
    <d v="2022-01-15T00:00:00"/>
    <x v="10"/>
    <x v="2"/>
    <x v="3"/>
    <n v="1575.27"/>
    <n v="1404.39"/>
    <n v="5"/>
    <n v="7876.35"/>
    <n v="7021.9500000000007"/>
    <n v="854.39999999999964"/>
    <n v="0.10847664209944957"/>
    <x v="9"/>
    <n v="854.39999999999964"/>
  </r>
  <r>
    <d v="2022-11-07T00:00:00"/>
    <x v="4"/>
    <x v="2"/>
    <x v="3"/>
    <n v="1809.05"/>
    <n v="1127.3599999999999"/>
    <n v="7"/>
    <n v="12663.35"/>
    <n v="7891.5199999999995"/>
    <n v="4771.8300000000008"/>
    <n v="0.37682208894170977"/>
    <x v="1"/>
    <n v="4771.8300000000008"/>
  </r>
  <r>
    <d v="2022-06-03T00:00:00"/>
    <x v="9"/>
    <x v="3"/>
    <x v="0"/>
    <n v="1699.28"/>
    <n v="1520.23"/>
    <n v="7"/>
    <n v="11894.96"/>
    <n v="10641.61"/>
    <n v="1253.3499999999985"/>
    <n v="0.10536815592486218"/>
    <x v="18"/>
    <n v="1253.3499999999985"/>
  </r>
  <r>
    <d v="2024-08-12T00:00:00"/>
    <x v="2"/>
    <x v="0"/>
    <x v="0"/>
    <n v="1681.16"/>
    <n v="1093.53"/>
    <n v="10"/>
    <n v="16811.600000000002"/>
    <n v="10935.3"/>
    <n v="5876.3000000000029"/>
    <n v="0.3495384139522712"/>
    <x v="21"/>
    <n v="5876.3000000000029"/>
  </r>
  <r>
    <d v="2023-11-27T00:00:00"/>
    <x v="0"/>
    <x v="0"/>
    <x v="1"/>
    <n v="770.82"/>
    <n v="529.65"/>
    <n v="3"/>
    <n v="2312.46"/>
    <n v="1588.9499999999998"/>
    <n v="723.51000000000022"/>
    <n v="0.31287460107418086"/>
    <x v="10"/>
    <n v="723.51000000000022"/>
  </r>
  <r>
    <d v="2022-02-05T00:00:00"/>
    <x v="7"/>
    <x v="0"/>
    <x v="3"/>
    <n v="1338.08"/>
    <n v="1042.48"/>
    <n v="6"/>
    <n v="8028.48"/>
    <n v="6254.88"/>
    <n v="1773.5999999999995"/>
    <n v="0.22091354776993896"/>
    <x v="20"/>
    <n v="1773.5999999999995"/>
  </r>
  <r>
    <d v="2024-10-30T00:00:00"/>
    <x v="0"/>
    <x v="0"/>
    <x v="1"/>
    <n v="1011.63"/>
    <n v="834.02"/>
    <n v="7"/>
    <n v="7081.41"/>
    <n v="5838.1399999999994"/>
    <n v="1243.2700000000004"/>
    <n v="0.17556814250269373"/>
    <x v="17"/>
    <n v="1243.2700000000004"/>
  </r>
  <r>
    <d v="2023-01-20T00:00:00"/>
    <x v="2"/>
    <x v="0"/>
    <x v="0"/>
    <n v="1234.97"/>
    <n v="649.52"/>
    <n v="6"/>
    <n v="7409.82"/>
    <n v="3897.12"/>
    <n v="3512.7"/>
    <n v="0.47406009862587756"/>
    <x v="13"/>
    <n v="3512.7"/>
  </r>
  <r>
    <d v="2022-10-25T00:00:00"/>
    <x v="5"/>
    <x v="3"/>
    <x v="2"/>
    <n v="174.72"/>
    <n v="154.72"/>
    <n v="8"/>
    <n v="1397.76"/>
    <n v="1237.76"/>
    <n v="160"/>
    <n v="0.11446886446886446"/>
    <x v="25"/>
    <n v="160"/>
  </r>
  <r>
    <d v="2023-05-05T00:00:00"/>
    <x v="7"/>
    <x v="0"/>
    <x v="1"/>
    <n v="1536.68"/>
    <n v="1221.49"/>
    <n v="1"/>
    <n v="1536.68"/>
    <n v="1221.49"/>
    <n v="315.19000000000005"/>
    <n v="0.20511101855949193"/>
    <x v="31"/>
    <n v="315.19000000000005"/>
  </r>
  <r>
    <d v="2023-06-28T00:00:00"/>
    <x v="0"/>
    <x v="0"/>
    <x v="1"/>
    <n v="319.13"/>
    <n v="190.9"/>
    <n v="8"/>
    <n v="2553.04"/>
    <n v="1527.2"/>
    <n v="1025.8399999999999"/>
    <n v="0.40181117412966499"/>
    <x v="0"/>
    <n v="1025.8399999999999"/>
  </r>
  <r>
    <d v="2022-02-28T00:00:00"/>
    <x v="2"/>
    <x v="0"/>
    <x v="3"/>
    <n v="1032.32"/>
    <n v="874.31"/>
    <n v="1"/>
    <n v="1032.32"/>
    <n v="874.31"/>
    <n v="158.01"/>
    <n v="0.15306300371977682"/>
    <x v="20"/>
    <n v="158.01"/>
  </r>
  <r>
    <d v="2022-10-16T00:00:00"/>
    <x v="2"/>
    <x v="0"/>
    <x v="1"/>
    <n v="1872.86"/>
    <n v="1173.1300000000001"/>
    <n v="5"/>
    <n v="9364.2999999999993"/>
    <n v="5865.6500000000005"/>
    <n v="3498.6499999999987"/>
    <n v="0.37361575344660031"/>
    <x v="25"/>
    <n v="3498.6499999999987"/>
  </r>
  <r>
    <d v="2024-05-30T00:00:00"/>
    <x v="1"/>
    <x v="1"/>
    <x v="2"/>
    <n v="1124"/>
    <n v="817.62"/>
    <n v="2"/>
    <n v="2248"/>
    <n v="1635.24"/>
    <n v="612.76"/>
    <n v="0.27258007117437721"/>
    <x v="3"/>
    <n v="612.76"/>
  </r>
  <r>
    <d v="2024-11-10T00:00:00"/>
    <x v="4"/>
    <x v="2"/>
    <x v="2"/>
    <n v="514.98"/>
    <n v="412.86"/>
    <n v="2"/>
    <n v="1029.96"/>
    <n v="825.72"/>
    <n v="204.24"/>
    <n v="0.19829896306652686"/>
    <x v="2"/>
    <n v="204.24"/>
  </r>
  <r>
    <d v="2023-06-19T00:00:00"/>
    <x v="1"/>
    <x v="1"/>
    <x v="0"/>
    <n v="209.45"/>
    <n v="106.58"/>
    <n v="10"/>
    <n v="2094.5"/>
    <n v="1065.8"/>
    <n v="1028.7"/>
    <n v="0.49114347099546435"/>
    <x v="0"/>
    <n v="1028.7"/>
  </r>
  <r>
    <d v="2023-05-07T00:00:00"/>
    <x v="1"/>
    <x v="1"/>
    <x v="3"/>
    <n v="1627.86"/>
    <n v="1391.09"/>
    <n v="8"/>
    <n v="13022.88"/>
    <n v="11128.72"/>
    <n v="1894.1599999999999"/>
    <n v="0.14544862580320175"/>
    <x v="31"/>
    <n v="1894.1599999999999"/>
  </r>
  <r>
    <d v="2024-12-28T00:00:00"/>
    <x v="4"/>
    <x v="2"/>
    <x v="3"/>
    <n v="969.09"/>
    <n v="595.94000000000005"/>
    <n v="2"/>
    <n v="1938.18"/>
    <n v="1191.8800000000001"/>
    <n v="746.3"/>
    <n v="0.38505195595868286"/>
    <x v="23"/>
    <n v="746.3"/>
  </r>
  <r>
    <d v="2022-07-24T00:00:00"/>
    <x v="10"/>
    <x v="2"/>
    <x v="1"/>
    <n v="530.32000000000005"/>
    <n v="468.94"/>
    <n v="8"/>
    <n v="4242.5600000000004"/>
    <n v="3751.52"/>
    <n v="491.04000000000042"/>
    <n v="0.11574143913109075"/>
    <x v="8"/>
    <n v="491.04000000000042"/>
  </r>
  <r>
    <d v="2023-05-28T00:00:00"/>
    <x v="8"/>
    <x v="1"/>
    <x v="2"/>
    <n v="869.13"/>
    <n v="775.91"/>
    <n v="2"/>
    <n v="1738.26"/>
    <n v="1551.82"/>
    <n v="186.44000000000005"/>
    <n v="0.10725668196932568"/>
    <x v="31"/>
    <n v="186.44000000000005"/>
  </r>
  <r>
    <d v="2023-10-21T00:00:00"/>
    <x v="6"/>
    <x v="3"/>
    <x v="3"/>
    <n v="1535.71"/>
    <n v="940.47"/>
    <n v="7"/>
    <n v="10749.970000000001"/>
    <n v="6583.29"/>
    <n v="4166.6800000000012"/>
    <n v="0.38759922120712903"/>
    <x v="5"/>
    <n v="4166.6800000000012"/>
  </r>
  <r>
    <d v="2024-08-04T00:00:00"/>
    <x v="6"/>
    <x v="3"/>
    <x v="1"/>
    <n v="1542.32"/>
    <n v="1059.51"/>
    <n v="9"/>
    <n v="13880.88"/>
    <n v="9535.59"/>
    <n v="4345.2899999999991"/>
    <n v="0.31304139218839144"/>
    <x v="21"/>
    <n v="4345.2899999999991"/>
  </r>
  <r>
    <d v="2022-05-08T00:00:00"/>
    <x v="10"/>
    <x v="2"/>
    <x v="0"/>
    <n v="143.66"/>
    <n v="128.86000000000001"/>
    <n v="3"/>
    <n v="430.98"/>
    <n v="386.58000000000004"/>
    <n v="44.399999999999977"/>
    <n v="0.10302102185716269"/>
    <x v="35"/>
    <n v="44.399999999999977"/>
  </r>
  <r>
    <d v="2023-08-01T00:00:00"/>
    <x v="10"/>
    <x v="2"/>
    <x v="1"/>
    <n v="1187.04"/>
    <n v="921.67"/>
    <n v="2"/>
    <n v="2374.08"/>
    <n v="1843.34"/>
    <n v="530.74"/>
    <n v="0.22355607224693355"/>
    <x v="14"/>
    <n v="530.74"/>
  </r>
  <r>
    <d v="2024-01-01T00:00:00"/>
    <x v="10"/>
    <x v="2"/>
    <x v="0"/>
    <n v="605.57000000000005"/>
    <n v="445.33"/>
    <n v="2"/>
    <n v="1211.1400000000001"/>
    <n v="890.66"/>
    <n v="320.48000000000013"/>
    <n v="0.2646102019584855"/>
    <x v="26"/>
    <n v="320.48000000000013"/>
  </r>
  <r>
    <d v="2023-02-19T00:00:00"/>
    <x v="7"/>
    <x v="0"/>
    <x v="2"/>
    <n v="300.22000000000003"/>
    <n v="238.42"/>
    <n v="7"/>
    <n v="2101.54"/>
    <n v="1668.9399999999998"/>
    <n v="432.60000000000014"/>
    <n v="0.20584904403437487"/>
    <x v="27"/>
    <n v="432.60000000000014"/>
  </r>
  <r>
    <d v="2024-07-23T00:00:00"/>
    <x v="2"/>
    <x v="0"/>
    <x v="3"/>
    <n v="1198.33"/>
    <n v="734.6"/>
    <n v="9"/>
    <n v="10784.97"/>
    <n v="6611.4000000000005"/>
    <n v="4173.5699999999988"/>
    <n v="0.38698021413133266"/>
    <x v="28"/>
    <n v="4173.5699999999988"/>
  </r>
  <r>
    <d v="2024-05-14T00:00:00"/>
    <x v="0"/>
    <x v="0"/>
    <x v="1"/>
    <n v="106.14"/>
    <n v="77.03"/>
    <n v="7"/>
    <n v="742.98"/>
    <n v="539.21"/>
    <n v="203.76999999999998"/>
    <n v="0.27426041077821744"/>
    <x v="3"/>
    <n v="203.76999999999998"/>
  </r>
  <r>
    <d v="2024-04-27T00:00:00"/>
    <x v="5"/>
    <x v="3"/>
    <x v="2"/>
    <n v="1025.8800000000001"/>
    <n v="582.61"/>
    <n v="10"/>
    <n v="10258.800000000001"/>
    <n v="5826.1"/>
    <n v="4432.7000000000007"/>
    <n v="0.43208757359535233"/>
    <x v="22"/>
    <n v="4432.7000000000007"/>
  </r>
  <r>
    <d v="2024-11-28T00:00:00"/>
    <x v="7"/>
    <x v="0"/>
    <x v="3"/>
    <n v="1637.9"/>
    <n v="1232.8399999999999"/>
    <n v="8"/>
    <n v="13103.2"/>
    <n v="9862.7199999999993"/>
    <n v="3240.4800000000014"/>
    <n v="0.24730447524268889"/>
    <x v="2"/>
    <n v="3240.4800000000014"/>
  </r>
  <r>
    <d v="2022-12-23T00:00:00"/>
    <x v="7"/>
    <x v="0"/>
    <x v="1"/>
    <n v="690.4"/>
    <n v="534.08000000000004"/>
    <n v="5"/>
    <n v="3452"/>
    <n v="2670.4"/>
    <n v="781.59999999999991"/>
    <n v="0.22641946697566626"/>
    <x v="33"/>
    <n v="781.59999999999991"/>
  </r>
  <r>
    <d v="2024-08-08T00:00:00"/>
    <x v="4"/>
    <x v="2"/>
    <x v="0"/>
    <n v="514"/>
    <n v="361.46"/>
    <n v="9"/>
    <n v="4626"/>
    <n v="3253.14"/>
    <n v="1372.8600000000001"/>
    <n v="0.29677042801556425"/>
    <x v="21"/>
    <n v="1372.8600000000001"/>
  </r>
  <r>
    <d v="2023-02-01T00:00:00"/>
    <x v="3"/>
    <x v="2"/>
    <x v="0"/>
    <n v="900.92"/>
    <n v="545.16999999999996"/>
    <n v="2"/>
    <n v="1801.84"/>
    <n v="1090.3399999999999"/>
    <n v="711.5"/>
    <n v="0.39487412866847227"/>
    <x v="27"/>
    <n v="711.5"/>
  </r>
  <r>
    <d v="2022-08-31T00:00:00"/>
    <x v="4"/>
    <x v="2"/>
    <x v="3"/>
    <n v="878.85"/>
    <n v="588.26"/>
    <n v="3"/>
    <n v="2636.55"/>
    <n v="1764.78"/>
    <n v="871.77000000000021"/>
    <n v="0.3306480059168232"/>
    <x v="15"/>
    <n v="871.77000000000021"/>
  </r>
  <r>
    <d v="2024-08-28T00:00:00"/>
    <x v="3"/>
    <x v="2"/>
    <x v="1"/>
    <n v="1528.01"/>
    <n v="1230.77"/>
    <n v="4"/>
    <n v="6112.04"/>
    <n v="4923.08"/>
    <n v="1188.96"/>
    <n v="0.19452752272563661"/>
    <x v="21"/>
    <n v="1188.96"/>
  </r>
  <r>
    <d v="2023-05-03T00:00:00"/>
    <x v="9"/>
    <x v="3"/>
    <x v="3"/>
    <n v="772.76"/>
    <n v="406.56"/>
    <n v="2"/>
    <n v="1545.52"/>
    <n v="813.12"/>
    <n v="732.4"/>
    <n v="0.4738858118950256"/>
    <x v="31"/>
    <n v="732.4"/>
  </r>
  <r>
    <d v="2024-12-28T00:00:00"/>
    <x v="7"/>
    <x v="0"/>
    <x v="1"/>
    <n v="1691.08"/>
    <n v="1405.62"/>
    <n v="10"/>
    <n v="16910.8"/>
    <n v="14056.199999999999"/>
    <n v="2854.6000000000004"/>
    <n v="0.16880336826170261"/>
    <x v="23"/>
    <n v="2854.6000000000004"/>
  </r>
  <r>
    <d v="2023-03-25T00:00:00"/>
    <x v="5"/>
    <x v="3"/>
    <x v="1"/>
    <n v="393.99"/>
    <n v="288.98"/>
    <n v="8"/>
    <n v="3151.92"/>
    <n v="2311.84"/>
    <n v="840.07999999999993"/>
    <n v="0.26652960735044035"/>
    <x v="19"/>
    <n v="840.07999999999993"/>
  </r>
  <r>
    <d v="2024-12-06T00:00:00"/>
    <x v="9"/>
    <x v="3"/>
    <x v="3"/>
    <n v="792.67"/>
    <n v="600.21"/>
    <n v="8"/>
    <n v="6341.36"/>
    <n v="4801.68"/>
    <n v="1539.6799999999994"/>
    <n v="0.24279965180970636"/>
    <x v="23"/>
    <n v="1539.6799999999994"/>
  </r>
  <r>
    <d v="2023-03-28T00:00:00"/>
    <x v="0"/>
    <x v="0"/>
    <x v="2"/>
    <n v="668.52"/>
    <n v="360.37"/>
    <n v="4"/>
    <n v="2674.08"/>
    <n v="1441.48"/>
    <n v="1232.5999999999999"/>
    <n v="0.46094357685633935"/>
    <x v="19"/>
    <n v="1232.5999999999999"/>
  </r>
  <r>
    <d v="2023-11-04T00:00:00"/>
    <x v="10"/>
    <x v="2"/>
    <x v="2"/>
    <n v="566.20000000000005"/>
    <n v="437.17"/>
    <n v="1"/>
    <n v="566.20000000000005"/>
    <n v="437.17"/>
    <n v="129.03000000000003"/>
    <n v="0.22788767220063585"/>
    <x v="10"/>
    <n v="129.03000000000003"/>
  </r>
  <r>
    <d v="2022-03-29T00:00:00"/>
    <x v="6"/>
    <x v="3"/>
    <x v="2"/>
    <n v="587.54999999999995"/>
    <n v="449.85"/>
    <n v="6"/>
    <n v="3525.2999999999997"/>
    <n v="2699.1000000000004"/>
    <n v="826.19999999999936"/>
    <n v="0.23436303293336722"/>
    <x v="7"/>
    <n v="826.19999999999936"/>
  </r>
  <r>
    <d v="2022-09-07T00:00:00"/>
    <x v="5"/>
    <x v="3"/>
    <x v="0"/>
    <n v="1511.17"/>
    <n v="1279.58"/>
    <n v="7"/>
    <n v="10578.19"/>
    <n v="8957.06"/>
    <n v="1621.130000000001"/>
    <n v="0.15325211591018889"/>
    <x v="12"/>
    <n v="1621.130000000001"/>
  </r>
  <r>
    <d v="2023-06-19T00:00:00"/>
    <x v="1"/>
    <x v="1"/>
    <x v="1"/>
    <n v="1439.62"/>
    <n v="878.69"/>
    <n v="3"/>
    <n v="4318.8599999999997"/>
    <n v="2636.07"/>
    <n v="1682.7899999999995"/>
    <n v="0.38963754324057731"/>
    <x v="0"/>
    <n v="1682.7899999999995"/>
  </r>
  <r>
    <d v="2023-07-28T00:00:00"/>
    <x v="3"/>
    <x v="2"/>
    <x v="2"/>
    <n v="1939.42"/>
    <n v="1396.01"/>
    <n v="5"/>
    <n v="9697.1"/>
    <n v="6980.05"/>
    <n v="2717.05"/>
    <n v="0.28019201616978273"/>
    <x v="11"/>
    <n v="2717.05"/>
  </r>
  <r>
    <d v="2023-04-08T00:00:00"/>
    <x v="3"/>
    <x v="2"/>
    <x v="2"/>
    <n v="1464.09"/>
    <n v="1157.29"/>
    <n v="8"/>
    <n v="11712.72"/>
    <n v="9258.32"/>
    <n v="2454.3999999999996"/>
    <n v="0.20954995936042181"/>
    <x v="6"/>
    <n v="2454.3999999999996"/>
  </r>
  <r>
    <d v="2023-02-26T00:00:00"/>
    <x v="7"/>
    <x v="0"/>
    <x v="0"/>
    <n v="158.72"/>
    <n v="133.03"/>
    <n v="7"/>
    <n v="1111.04"/>
    <n v="931.21"/>
    <n v="179.82999999999993"/>
    <n v="0.16185735887096769"/>
    <x v="27"/>
    <n v="179.82999999999993"/>
  </r>
  <r>
    <d v="2024-01-27T00:00:00"/>
    <x v="1"/>
    <x v="1"/>
    <x v="2"/>
    <n v="1525.13"/>
    <n v="989.68"/>
    <n v="9"/>
    <n v="13726.170000000002"/>
    <n v="8907.119999999999"/>
    <n v="4819.0500000000029"/>
    <n v="0.35108482555585441"/>
    <x v="26"/>
    <n v="4819.0500000000029"/>
  </r>
  <r>
    <d v="2023-08-09T00:00:00"/>
    <x v="5"/>
    <x v="3"/>
    <x v="3"/>
    <n v="641.1"/>
    <n v="536.84"/>
    <n v="9"/>
    <n v="5769.9000000000005"/>
    <n v="4831.5600000000004"/>
    <n v="938.34000000000015"/>
    <n v="0.16262673529870536"/>
    <x v="14"/>
    <n v="938.34000000000015"/>
  </r>
  <r>
    <d v="2023-02-15T00:00:00"/>
    <x v="4"/>
    <x v="2"/>
    <x v="1"/>
    <n v="1734.26"/>
    <n v="958.67"/>
    <n v="1"/>
    <n v="1734.26"/>
    <n v="958.67"/>
    <n v="775.59"/>
    <n v="0.44721668031321721"/>
    <x v="27"/>
    <n v="775.59"/>
  </r>
  <r>
    <d v="2022-06-10T00:00:00"/>
    <x v="1"/>
    <x v="1"/>
    <x v="3"/>
    <n v="148.26"/>
    <n v="131.78"/>
    <n v="2"/>
    <n v="296.52"/>
    <n v="263.56"/>
    <n v="32.95999999999998"/>
    <n v="0.11115607716174282"/>
    <x v="18"/>
    <n v="32.95999999999998"/>
  </r>
  <r>
    <d v="2024-09-24T00:00:00"/>
    <x v="0"/>
    <x v="0"/>
    <x v="3"/>
    <n v="1109.52"/>
    <n v="640.91"/>
    <n v="3"/>
    <n v="3328.56"/>
    <n v="1922.73"/>
    <n v="1405.83"/>
    <n v="0.42235381065686062"/>
    <x v="16"/>
    <n v="1405.83"/>
  </r>
  <r>
    <d v="2023-02-25T00:00:00"/>
    <x v="3"/>
    <x v="2"/>
    <x v="3"/>
    <n v="240.5"/>
    <n v="181.17"/>
    <n v="1"/>
    <n v="240.5"/>
    <n v="181.17"/>
    <n v="59.330000000000013"/>
    <n v="0.24669438669438676"/>
    <x v="27"/>
    <n v="59.330000000000013"/>
  </r>
  <r>
    <d v="2023-06-07T00:00:00"/>
    <x v="0"/>
    <x v="0"/>
    <x v="3"/>
    <n v="704.33"/>
    <n v="616.16"/>
    <n v="10"/>
    <n v="7043.3"/>
    <n v="6161.5999999999995"/>
    <n v="881.70000000000073"/>
    <n v="0.12518279783624164"/>
    <x v="0"/>
    <n v="881.70000000000073"/>
  </r>
  <r>
    <d v="2024-04-08T00:00:00"/>
    <x v="2"/>
    <x v="0"/>
    <x v="1"/>
    <n v="1965.63"/>
    <n v="1296.8399999999999"/>
    <n v="4"/>
    <n v="7862.52"/>
    <n v="5187.3599999999997"/>
    <n v="2675.1600000000008"/>
    <n v="0.34024205979762223"/>
    <x v="22"/>
    <n v="2675.1600000000008"/>
  </r>
  <r>
    <d v="2024-03-10T00:00:00"/>
    <x v="7"/>
    <x v="0"/>
    <x v="3"/>
    <n v="1908.93"/>
    <n v="1092.25"/>
    <n v="9"/>
    <n v="17180.37"/>
    <n v="9830.25"/>
    <n v="7350.119999999999"/>
    <n v="0.42782082108825359"/>
    <x v="29"/>
    <n v="7350.119999999999"/>
  </r>
  <r>
    <d v="2023-12-22T00:00:00"/>
    <x v="8"/>
    <x v="1"/>
    <x v="2"/>
    <n v="673.65"/>
    <n v="445.36"/>
    <n v="9"/>
    <n v="6062.8499999999995"/>
    <n v="4008.2400000000002"/>
    <n v="2054.6099999999992"/>
    <n v="0.3388851777629332"/>
    <x v="30"/>
    <n v="2054.6099999999992"/>
  </r>
  <r>
    <d v="2022-02-04T00:00:00"/>
    <x v="8"/>
    <x v="1"/>
    <x v="1"/>
    <n v="1296.74"/>
    <n v="749.57"/>
    <n v="1"/>
    <n v="1296.74"/>
    <n v="749.57"/>
    <n v="547.16999999999996"/>
    <n v="0.42195814118481728"/>
    <x v="20"/>
    <n v="547.16999999999996"/>
  </r>
  <r>
    <d v="2022-07-02T00:00:00"/>
    <x v="1"/>
    <x v="1"/>
    <x v="1"/>
    <n v="694.58"/>
    <n v="402.08"/>
    <n v="9"/>
    <n v="6251.22"/>
    <n v="3618.72"/>
    <n v="2632.5000000000005"/>
    <n v="0.42111779780586833"/>
    <x v="8"/>
    <n v="2632.5000000000005"/>
  </r>
  <r>
    <d v="2022-12-16T00:00:00"/>
    <x v="7"/>
    <x v="0"/>
    <x v="0"/>
    <n v="43.35"/>
    <n v="26.45"/>
    <n v="3"/>
    <n v="130.05000000000001"/>
    <n v="79.349999999999994"/>
    <n v="50.700000000000017"/>
    <n v="0.38985005767012698"/>
    <x v="33"/>
    <n v="50.700000000000017"/>
  </r>
  <r>
    <d v="2023-06-30T00:00:00"/>
    <x v="9"/>
    <x v="3"/>
    <x v="0"/>
    <n v="546.29"/>
    <n v="365.25"/>
    <n v="4"/>
    <n v="2185.16"/>
    <n v="1461"/>
    <n v="724.15999999999985"/>
    <n v="0.33139907375203642"/>
    <x v="0"/>
    <n v="724.15999999999985"/>
  </r>
  <r>
    <d v="2022-10-20T00:00:00"/>
    <x v="1"/>
    <x v="1"/>
    <x v="1"/>
    <n v="1008.73"/>
    <n v="574.03"/>
    <n v="9"/>
    <n v="9078.57"/>
    <n v="5166.2699999999995"/>
    <n v="3912.3"/>
    <n v="0.43093791202799564"/>
    <x v="25"/>
    <n v="3912.3"/>
  </r>
  <r>
    <d v="2024-02-22T00:00:00"/>
    <x v="8"/>
    <x v="1"/>
    <x v="0"/>
    <n v="1335.35"/>
    <n v="980.85"/>
    <n v="7"/>
    <n v="9347.4499999999989"/>
    <n v="6865.95"/>
    <n v="2481.4999999999991"/>
    <n v="0.26547347137454591"/>
    <x v="34"/>
    <n v="2481.4999999999991"/>
  </r>
  <r>
    <d v="2023-01-27T00:00:00"/>
    <x v="7"/>
    <x v="0"/>
    <x v="1"/>
    <n v="417.21"/>
    <n v="242.68"/>
    <n v="10"/>
    <n v="4172.0999999999995"/>
    <n v="2426.8000000000002"/>
    <n v="1745.2999999999993"/>
    <n v="0.41832650224107754"/>
    <x v="13"/>
    <n v="1745.2999999999993"/>
  </r>
  <r>
    <d v="2024-08-18T00:00:00"/>
    <x v="6"/>
    <x v="3"/>
    <x v="0"/>
    <n v="1367.02"/>
    <n v="780.83"/>
    <n v="5"/>
    <n v="6835.1"/>
    <n v="3904.15"/>
    <n v="2930.9500000000003"/>
    <n v="0.42880864947111236"/>
    <x v="21"/>
    <n v="2930.9500000000003"/>
  </r>
  <r>
    <d v="2022-10-19T00:00:00"/>
    <x v="8"/>
    <x v="1"/>
    <x v="2"/>
    <n v="1999.67"/>
    <n v="1647.64"/>
    <n v="2"/>
    <n v="3999.34"/>
    <n v="3295.28"/>
    <n v="704.06"/>
    <n v="0.17604404726779915"/>
    <x v="25"/>
    <n v="704.06"/>
  </r>
  <r>
    <d v="2023-06-17T00:00:00"/>
    <x v="8"/>
    <x v="1"/>
    <x v="1"/>
    <n v="730.58"/>
    <n v="367.05"/>
    <n v="5"/>
    <n v="3652.9"/>
    <n v="1835.25"/>
    <n v="1817.65"/>
    <n v="0.49759095513153934"/>
    <x v="0"/>
    <n v="1817.65"/>
  </r>
  <r>
    <d v="2023-09-11T00:00:00"/>
    <x v="6"/>
    <x v="3"/>
    <x v="0"/>
    <n v="1175.2"/>
    <n v="623"/>
    <n v="6"/>
    <n v="7051.2000000000007"/>
    <n v="3738"/>
    <n v="3313.2000000000007"/>
    <n v="0.46987746766507832"/>
    <x v="24"/>
    <n v="3313.2000000000007"/>
  </r>
  <r>
    <d v="2023-08-21T00:00:00"/>
    <x v="7"/>
    <x v="0"/>
    <x v="0"/>
    <n v="393.69"/>
    <n v="280.72000000000003"/>
    <n v="3"/>
    <n v="1181.07"/>
    <n v="842.16000000000008"/>
    <n v="338.90999999999985"/>
    <n v="0.28695166247555171"/>
    <x v="14"/>
    <n v="338.90999999999985"/>
  </r>
  <r>
    <d v="2022-09-03T00:00:00"/>
    <x v="9"/>
    <x v="3"/>
    <x v="2"/>
    <n v="1141.51"/>
    <n v="735.05"/>
    <n v="10"/>
    <n v="11415.1"/>
    <n v="7350.5"/>
    <n v="4064.6000000000004"/>
    <n v="0.35607222012947765"/>
    <x v="12"/>
    <n v="4064.6000000000004"/>
  </r>
  <r>
    <d v="2022-03-17T00:00:00"/>
    <x v="4"/>
    <x v="2"/>
    <x v="1"/>
    <n v="1834.94"/>
    <n v="1082.29"/>
    <n v="5"/>
    <n v="9174.7000000000007"/>
    <n v="5411.45"/>
    <n v="3763.2500000000009"/>
    <n v="0.41017689951715047"/>
    <x v="7"/>
    <n v="3763.2500000000009"/>
  </r>
  <r>
    <d v="2024-05-27T00:00:00"/>
    <x v="7"/>
    <x v="0"/>
    <x v="3"/>
    <n v="31.51"/>
    <n v="28.35"/>
    <n v="7"/>
    <n v="220.57000000000002"/>
    <n v="198.45000000000002"/>
    <n v="22.120000000000005"/>
    <n v="0.1002856236115519"/>
    <x v="3"/>
    <n v="22.120000000000005"/>
  </r>
  <r>
    <d v="2024-01-15T00:00:00"/>
    <x v="0"/>
    <x v="0"/>
    <x v="0"/>
    <n v="1383.5"/>
    <n v="766.77"/>
    <n v="1"/>
    <n v="1383.5"/>
    <n v="766.77"/>
    <n v="616.73"/>
    <n v="0.44577520780628843"/>
    <x v="26"/>
    <n v="616.73"/>
  </r>
  <r>
    <d v="2024-02-05T00:00:00"/>
    <x v="9"/>
    <x v="3"/>
    <x v="2"/>
    <n v="373.63"/>
    <n v="304.39999999999998"/>
    <n v="10"/>
    <n v="3736.3"/>
    <n v="3044"/>
    <n v="692.30000000000018"/>
    <n v="0.18529026041806068"/>
    <x v="34"/>
    <n v="692.30000000000018"/>
  </r>
  <r>
    <d v="2023-09-14T00:00:00"/>
    <x v="0"/>
    <x v="0"/>
    <x v="0"/>
    <n v="610.92999999999995"/>
    <n v="366.93"/>
    <n v="10"/>
    <n v="6109.2999999999993"/>
    <n v="3669.3"/>
    <n v="2439.9999999999991"/>
    <n v="0.39939109226916331"/>
    <x v="24"/>
    <n v="2439.9999999999991"/>
  </r>
  <r>
    <d v="2024-03-01T00:00:00"/>
    <x v="4"/>
    <x v="2"/>
    <x v="0"/>
    <n v="595.88"/>
    <n v="486.43"/>
    <n v="6"/>
    <n v="3575.2799999999997"/>
    <n v="2918.58"/>
    <n v="656.69999999999982"/>
    <n v="0.18367792172920719"/>
    <x v="29"/>
    <n v="656.69999999999982"/>
  </r>
  <r>
    <d v="2023-03-15T00:00:00"/>
    <x v="0"/>
    <x v="0"/>
    <x v="1"/>
    <n v="1415.4"/>
    <n v="1190.54"/>
    <n v="1"/>
    <n v="1415.4"/>
    <n v="1190.54"/>
    <n v="224.86000000000013"/>
    <n v="0.15886675144835391"/>
    <x v="19"/>
    <n v="224.86000000000013"/>
  </r>
  <r>
    <d v="2022-12-11T00:00:00"/>
    <x v="9"/>
    <x v="3"/>
    <x v="2"/>
    <n v="1928.01"/>
    <n v="1480.33"/>
    <n v="9"/>
    <n v="17352.09"/>
    <n v="13322.97"/>
    <n v="4029.1200000000008"/>
    <n v="0.23219796577818586"/>
    <x v="33"/>
    <n v="4029.1200000000008"/>
  </r>
  <r>
    <d v="2022-07-27T00:00:00"/>
    <x v="7"/>
    <x v="0"/>
    <x v="2"/>
    <n v="699.35"/>
    <n v="363.34"/>
    <n v="9"/>
    <n v="6294.1500000000005"/>
    <n v="3270.06"/>
    <n v="3024.0900000000006"/>
    <n v="0.48046042753985851"/>
    <x v="8"/>
    <n v="3024.0900000000006"/>
  </r>
  <r>
    <d v="2022-01-15T00:00:00"/>
    <x v="0"/>
    <x v="0"/>
    <x v="2"/>
    <n v="1855.01"/>
    <n v="1449.01"/>
    <n v="9"/>
    <n v="16695.09"/>
    <n v="13041.09"/>
    <n v="3654"/>
    <n v="0.21886674465366762"/>
    <x v="9"/>
    <n v="3654"/>
  </r>
  <r>
    <d v="2023-01-05T00:00:00"/>
    <x v="5"/>
    <x v="3"/>
    <x v="2"/>
    <n v="166.15"/>
    <n v="107.16"/>
    <n v="5"/>
    <n v="830.75"/>
    <n v="535.79999999999995"/>
    <n v="294.95000000000005"/>
    <n v="0.35504062594041536"/>
    <x v="13"/>
    <n v="294.95000000000005"/>
  </r>
  <r>
    <d v="2023-03-23T00:00:00"/>
    <x v="3"/>
    <x v="2"/>
    <x v="1"/>
    <n v="1365.96"/>
    <n v="891.59"/>
    <n v="5"/>
    <n v="6829.8"/>
    <n v="4457.95"/>
    <n v="2371.8500000000004"/>
    <n v="0.34727956894784623"/>
    <x v="19"/>
    <n v="2371.8500000000004"/>
  </r>
  <r>
    <d v="2024-07-20T00:00:00"/>
    <x v="5"/>
    <x v="3"/>
    <x v="1"/>
    <n v="1582.86"/>
    <n v="947.26"/>
    <n v="2"/>
    <n v="3165.72"/>
    <n v="1894.52"/>
    <n v="1271.1999999999998"/>
    <n v="0.40155162174797515"/>
    <x v="28"/>
    <n v="1271.1999999999998"/>
  </r>
  <r>
    <d v="2023-12-14T00:00:00"/>
    <x v="10"/>
    <x v="2"/>
    <x v="3"/>
    <n v="350.74"/>
    <n v="292.39"/>
    <n v="8"/>
    <n v="2805.92"/>
    <n v="2339.12"/>
    <n v="466.80000000000018"/>
    <n v="0.16636254775617274"/>
    <x v="30"/>
    <n v="466.80000000000018"/>
  </r>
  <r>
    <d v="2024-10-16T00:00:00"/>
    <x v="6"/>
    <x v="3"/>
    <x v="1"/>
    <n v="1578.28"/>
    <n v="793.29"/>
    <n v="4"/>
    <n v="6313.12"/>
    <n v="3173.16"/>
    <n v="3139.96"/>
    <n v="0.49737055528803509"/>
    <x v="17"/>
    <n v="3139.96"/>
  </r>
  <r>
    <d v="2023-07-24T00:00:00"/>
    <x v="5"/>
    <x v="3"/>
    <x v="2"/>
    <n v="1874.79"/>
    <n v="939.96"/>
    <n v="8"/>
    <n v="14998.32"/>
    <n v="7519.68"/>
    <n v="7478.6399999999994"/>
    <n v="0.49863184676683786"/>
    <x v="11"/>
    <n v="7478.6399999999994"/>
  </r>
  <r>
    <d v="2024-02-27T00:00:00"/>
    <x v="2"/>
    <x v="0"/>
    <x v="2"/>
    <n v="733.83"/>
    <n v="523.24"/>
    <n v="4"/>
    <n v="2935.32"/>
    <n v="2092.96"/>
    <n v="842.36000000000013"/>
    <n v="0.28697382227491386"/>
    <x v="34"/>
    <n v="842.36000000000013"/>
  </r>
  <r>
    <d v="2022-08-17T00:00:00"/>
    <x v="2"/>
    <x v="0"/>
    <x v="0"/>
    <n v="1207.54"/>
    <n v="797.45"/>
    <n v="2"/>
    <n v="2415.08"/>
    <n v="1594.9"/>
    <n v="820.17999999999984"/>
    <n v="0.33960779767129862"/>
    <x v="15"/>
    <n v="820.17999999999984"/>
  </r>
  <r>
    <d v="2022-02-11T00:00:00"/>
    <x v="0"/>
    <x v="0"/>
    <x v="3"/>
    <n v="1386.41"/>
    <n v="746.43"/>
    <n v="8"/>
    <n v="11091.28"/>
    <n v="5971.44"/>
    <n v="5119.8400000000011"/>
    <n v="0.46160948060097667"/>
    <x v="20"/>
    <n v="5119.8400000000011"/>
  </r>
  <r>
    <d v="2022-01-24T00:00:00"/>
    <x v="10"/>
    <x v="2"/>
    <x v="3"/>
    <n v="1550.72"/>
    <n v="994.66"/>
    <n v="4"/>
    <n v="6202.88"/>
    <n v="3978.64"/>
    <n v="2224.2400000000002"/>
    <n v="0.35858182005777967"/>
    <x v="9"/>
    <n v="2224.2400000000002"/>
  </r>
  <r>
    <d v="2022-03-13T00:00:00"/>
    <x v="10"/>
    <x v="2"/>
    <x v="0"/>
    <n v="1965.51"/>
    <n v="1088.8699999999999"/>
    <n v="5"/>
    <n v="9827.5499999999993"/>
    <n v="5444.3499999999995"/>
    <n v="4383.2"/>
    <n v="0.44601146776154793"/>
    <x v="7"/>
    <n v="4383.2"/>
  </r>
  <r>
    <d v="2022-09-29T00:00:00"/>
    <x v="3"/>
    <x v="2"/>
    <x v="1"/>
    <n v="304.12"/>
    <n v="267.55"/>
    <n v="8"/>
    <n v="2432.96"/>
    <n v="2140.4"/>
    <n v="292.55999999999995"/>
    <n v="0.12024858608444033"/>
    <x v="12"/>
    <n v="292.55999999999995"/>
  </r>
  <r>
    <d v="2024-06-26T00:00:00"/>
    <x v="1"/>
    <x v="1"/>
    <x v="1"/>
    <n v="1177.8599999999999"/>
    <n v="726.69"/>
    <n v="1"/>
    <n v="1177.8599999999999"/>
    <n v="726.69"/>
    <n v="451.16999999999985"/>
    <n v="0.38304212724772035"/>
    <x v="4"/>
    <n v="451.16999999999985"/>
  </r>
  <r>
    <d v="2022-03-10T00:00:00"/>
    <x v="8"/>
    <x v="1"/>
    <x v="3"/>
    <n v="1994.68"/>
    <n v="1616.44"/>
    <n v="2"/>
    <n v="3989.36"/>
    <n v="3232.88"/>
    <n v="756.48"/>
    <n v="0.18962440090641106"/>
    <x v="7"/>
    <n v="756.48"/>
  </r>
  <r>
    <d v="2024-12-16T00:00:00"/>
    <x v="8"/>
    <x v="1"/>
    <x v="2"/>
    <n v="1099.1600000000001"/>
    <n v="756.14"/>
    <n v="7"/>
    <n v="7694.1200000000008"/>
    <n v="5292.98"/>
    <n v="2401.1400000000012"/>
    <n v="0.31207467520652149"/>
    <x v="23"/>
    <n v="2401.1400000000012"/>
  </r>
  <r>
    <d v="2024-03-24T00:00:00"/>
    <x v="7"/>
    <x v="0"/>
    <x v="0"/>
    <n v="401.16"/>
    <n v="324.55"/>
    <n v="2"/>
    <n v="802.32"/>
    <n v="649.1"/>
    <n v="153.22000000000003"/>
    <n v="0.19097118356765383"/>
    <x v="29"/>
    <n v="153.22000000000003"/>
  </r>
  <r>
    <d v="2023-10-03T00:00:00"/>
    <x v="1"/>
    <x v="1"/>
    <x v="3"/>
    <n v="482.58"/>
    <n v="402.03"/>
    <n v="8"/>
    <n v="3860.64"/>
    <n v="3216.24"/>
    <n v="644.40000000000009"/>
    <n v="0.16691533010070872"/>
    <x v="5"/>
    <n v="644.40000000000009"/>
  </r>
  <r>
    <d v="2022-09-04T00:00:00"/>
    <x v="10"/>
    <x v="2"/>
    <x v="0"/>
    <n v="1223.9100000000001"/>
    <n v="960.26"/>
    <n v="10"/>
    <n v="12239.1"/>
    <n v="9602.6"/>
    <n v="2636.5"/>
    <n v="0.21541616622137247"/>
    <x v="12"/>
    <n v="2636.5"/>
  </r>
  <r>
    <d v="2022-05-25T00:00:00"/>
    <x v="2"/>
    <x v="0"/>
    <x v="0"/>
    <n v="1508.99"/>
    <n v="895.34"/>
    <n v="1"/>
    <n v="1508.99"/>
    <n v="895.34"/>
    <n v="613.65"/>
    <n v="0.40666273467683683"/>
    <x v="35"/>
    <n v="613.65"/>
  </r>
  <r>
    <d v="2022-04-30T00:00:00"/>
    <x v="9"/>
    <x v="3"/>
    <x v="3"/>
    <n v="266.33999999999997"/>
    <n v="160.16"/>
    <n v="6"/>
    <n v="1598.04"/>
    <n v="960.96"/>
    <n v="637.07999999999993"/>
    <n v="0.39866336261920848"/>
    <x v="32"/>
    <n v="637.07999999999993"/>
  </r>
  <r>
    <d v="2024-11-23T00:00:00"/>
    <x v="10"/>
    <x v="2"/>
    <x v="3"/>
    <n v="336.03"/>
    <n v="180.07"/>
    <n v="9"/>
    <n v="3024.2699999999995"/>
    <n v="1620.6299999999999"/>
    <n v="1403.6399999999996"/>
    <n v="0.46412522691426356"/>
    <x v="2"/>
    <n v="1403.6399999999996"/>
  </r>
  <r>
    <d v="2024-03-31T00:00:00"/>
    <x v="4"/>
    <x v="2"/>
    <x v="0"/>
    <n v="24.46"/>
    <n v="15.9"/>
    <n v="1"/>
    <n v="24.46"/>
    <n v="15.9"/>
    <n v="8.56"/>
    <n v="0.34995911692559284"/>
    <x v="29"/>
    <n v="8.56"/>
  </r>
  <r>
    <d v="2024-12-03T00:00:00"/>
    <x v="10"/>
    <x v="2"/>
    <x v="0"/>
    <n v="946.23"/>
    <n v="542.46"/>
    <n v="4"/>
    <n v="3784.92"/>
    <n v="2169.84"/>
    <n v="1615.08"/>
    <n v="0.42671443517960744"/>
    <x v="23"/>
    <n v="1615.08"/>
  </r>
  <r>
    <d v="2024-01-05T00:00:00"/>
    <x v="1"/>
    <x v="1"/>
    <x v="1"/>
    <n v="926.49"/>
    <n v="518.42999999999995"/>
    <n v="7"/>
    <n v="6485.43"/>
    <n v="3629.0099999999998"/>
    <n v="2856.4200000000005"/>
    <n v="0.44043648609267239"/>
    <x v="26"/>
    <n v="2856.4200000000005"/>
  </r>
  <r>
    <d v="2022-04-11T00:00:00"/>
    <x v="3"/>
    <x v="2"/>
    <x v="2"/>
    <n v="491.95"/>
    <n v="393.46"/>
    <n v="5"/>
    <n v="2459.75"/>
    <n v="1967.3"/>
    <n v="492.45000000000005"/>
    <n v="0.20020327269031407"/>
    <x v="32"/>
    <n v="492.45000000000005"/>
  </r>
  <r>
    <d v="2022-02-04T00:00:00"/>
    <x v="6"/>
    <x v="3"/>
    <x v="3"/>
    <n v="1749.09"/>
    <n v="954.14"/>
    <n v="3"/>
    <n v="5247.2699999999995"/>
    <n v="2862.42"/>
    <n v="2384.8499999999995"/>
    <n v="0.45449347946646534"/>
    <x v="20"/>
    <n v="2384.8499999999995"/>
  </r>
  <r>
    <d v="2023-07-12T00:00:00"/>
    <x v="3"/>
    <x v="2"/>
    <x v="2"/>
    <n v="688.14"/>
    <n v="540.64"/>
    <n v="2"/>
    <n v="1376.28"/>
    <n v="1081.28"/>
    <n v="295"/>
    <n v="0.21434591798180602"/>
    <x v="11"/>
    <n v="295"/>
  </r>
  <r>
    <d v="2023-02-01T00:00:00"/>
    <x v="6"/>
    <x v="3"/>
    <x v="2"/>
    <n v="1333.17"/>
    <n v="976.95"/>
    <n v="2"/>
    <n v="2666.34"/>
    <n v="1953.9"/>
    <n v="712.44"/>
    <n v="0.26719773172213596"/>
    <x v="27"/>
    <n v="712.44"/>
  </r>
  <r>
    <d v="2024-01-13T00:00:00"/>
    <x v="1"/>
    <x v="1"/>
    <x v="3"/>
    <n v="1823.72"/>
    <n v="1151.83"/>
    <n v="4"/>
    <n v="7294.88"/>
    <n v="4607.32"/>
    <n v="2687.5600000000004"/>
    <n v="0.36841730090145419"/>
    <x v="26"/>
    <n v="2687.5600000000004"/>
  </r>
  <r>
    <d v="2024-12-18T00:00:00"/>
    <x v="4"/>
    <x v="2"/>
    <x v="2"/>
    <n v="991.44"/>
    <n v="530.16"/>
    <n v="7"/>
    <n v="6940.08"/>
    <n v="3711.12"/>
    <n v="3228.96"/>
    <n v="0.46526264826918423"/>
    <x v="23"/>
    <n v="3228.96"/>
  </r>
  <r>
    <d v="2023-04-03T00:00:00"/>
    <x v="9"/>
    <x v="3"/>
    <x v="1"/>
    <n v="1795.01"/>
    <n v="1004.49"/>
    <n v="10"/>
    <n v="17950.099999999999"/>
    <n v="10044.9"/>
    <n v="7905.1999999999989"/>
    <n v="0.44039866073169504"/>
    <x v="6"/>
    <n v="7905.1999999999989"/>
  </r>
  <r>
    <d v="2022-07-10T00:00:00"/>
    <x v="1"/>
    <x v="1"/>
    <x v="3"/>
    <n v="1377.45"/>
    <n v="934.45"/>
    <n v="10"/>
    <n v="13774.5"/>
    <n v="9344.5"/>
    <n v="4430"/>
    <n v="0.32160876982830594"/>
    <x v="8"/>
    <n v="4430"/>
  </r>
  <r>
    <d v="2024-12-08T00:00:00"/>
    <x v="4"/>
    <x v="2"/>
    <x v="3"/>
    <n v="902.54"/>
    <n v="775.43"/>
    <n v="9"/>
    <n v="8122.86"/>
    <n v="6978.87"/>
    <n v="1143.9899999999998"/>
    <n v="0.14083586323043851"/>
    <x v="23"/>
    <n v="1143.9899999999998"/>
  </r>
  <r>
    <d v="2023-10-01T00:00:00"/>
    <x v="1"/>
    <x v="1"/>
    <x v="0"/>
    <n v="129.05000000000001"/>
    <n v="81.55"/>
    <n v="5"/>
    <n v="645.25"/>
    <n v="407.75"/>
    <n v="237.5"/>
    <n v="0.36807438977140644"/>
    <x v="5"/>
    <n v="237.5"/>
  </r>
  <r>
    <d v="2023-08-08T00:00:00"/>
    <x v="6"/>
    <x v="3"/>
    <x v="1"/>
    <n v="773.09"/>
    <n v="671.43"/>
    <n v="10"/>
    <n v="7730.9000000000005"/>
    <n v="6714.2999999999993"/>
    <n v="1016.6000000000013"/>
    <n v="0.13149827316353868"/>
    <x v="14"/>
    <n v="1016.6000000000013"/>
  </r>
  <r>
    <d v="2022-09-18T00:00:00"/>
    <x v="1"/>
    <x v="1"/>
    <x v="2"/>
    <n v="867.3"/>
    <n v="602.72"/>
    <n v="8"/>
    <n v="6938.4"/>
    <n v="4821.76"/>
    <n v="2116.6399999999994"/>
    <n v="0.30506168569122555"/>
    <x v="12"/>
    <n v="2116.6399999999994"/>
  </r>
  <r>
    <d v="2024-01-08T00:00:00"/>
    <x v="10"/>
    <x v="2"/>
    <x v="0"/>
    <n v="455.27"/>
    <n v="350.54"/>
    <n v="9"/>
    <n v="4097.43"/>
    <n v="3154.86"/>
    <n v="942.57000000000016"/>
    <n v="0.23003931732817889"/>
    <x v="26"/>
    <n v="942.57000000000016"/>
  </r>
  <r>
    <d v="2022-09-20T00:00:00"/>
    <x v="10"/>
    <x v="2"/>
    <x v="3"/>
    <n v="1711.86"/>
    <n v="1378.88"/>
    <n v="2"/>
    <n v="3423.72"/>
    <n v="2757.76"/>
    <n v="665.95999999999958"/>
    <n v="0.19451357003493266"/>
    <x v="12"/>
    <n v="665.95999999999958"/>
  </r>
  <r>
    <d v="2024-12-20T00:00:00"/>
    <x v="9"/>
    <x v="3"/>
    <x v="2"/>
    <n v="523.17999999999995"/>
    <n v="307.19"/>
    <n v="8"/>
    <n v="4185.4399999999996"/>
    <n v="2457.52"/>
    <n v="1727.9199999999996"/>
    <n v="0.41284070491991282"/>
    <x v="23"/>
    <n v="1727.9199999999996"/>
  </r>
  <r>
    <d v="2022-08-24T00:00:00"/>
    <x v="3"/>
    <x v="2"/>
    <x v="0"/>
    <n v="919.72"/>
    <n v="787.05"/>
    <n v="2"/>
    <n v="1839.44"/>
    <n v="1574.1"/>
    <n v="265.34000000000015"/>
    <n v="0.14425042404209984"/>
    <x v="15"/>
    <n v="265.34000000000015"/>
  </r>
  <r>
    <d v="2024-02-09T00:00:00"/>
    <x v="2"/>
    <x v="0"/>
    <x v="3"/>
    <n v="777.64"/>
    <n v="697.98"/>
    <n v="6"/>
    <n v="4665.84"/>
    <n v="4187.88"/>
    <n v="477.96000000000004"/>
    <n v="0.10243814618589579"/>
    <x v="34"/>
    <n v="477.96000000000004"/>
  </r>
  <r>
    <d v="2024-09-08T00:00:00"/>
    <x v="8"/>
    <x v="1"/>
    <x v="1"/>
    <n v="1955.35"/>
    <n v="1138.71"/>
    <n v="6"/>
    <n v="11732.099999999999"/>
    <n v="6832.26"/>
    <n v="4899.8399999999983"/>
    <n v="0.41764390006904123"/>
    <x v="16"/>
    <n v="4899.8399999999983"/>
  </r>
  <r>
    <d v="2022-05-24T00:00:00"/>
    <x v="10"/>
    <x v="2"/>
    <x v="1"/>
    <n v="1959.78"/>
    <n v="1017.1"/>
    <n v="6"/>
    <n v="11758.68"/>
    <n v="6102.6"/>
    <n v="5656.08"/>
    <n v="0.48101317494820844"/>
    <x v="35"/>
    <n v="5656.08"/>
  </r>
  <r>
    <d v="2022-03-03T00:00:00"/>
    <x v="5"/>
    <x v="3"/>
    <x v="2"/>
    <n v="1767.23"/>
    <n v="1052.8599999999999"/>
    <n v="2"/>
    <n v="3534.46"/>
    <n v="2105.7199999999998"/>
    <n v="1428.7400000000002"/>
    <n v="0.40423148090514538"/>
    <x v="7"/>
    <n v="1428.7400000000002"/>
  </r>
  <r>
    <d v="2023-11-16T00:00:00"/>
    <x v="2"/>
    <x v="0"/>
    <x v="1"/>
    <n v="896.5"/>
    <n v="724.4"/>
    <n v="1"/>
    <n v="896.5"/>
    <n v="724.4"/>
    <n v="172.10000000000002"/>
    <n v="0.19196876742889016"/>
    <x v="10"/>
    <n v="172.10000000000002"/>
  </r>
  <r>
    <d v="2023-08-12T00:00:00"/>
    <x v="6"/>
    <x v="3"/>
    <x v="2"/>
    <n v="1520.92"/>
    <n v="1246.3"/>
    <n v="8"/>
    <n v="12167.36"/>
    <n v="9970.4"/>
    <n v="2196.9600000000009"/>
    <n v="0.18056176524735035"/>
    <x v="14"/>
    <n v="2196.9600000000009"/>
  </r>
  <r>
    <d v="2024-06-13T00:00:00"/>
    <x v="8"/>
    <x v="1"/>
    <x v="2"/>
    <n v="266.85000000000002"/>
    <n v="133.61000000000001"/>
    <n v="6"/>
    <n v="1601.1000000000001"/>
    <n v="801.66000000000008"/>
    <n v="799.44"/>
    <n v="0.49930672662544501"/>
    <x v="4"/>
    <n v="799.44"/>
  </r>
  <r>
    <d v="2024-01-12T00:00:00"/>
    <x v="10"/>
    <x v="2"/>
    <x v="3"/>
    <n v="1315.88"/>
    <n v="664.9"/>
    <n v="4"/>
    <n v="5263.52"/>
    <n v="2659.6"/>
    <n v="2603.9200000000005"/>
    <n v="0.4947107638994438"/>
    <x v="26"/>
    <n v="2603.9200000000005"/>
  </r>
  <r>
    <d v="2022-08-25T00:00:00"/>
    <x v="6"/>
    <x v="3"/>
    <x v="3"/>
    <n v="238.74"/>
    <n v="163.86"/>
    <n v="9"/>
    <n v="2148.66"/>
    <n v="1474.7400000000002"/>
    <n v="673.91999999999962"/>
    <n v="0.31364664488564953"/>
    <x v="15"/>
    <n v="673.91999999999962"/>
  </r>
  <r>
    <d v="2022-07-24T00:00:00"/>
    <x v="8"/>
    <x v="1"/>
    <x v="0"/>
    <n v="1976.33"/>
    <n v="1690.17"/>
    <n v="7"/>
    <n v="13834.31"/>
    <n v="11831.19"/>
    <n v="2003.119999999999"/>
    <n v="0.14479363264232181"/>
    <x v="8"/>
    <n v="2003.119999999999"/>
  </r>
  <r>
    <d v="2022-08-17T00:00:00"/>
    <x v="6"/>
    <x v="3"/>
    <x v="2"/>
    <n v="1309.8499999999999"/>
    <n v="967.49"/>
    <n v="2"/>
    <n v="2619.6999999999998"/>
    <n v="1934.98"/>
    <n v="684.7199999999998"/>
    <n v="0.26137343970683663"/>
    <x v="15"/>
    <n v="684.7199999999998"/>
  </r>
  <r>
    <d v="2023-01-20T00:00:00"/>
    <x v="9"/>
    <x v="3"/>
    <x v="0"/>
    <n v="869.01"/>
    <n v="525"/>
    <n v="5"/>
    <n v="4345.05"/>
    <n v="2625"/>
    <n v="1720.0500000000002"/>
    <n v="0.39586425932958197"/>
    <x v="13"/>
    <n v="1720.0500000000002"/>
  </r>
  <r>
    <d v="2022-03-02T00:00:00"/>
    <x v="9"/>
    <x v="3"/>
    <x v="3"/>
    <n v="578.70000000000005"/>
    <n v="397.26"/>
    <n v="3"/>
    <n v="1736.1000000000001"/>
    <n v="1191.78"/>
    <n v="544.32000000000016"/>
    <n v="0.31353032659409025"/>
    <x v="7"/>
    <n v="544.32000000000016"/>
  </r>
  <r>
    <d v="2022-01-14T00:00:00"/>
    <x v="6"/>
    <x v="3"/>
    <x v="2"/>
    <n v="1407.34"/>
    <n v="1233.74"/>
    <n v="3"/>
    <n v="4222.0199999999995"/>
    <n v="3701.2200000000003"/>
    <n v="520.79999999999927"/>
    <n v="0.12335327639376396"/>
    <x v="9"/>
    <n v="520.79999999999927"/>
  </r>
  <r>
    <d v="2023-06-13T00:00:00"/>
    <x v="9"/>
    <x v="3"/>
    <x v="0"/>
    <n v="202.06"/>
    <n v="139.31"/>
    <n v="10"/>
    <n v="2020.6"/>
    <n v="1393.1"/>
    <n v="627.5"/>
    <n v="0.31055132138968622"/>
    <x v="0"/>
    <n v="627.5"/>
  </r>
  <r>
    <d v="2023-12-06T00:00:00"/>
    <x v="10"/>
    <x v="2"/>
    <x v="1"/>
    <n v="976.38"/>
    <n v="488.66"/>
    <n v="10"/>
    <n v="9763.7999999999993"/>
    <n v="4886.6000000000004"/>
    <n v="4877.1999999999989"/>
    <n v="0.49951863004158209"/>
    <x v="30"/>
    <n v="4877.1999999999989"/>
  </r>
  <r>
    <d v="2022-09-14T00:00:00"/>
    <x v="2"/>
    <x v="0"/>
    <x v="0"/>
    <n v="1573.03"/>
    <n v="1196.8900000000001"/>
    <n v="4"/>
    <n v="6292.12"/>
    <n v="4787.5600000000004"/>
    <n v="1504.5599999999995"/>
    <n v="0.23911813506417542"/>
    <x v="12"/>
    <n v="1504.5599999999995"/>
  </r>
  <r>
    <d v="2022-04-06T00:00:00"/>
    <x v="6"/>
    <x v="3"/>
    <x v="2"/>
    <n v="416.51"/>
    <n v="305.35000000000002"/>
    <n v="4"/>
    <n v="1666.04"/>
    <n v="1221.4000000000001"/>
    <n v="444.63999999999987"/>
    <n v="0.26688434851504156"/>
    <x v="32"/>
    <n v="444.63999999999987"/>
  </r>
  <r>
    <d v="2022-01-11T00:00:00"/>
    <x v="8"/>
    <x v="1"/>
    <x v="1"/>
    <n v="1697.16"/>
    <n v="1245.1600000000001"/>
    <n v="2"/>
    <n v="3394.32"/>
    <n v="2490.3200000000002"/>
    <n v="904"/>
    <n v="0.2663272761554597"/>
    <x v="9"/>
    <n v="904"/>
  </r>
  <r>
    <d v="2023-11-06T00:00:00"/>
    <x v="0"/>
    <x v="0"/>
    <x v="1"/>
    <n v="442.08"/>
    <n v="385.79"/>
    <n v="7"/>
    <n v="3094.56"/>
    <n v="2700.53"/>
    <n v="394.02999999999975"/>
    <n v="0.12732989504162134"/>
    <x v="10"/>
    <n v="394.02999999999975"/>
  </r>
  <r>
    <d v="2023-11-27T00:00:00"/>
    <x v="9"/>
    <x v="3"/>
    <x v="3"/>
    <n v="87.13"/>
    <n v="61.43"/>
    <n v="9"/>
    <n v="784.17"/>
    <n v="552.87"/>
    <n v="231.29999999999995"/>
    <n v="0.29496155170434979"/>
    <x v="10"/>
    <n v="231.29999999999995"/>
  </r>
  <r>
    <d v="2022-06-29T00:00:00"/>
    <x v="7"/>
    <x v="0"/>
    <x v="3"/>
    <n v="1111.21"/>
    <n v="960.41"/>
    <n v="9"/>
    <n v="10000.89"/>
    <n v="8643.69"/>
    <n v="1357.1999999999989"/>
    <n v="0.13570792199494236"/>
    <x v="18"/>
    <n v="1357.1999999999989"/>
  </r>
  <r>
    <d v="2024-06-26T00:00:00"/>
    <x v="10"/>
    <x v="2"/>
    <x v="1"/>
    <n v="1307.27"/>
    <n v="840.33"/>
    <n v="4"/>
    <n v="5229.08"/>
    <n v="3361.32"/>
    <n v="1867.7599999999998"/>
    <n v="0.3571871151330635"/>
    <x v="4"/>
    <n v="1867.7599999999998"/>
  </r>
  <r>
    <d v="2023-12-29T00:00:00"/>
    <x v="8"/>
    <x v="1"/>
    <x v="2"/>
    <n v="387.49"/>
    <n v="193.83"/>
    <n v="8"/>
    <n v="3099.92"/>
    <n v="1550.64"/>
    <n v="1549.28"/>
    <n v="0.49978063950037416"/>
    <x v="30"/>
    <n v="1549.28"/>
  </r>
  <r>
    <d v="2023-11-21T00:00:00"/>
    <x v="5"/>
    <x v="3"/>
    <x v="3"/>
    <n v="203.36"/>
    <n v="150.72999999999999"/>
    <n v="10"/>
    <n v="2033.6000000000001"/>
    <n v="1507.3"/>
    <n v="526.30000000000018"/>
    <n v="0.2588021243115658"/>
    <x v="10"/>
    <n v="526.30000000000018"/>
  </r>
  <r>
    <d v="2024-08-03T00:00:00"/>
    <x v="10"/>
    <x v="2"/>
    <x v="1"/>
    <n v="752.93"/>
    <n v="455.82"/>
    <n v="10"/>
    <n v="7529.2999999999993"/>
    <n v="4558.2"/>
    <n v="2971.0999999999995"/>
    <n v="0.39460507616909934"/>
    <x v="21"/>
    <n v="2971.0999999999995"/>
  </r>
  <r>
    <d v="2024-01-05T00:00:00"/>
    <x v="1"/>
    <x v="1"/>
    <x v="3"/>
    <n v="1377.96"/>
    <n v="960.88"/>
    <n v="8"/>
    <n v="11023.68"/>
    <n v="7687.04"/>
    <n v="3336.6400000000003"/>
    <n v="0.30267932305727308"/>
    <x v="26"/>
    <n v="3336.6400000000003"/>
  </r>
  <r>
    <d v="2022-11-30T00:00:00"/>
    <x v="9"/>
    <x v="3"/>
    <x v="1"/>
    <n v="1608.28"/>
    <n v="983.83"/>
    <n v="8"/>
    <n v="12866.24"/>
    <n v="7870.64"/>
    <n v="4995.5999999999995"/>
    <n v="0.38827194269654536"/>
    <x v="1"/>
    <n v="4995.5999999999995"/>
  </r>
  <r>
    <d v="2022-10-30T00:00:00"/>
    <x v="3"/>
    <x v="2"/>
    <x v="0"/>
    <n v="646.63"/>
    <n v="369.33"/>
    <n v="2"/>
    <n v="1293.26"/>
    <n v="738.66"/>
    <n v="554.6"/>
    <n v="0.42883874858883753"/>
    <x v="25"/>
    <n v="554.6"/>
  </r>
  <r>
    <d v="2022-12-18T00:00:00"/>
    <x v="9"/>
    <x v="3"/>
    <x v="2"/>
    <n v="1201.48"/>
    <n v="749.99"/>
    <n v="1"/>
    <n v="1201.48"/>
    <n v="749.99"/>
    <n v="451.49"/>
    <n v="0.37577820687818358"/>
    <x v="33"/>
    <n v="451.49"/>
  </r>
  <r>
    <d v="2024-09-23T00:00:00"/>
    <x v="2"/>
    <x v="0"/>
    <x v="2"/>
    <n v="621.66"/>
    <n v="418.72"/>
    <n v="9"/>
    <n v="5594.94"/>
    <n v="3768.4800000000005"/>
    <n v="1826.4599999999991"/>
    <n v="0.32644854100312054"/>
    <x v="16"/>
    <n v="1826.4599999999991"/>
  </r>
  <r>
    <d v="2023-10-06T00:00:00"/>
    <x v="0"/>
    <x v="0"/>
    <x v="3"/>
    <n v="1158.27"/>
    <n v="819.36"/>
    <n v="1"/>
    <n v="1158.27"/>
    <n v="819.36"/>
    <n v="338.90999999999997"/>
    <n v="0.29260017094459839"/>
    <x v="5"/>
    <n v="338.90999999999997"/>
  </r>
  <r>
    <d v="2023-04-08T00:00:00"/>
    <x v="0"/>
    <x v="0"/>
    <x v="1"/>
    <n v="40.1"/>
    <n v="22.64"/>
    <n v="4"/>
    <n v="160.4"/>
    <n v="90.56"/>
    <n v="69.84"/>
    <n v="0.43541147132169578"/>
    <x v="6"/>
    <n v="69.84"/>
  </r>
  <r>
    <d v="2022-10-01T00:00:00"/>
    <x v="2"/>
    <x v="0"/>
    <x v="0"/>
    <n v="1690.25"/>
    <n v="934.91"/>
    <n v="7"/>
    <n v="11831.75"/>
    <n v="6544.37"/>
    <n v="5287.38"/>
    <n v="0.44688063895873392"/>
    <x v="25"/>
    <n v="5287.38"/>
  </r>
  <r>
    <d v="2022-02-06T00:00:00"/>
    <x v="9"/>
    <x v="3"/>
    <x v="2"/>
    <n v="1316.07"/>
    <n v="1020.72"/>
    <n v="4"/>
    <n v="5264.28"/>
    <n v="4082.88"/>
    <n v="1181.3999999999996"/>
    <n v="0.22441815404955659"/>
    <x v="20"/>
    <n v="1181.3999999999996"/>
  </r>
  <r>
    <d v="2024-08-23T00:00:00"/>
    <x v="7"/>
    <x v="0"/>
    <x v="0"/>
    <n v="151.63"/>
    <n v="103.66"/>
    <n v="7"/>
    <n v="1061.4099999999999"/>
    <n v="725.62"/>
    <n v="335.78999999999985"/>
    <n v="0.31636219745432953"/>
    <x v="21"/>
    <n v="335.78999999999985"/>
  </r>
  <r>
    <d v="2023-09-29T00:00:00"/>
    <x v="4"/>
    <x v="2"/>
    <x v="0"/>
    <n v="310.07"/>
    <n v="181.69"/>
    <n v="6"/>
    <n v="1860.42"/>
    <n v="1090.1399999999999"/>
    <n v="770.2800000000002"/>
    <n v="0.41403554036185386"/>
    <x v="24"/>
    <n v="770.2800000000002"/>
  </r>
  <r>
    <d v="2024-01-09T00:00:00"/>
    <x v="7"/>
    <x v="0"/>
    <x v="3"/>
    <n v="45.53"/>
    <n v="27.5"/>
    <n v="5"/>
    <n v="227.65"/>
    <n v="137.5"/>
    <n v="90.15"/>
    <n v="0.39600263562486276"/>
    <x v="26"/>
    <n v="90.15"/>
  </r>
  <r>
    <d v="2023-05-28T00:00:00"/>
    <x v="3"/>
    <x v="2"/>
    <x v="3"/>
    <n v="627.03"/>
    <n v="368.55"/>
    <n v="9"/>
    <n v="5643.2699999999995"/>
    <n v="3316.9500000000003"/>
    <n v="2326.3199999999993"/>
    <n v="0.41222907994832775"/>
    <x v="31"/>
    <n v="2326.3199999999993"/>
  </r>
  <r>
    <d v="2022-12-09T00:00:00"/>
    <x v="2"/>
    <x v="0"/>
    <x v="2"/>
    <n v="565.84"/>
    <n v="383.49"/>
    <n v="7"/>
    <n v="3960.88"/>
    <n v="2684.4300000000003"/>
    <n v="1276.4499999999998"/>
    <n v="0.32226424430934536"/>
    <x v="33"/>
    <n v="1276.4499999999998"/>
  </r>
  <r>
    <d v="2023-06-22T00:00:00"/>
    <x v="0"/>
    <x v="0"/>
    <x v="3"/>
    <n v="1237.76"/>
    <n v="980.08"/>
    <n v="8"/>
    <n v="9902.08"/>
    <n v="7840.64"/>
    <n v="2061.4399999999996"/>
    <n v="0.20818252326783865"/>
    <x v="0"/>
    <n v="2061.4399999999996"/>
  </r>
  <r>
    <d v="2022-11-17T00:00:00"/>
    <x v="4"/>
    <x v="2"/>
    <x v="1"/>
    <n v="1271.3399999999999"/>
    <n v="735.23"/>
    <n v="9"/>
    <n v="11442.06"/>
    <n v="6617.07"/>
    <n v="4824.99"/>
    <n v="0.42168892664432805"/>
    <x v="1"/>
    <n v="4824.99"/>
  </r>
  <r>
    <d v="2022-07-14T00:00:00"/>
    <x v="4"/>
    <x v="2"/>
    <x v="3"/>
    <n v="498.74"/>
    <n v="443.93"/>
    <n v="10"/>
    <n v="4987.3999999999996"/>
    <n v="4439.3"/>
    <n v="548.09999999999945"/>
    <n v="0.10989694028952951"/>
    <x v="8"/>
    <n v="548.09999999999945"/>
  </r>
  <r>
    <d v="2022-02-02T00:00:00"/>
    <x v="7"/>
    <x v="0"/>
    <x v="3"/>
    <n v="1171.3399999999999"/>
    <n v="921.5"/>
    <n v="8"/>
    <n v="9370.7199999999993"/>
    <n v="7372"/>
    <n v="1998.7199999999993"/>
    <n v="0.21329417590110467"/>
    <x v="20"/>
    <n v="1998.7199999999993"/>
  </r>
  <r>
    <d v="2023-08-24T00:00:00"/>
    <x v="5"/>
    <x v="3"/>
    <x v="1"/>
    <n v="951.63"/>
    <n v="579.41"/>
    <n v="3"/>
    <n v="2854.89"/>
    <n v="1738.23"/>
    <n v="1116.6599999999999"/>
    <n v="0.39113941342748754"/>
    <x v="14"/>
    <n v="1116.6599999999999"/>
  </r>
  <r>
    <d v="2024-05-20T00:00:00"/>
    <x v="0"/>
    <x v="0"/>
    <x v="3"/>
    <n v="135.72999999999999"/>
    <n v="84.8"/>
    <n v="1"/>
    <n v="135.72999999999999"/>
    <n v="84.8"/>
    <n v="50.929999999999993"/>
    <n v="0.37523023649893167"/>
    <x v="3"/>
    <n v="50.929999999999993"/>
  </r>
  <r>
    <d v="2022-04-22T00:00:00"/>
    <x v="2"/>
    <x v="0"/>
    <x v="3"/>
    <n v="1633.7"/>
    <n v="988.43"/>
    <n v="8"/>
    <n v="13069.6"/>
    <n v="7907.44"/>
    <n v="5162.1600000000008"/>
    <n v="0.39497459753932795"/>
    <x v="32"/>
    <n v="5162.1600000000008"/>
  </r>
  <r>
    <d v="2022-06-25T00:00:00"/>
    <x v="8"/>
    <x v="1"/>
    <x v="3"/>
    <n v="1905.88"/>
    <n v="1662.4"/>
    <n v="9"/>
    <n v="17152.920000000002"/>
    <n v="14961.6"/>
    <n v="2191.3200000000015"/>
    <n v="0.12775200957038227"/>
    <x v="18"/>
    <n v="2191.3200000000015"/>
  </r>
  <r>
    <d v="2023-04-30T00:00:00"/>
    <x v="2"/>
    <x v="0"/>
    <x v="3"/>
    <n v="411.21"/>
    <n v="211.15"/>
    <n v="2"/>
    <n v="822.42"/>
    <n v="422.3"/>
    <n v="400.11999999999995"/>
    <n v="0.48651540575375107"/>
    <x v="6"/>
    <n v="400.11999999999995"/>
  </r>
  <r>
    <d v="2024-12-16T00:00:00"/>
    <x v="10"/>
    <x v="2"/>
    <x v="0"/>
    <n v="349.7"/>
    <n v="280.64"/>
    <n v="10"/>
    <n v="3497"/>
    <n v="2806.3999999999996"/>
    <n v="690.60000000000036"/>
    <n v="0.19748355733485856"/>
    <x v="23"/>
    <n v="690.60000000000036"/>
  </r>
  <r>
    <d v="2022-01-24T00:00:00"/>
    <x v="2"/>
    <x v="0"/>
    <x v="1"/>
    <n v="760.28"/>
    <n v="467.63"/>
    <n v="10"/>
    <n v="7602.7999999999993"/>
    <n v="4676.3"/>
    <n v="2926.4999999999991"/>
    <n v="0.3849239753774924"/>
    <x v="9"/>
    <n v="2926.4999999999991"/>
  </r>
  <r>
    <d v="2024-01-04T00:00:00"/>
    <x v="2"/>
    <x v="0"/>
    <x v="0"/>
    <n v="1169.6300000000001"/>
    <n v="788.84"/>
    <n v="8"/>
    <n v="9357.0400000000009"/>
    <n v="6310.72"/>
    <n v="3046.3200000000006"/>
    <n v="0.32556449475475152"/>
    <x v="26"/>
    <n v="3046.3200000000006"/>
  </r>
  <r>
    <d v="2023-03-14T00:00:00"/>
    <x v="6"/>
    <x v="3"/>
    <x v="0"/>
    <n v="1018.57"/>
    <n v="544.52"/>
    <n v="10"/>
    <n v="10185.700000000001"/>
    <n v="5445.2"/>
    <n v="4740.5000000000009"/>
    <n v="0.46540738486309241"/>
    <x v="19"/>
    <n v="4740.5000000000009"/>
  </r>
  <r>
    <d v="2022-01-12T00:00:00"/>
    <x v="5"/>
    <x v="3"/>
    <x v="2"/>
    <n v="1896.87"/>
    <n v="1118.52"/>
    <n v="5"/>
    <n v="9484.3499999999985"/>
    <n v="5592.6"/>
    <n v="3891.7499999999982"/>
    <n v="0.41033386578943193"/>
    <x v="9"/>
    <n v="3891.7499999999982"/>
  </r>
  <r>
    <d v="2022-05-03T00:00:00"/>
    <x v="2"/>
    <x v="0"/>
    <x v="0"/>
    <n v="1957.25"/>
    <n v="1119.1099999999999"/>
    <n v="1"/>
    <n v="1957.25"/>
    <n v="1119.1099999999999"/>
    <n v="838.1400000000001"/>
    <n v="0.42822327244858865"/>
    <x v="35"/>
    <n v="838.1400000000001"/>
  </r>
  <r>
    <d v="2024-06-24T00:00:00"/>
    <x v="0"/>
    <x v="0"/>
    <x v="0"/>
    <n v="1683.18"/>
    <n v="1499.25"/>
    <n v="10"/>
    <n v="16831.8"/>
    <n v="14992.5"/>
    <n v="1839.2999999999993"/>
    <n v="0.10927530032438594"/>
    <x v="4"/>
    <n v="1839.2999999999993"/>
  </r>
  <r>
    <d v="2024-12-30T00:00:00"/>
    <x v="7"/>
    <x v="0"/>
    <x v="1"/>
    <n v="881.3"/>
    <n v="646.49"/>
    <n v="3"/>
    <n v="2643.8999999999996"/>
    <n v="1939.47"/>
    <n v="704.42999999999961"/>
    <n v="0.26643594689662986"/>
    <x v="23"/>
    <n v="704.42999999999961"/>
  </r>
  <r>
    <d v="2023-08-08T00:00:00"/>
    <x v="0"/>
    <x v="0"/>
    <x v="3"/>
    <n v="1635.07"/>
    <n v="1387.46"/>
    <n v="2"/>
    <n v="3270.14"/>
    <n v="2774.92"/>
    <n v="495.2199999999998"/>
    <n v="0.15143694153767112"/>
    <x v="14"/>
    <n v="495.2199999999998"/>
  </r>
  <r>
    <d v="2023-10-18T00:00:00"/>
    <x v="7"/>
    <x v="0"/>
    <x v="2"/>
    <n v="1260.72"/>
    <n v="937.99"/>
    <n v="9"/>
    <n v="11346.48"/>
    <n v="8441.91"/>
    <n v="2904.5699999999997"/>
    <n v="0.25598864141125705"/>
    <x v="5"/>
    <n v="2904.5699999999997"/>
  </r>
  <r>
    <d v="2022-01-12T00:00:00"/>
    <x v="9"/>
    <x v="3"/>
    <x v="1"/>
    <n v="286.52999999999997"/>
    <n v="227.95"/>
    <n v="7"/>
    <n v="2005.7099999999998"/>
    <n v="1595.6499999999999"/>
    <n v="410.05999999999995"/>
    <n v="0.2044463057969497"/>
    <x v="9"/>
    <n v="410.05999999999995"/>
  </r>
  <r>
    <d v="2022-10-27T00:00:00"/>
    <x v="8"/>
    <x v="1"/>
    <x v="1"/>
    <n v="315.41000000000003"/>
    <n v="277.52999999999997"/>
    <n v="10"/>
    <n v="3154.1000000000004"/>
    <n v="2775.2999999999997"/>
    <n v="378.80000000000064"/>
    <n v="0.12009765067689693"/>
    <x v="25"/>
    <n v="378.80000000000064"/>
  </r>
  <r>
    <d v="2024-11-03T00:00:00"/>
    <x v="7"/>
    <x v="0"/>
    <x v="3"/>
    <n v="1303.8399999999999"/>
    <n v="897.47"/>
    <n v="7"/>
    <n v="9126.8799999999992"/>
    <n v="6282.29"/>
    <n v="2844.5899999999992"/>
    <n v="0.31167167750644248"/>
    <x v="2"/>
    <n v="2844.5899999999992"/>
  </r>
  <r>
    <d v="2022-06-17T00:00:00"/>
    <x v="0"/>
    <x v="0"/>
    <x v="2"/>
    <n v="1749.78"/>
    <n v="1245.3599999999999"/>
    <n v="9"/>
    <n v="15748.02"/>
    <n v="11208.24"/>
    <n v="4539.7800000000007"/>
    <n v="0.28827624044165556"/>
    <x v="18"/>
    <n v="4539.7800000000007"/>
  </r>
  <r>
    <d v="2024-09-21T00:00:00"/>
    <x v="0"/>
    <x v="0"/>
    <x v="1"/>
    <n v="1202.27"/>
    <n v="827.82"/>
    <n v="2"/>
    <n v="2404.54"/>
    <n v="1655.64"/>
    <n v="748.89999999999986"/>
    <n v="0.31145250234972172"/>
    <x v="16"/>
    <n v="748.89999999999986"/>
  </r>
  <r>
    <d v="2023-11-23T00:00:00"/>
    <x v="5"/>
    <x v="3"/>
    <x v="1"/>
    <n v="672.32"/>
    <n v="520.79999999999995"/>
    <n v="1"/>
    <n v="672.32"/>
    <n v="520.79999999999995"/>
    <n v="151.5200000000001"/>
    <n v="0.22536887196573072"/>
    <x v="10"/>
    <n v="151.5200000000001"/>
  </r>
  <r>
    <d v="2024-10-25T00:00:00"/>
    <x v="0"/>
    <x v="0"/>
    <x v="3"/>
    <n v="1713.49"/>
    <n v="1007.64"/>
    <n v="1"/>
    <n v="1713.49"/>
    <n v="1007.64"/>
    <n v="705.85"/>
    <n v="0.41193704077642707"/>
    <x v="17"/>
    <n v="705.85"/>
  </r>
  <r>
    <d v="2023-04-04T00:00:00"/>
    <x v="9"/>
    <x v="3"/>
    <x v="3"/>
    <n v="244.5"/>
    <n v="202.11"/>
    <n v="5"/>
    <n v="1222.5"/>
    <n v="1010.5500000000001"/>
    <n v="211.94999999999993"/>
    <n v="0.17337423312883429"/>
    <x v="6"/>
    <n v="211.94999999999993"/>
  </r>
  <r>
    <d v="2022-12-20T00:00:00"/>
    <x v="6"/>
    <x v="3"/>
    <x v="0"/>
    <n v="1624.39"/>
    <n v="1379.84"/>
    <n v="4"/>
    <n v="6497.56"/>
    <n v="5519.36"/>
    <n v="978.20000000000073"/>
    <n v="0.15054882140372705"/>
    <x v="33"/>
    <n v="978.20000000000073"/>
  </r>
  <r>
    <d v="2022-09-22T00:00:00"/>
    <x v="9"/>
    <x v="3"/>
    <x v="2"/>
    <n v="1836.03"/>
    <n v="1408.99"/>
    <n v="6"/>
    <n v="11016.18"/>
    <n v="8453.94"/>
    <n v="2562.2399999999998"/>
    <n v="0.23258879212213304"/>
    <x v="12"/>
    <n v="2562.2399999999998"/>
  </r>
  <r>
    <d v="2024-09-05T00:00:00"/>
    <x v="9"/>
    <x v="3"/>
    <x v="0"/>
    <n v="1611.5"/>
    <n v="1308.56"/>
    <n v="3"/>
    <n v="4834.5"/>
    <n v="3925.68"/>
    <n v="908.82000000000016"/>
    <n v="0.18798634812286694"/>
    <x v="16"/>
    <n v="908.82000000000016"/>
  </r>
  <r>
    <d v="2024-05-17T00:00:00"/>
    <x v="4"/>
    <x v="2"/>
    <x v="3"/>
    <n v="1226.18"/>
    <n v="824.68"/>
    <n v="3"/>
    <n v="3678.54"/>
    <n v="2474.04"/>
    <n v="1204.5"/>
    <n v="0.3274396907468724"/>
    <x v="3"/>
    <n v="1204.5"/>
  </r>
  <r>
    <d v="2023-01-16T00:00:00"/>
    <x v="7"/>
    <x v="0"/>
    <x v="0"/>
    <n v="1751.59"/>
    <n v="1309.05"/>
    <n v="5"/>
    <n v="8757.9499999999989"/>
    <n v="6545.25"/>
    <n v="2212.6999999999989"/>
    <n v="0.25265044902060402"/>
    <x v="13"/>
    <n v="2212.6999999999989"/>
  </r>
  <r>
    <d v="2024-04-03T00:00:00"/>
    <x v="8"/>
    <x v="1"/>
    <x v="0"/>
    <n v="467.31"/>
    <n v="310.63"/>
    <n v="8"/>
    <n v="3738.48"/>
    <n v="2485.04"/>
    <n v="1253.44"/>
    <n v="0.33528064881984121"/>
    <x v="22"/>
    <n v="1253.44"/>
  </r>
  <r>
    <d v="2024-05-19T00:00:00"/>
    <x v="4"/>
    <x v="2"/>
    <x v="1"/>
    <n v="1140.32"/>
    <n v="982.66"/>
    <n v="4"/>
    <n v="4561.28"/>
    <n v="3930.64"/>
    <n v="630.63999999999987"/>
    <n v="0.1382594359478041"/>
    <x v="3"/>
    <n v="630.63999999999987"/>
  </r>
  <r>
    <d v="2022-12-30T00:00:00"/>
    <x v="3"/>
    <x v="2"/>
    <x v="0"/>
    <n v="1578.32"/>
    <n v="1127.92"/>
    <n v="6"/>
    <n v="9469.92"/>
    <n v="6767.52"/>
    <n v="2702.3999999999996"/>
    <n v="0.28536671904303307"/>
    <x v="33"/>
    <n v="2702.3999999999996"/>
  </r>
  <r>
    <d v="2022-06-08T00:00:00"/>
    <x v="0"/>
    <x v="0"/>
    <x v="2"/>
    <n v="1109.07"/>
    <n v="724.7"/>
    <n v="8"/>
    <n v="8872.56"/>
    <n v="5797.6"/>
    <n v="3074.9599999999991"/>
    <n v="0.34656964844419191"/>
    <x v="18"/>
    <n v="3074.9599999999991"/>
  </r>
  <r>
    <d v="2023-11-06T00:00:00"/>
    <x v="10"/>
    <x v="2"/>
    <x v="3"/>
    <n v="769.35"/>
    <n v="689.25"/>
    <n v="3"/>
    <n v="2308.0500000000002"/>
    <n v="2067.75"/>
    <n v="240.30000000000018"/>
    <n v="0.10411386235133561"/>
    <x v="10"/>
    <n v="240.30000000000018"/>
  </r>
  <r>
    <d v="2024-12-08T00:00:00"/>
    <x v="1"/>
    <x v="1"/>
    <x v="0"/>
    <n v="955.04"/>
    <n v="659.13"/>
    <n v="2"/>
    <n v="1910.08"/>
    <n v="1318.26"/>
    <n v="591.81999999999994"/>
    <n v="0.30984042553191488"/>
    <x v="23"/>
    <n v="591.81999999999994"/>
  </r>
  <r>
    <d v="2024-12-17T00:00:00"/>
    <x v="9"/>
    <x v="3"/>
    <x v="0"/>
    <n v="292.60000000000002"/>
    <n v="169.51"/>
    <n v="3"/>
    <n v="877.80000000000007"/>
    <n v="508.53"/>
    <n v="369.2700000000001"/>
    <n v="0.42067669172932337"/>
    <x v="23"/>
    <n v="369.2700000000001"/>
  </r>
  <r>
    <d v="2024-10-04T00:00:00"/>
    <x v="3"/>
    <x v="2"/>
    <x v="2"/>
    <n v="191.45"/>
    <n v="159.74"/>
    <n v="6"/>
    <n v="1148.6999999999998"/>
    <n v="958.44"/>
    <n v="190.25999999999976"/>
    <n v="0.16563071297989013"/>
    <x v="17"/>
    <n v="190.25999999999976"/>
  </r>
  <r>
    <d v="2022-11-20T00:00:00"/>
    <x v="3"/>
    <x v="2"/>
    <x v="0"/>
    <n v="71.88"/>
    <n v="50.23"/>
    <n v="10"/>
    <n v="718.8"/>
    <n v="502.29999999999995"/>
    <n v="216.5"/>
    <n v="0.30119643850862549"/>
    <x v="1"/>
    <n v="216.5"/>
  </r>
  <r>
    <d v="2023-02-12T00:00:00"/>
    <x v="2"/>
    <x v="0"/>
    <x v="0"/>
    <n v="1194.28"/>
    <n v="763.12"/>
    <n v="9"/>
    <n v="10748.52"/>
    <n v="6868.08"/>
    <n v="3880.4400000000005"/>
    <n v="0.36102086612854611"/>
    <x v="27"/>
    <n v="3880.4400000000005"/>
  </r>
  <r>
    <d v="2022-02-06T00:00:00"/>
    <x v="0"/>
    <x v="0"/>
    <x v="0"/>
    <n v="1338.79"/>
    <n v="1183.08"/>
    <n v="9"/>
    <n v="12049.11"/>
    <n v="10647.72"/>
    <n v="1401.3900000000012"/>
    <n v="0.11630651558496861"/>
    <x v="20"/>
    <n v="1401.3900000000012"/>
  </r>
  <r>
    <d v="2024-10-07T00:00:00"/>
    <x v="9"/>
    <x v="3"/>
    <x v="3"/>
    <n v="1131.8800000000001"/>
    <n v="826.18"/>
    <n v="1"/>
    <n v="1131.8800000000001"/>
    <n v="826.18"/>
    <n v="305.70000000000016"/>
    <n v="0.27008163409548724"/>
    <x v="17"/>
    <n v="305.70000000000016"/>
  </r>
  <r>
    <d v="2023-06-04T00:00:00"/>
    <x v="8"/>
    <x v="1"/>
    <x v="3"/>
    <n v="676.74"/>
    <n v="362.28"/>
    <n v="10"/>
    <n v="6767.4"/>
    <n v="3622.7999999999997"/>
    <n v="3144.6"/>
    <n v="0.46466885362177501"/>
    <x v="0"/>
    <n v="3144.6"/>
  </r>
  <r>
    <d v="2024-05-20T00:00:00"/>
    <x v="2"/>
    <x v="0"/>
    <x v="3"/>
    <n v="1434.78"/>
    <n v="865.28"/>
    <n v="6"/>
    <n v="8608.68"/>
    <n v="5191.68"/>
    <n v="3417"/>
    <n v="0.39692496410599531"/>
    <x v="3"/>
    <n v="3417"/>
  </r>
  <r>
    <d v="2024-10-25T00:00:00"/>
    <x v="1"/>
    <x v="1"/>
    <x v="3"/>
    <n v="1290.92"/>
    <n v="981.78"/>
    <n v="3"/>
    <n v="3872.76"/>
    <n v="2945.34"/>
    <n v="927.42000000000007"/>
    <n v="0.23947262417500698"/>
    <x v="17"/>
    <n v="927.42000000000007"/>
  </r>
  <r>
    <d v="2024-03-02T00:00:00"/>
    <x v="10"/>
    <x v="2"/>
    <x v="2"/>
    <n v="788.34"/>
    <n v="440.04"/>
    <n v="7"/>
    <n v="5518.38"/>
    <n v="3080.28"/>
    <n v="2438.1"/>
    <n v="0.44181444554380089"/>
    <x v="29"/>
    <n v="2438.1"/>
  </r>
  <r>
    <d v="2024-09-19T00:00:00"/>
    <x v="10"/>
    <x v="2"/>
    <x v="3"/>
    <n v="58.32"/>
    <n v="47.15"/>
    <n v="8"/>
    <n v="466.56"/>
    <n v="377.2"/>
    <n v="89.360000000000014"/>
    <n v="0.19152949245541842"/>
    <x v="16"/>
    <n v="89.360000000000014"/>
  </r>
  <r>
    <d v="2022-06-26T00:00:00"/>
    <x v="7"/>
    <x v="0"/>
    <x v="1"/>
    <n v="1342.11"/>
    <n v="793.21"/>
    <n v="9"/>
    <n v="12078.99"/>
    <n v="7138.89"/>
    <n v="4940.0999999999995"/>
    <n v="0.40898287025653629"/>
    <x v="18"/>
    <n v="4940.0999999999995"/>
  </r>
  <r>
    <d v="2023-12-09T00:00:00"/>
    <x v="2"/>
    <x v="0"/>
    <x v="0"/>
    <n v="200.09"/>
    <n v="157.52000000000001"/>
    <n v="5"/>
    <n v="1000.45"/>
    <n v="787.6"/>
    <n v="212.85000000000002"/>
    <n v="0.21275426058273778"/>
    <x v="30"/>
    <n v="212.85000000000002"/>
  </r>
  <r>
    <d v="2023-03-12T00:00:00"/>
    <x v="9"/>
    <x v="3"/>
    <x v="0"/>
    <n v="341.18"/>
    <n v="197.41"/>
    <n v="10"/>
    <n v="3411.8"/>
    <n v="1974.1"/>
    <n v="1437.7000000000003"/>
    <n v="0.42139046837446514"/>
    <x v="19"/>
    <n v="1437.7000000000003"/>
  </r>
  <r>
    <d v="2024-11-29T00:00:00"/>
    <x v="4"/>
    <x v="2"/>
    <x v="0"/>
    <n v="213.46"/>
    <n v="110.55"/>
    <n v="1"/>
    <n v="213.46"/>
    <n v="110.55"/>
    <n v="102.91000000000001"/>
    <n v="0.48210437552703084"/>
    <x v="2"/>
    <n v="102.91000000000001"/>
  </r>
  <r>
    <d v="2024-08-03T00:00:00"/>
    <x v="2"/>
    <x v="0"/>
    <x v="1"/>
    <n v="730.54"/>
    <n v="511.29"/>
    <n v="1"/>
    <n v="730.54"/>
    <n v="511.29"/>
    <n v="219.24999999999994"/>
    <n v="0.30012045883866723"/>
    <x v="21"/>
    <n v="219.24999999999994"/>
  </r>
  <r>
    <d v="2024-11-23T00:00:00"/>
    <x v="8"/>
    <x v="1"/>
    <x v="3"/>
    <n v="1603.68"/>
    <n v="818.78"/>
    <n v="8"/>
    <n v="12829.44"/>
    <n v="6550.24"/>
    <n v="6279.2000000000007"/>
    <n v="0.48943679537064755"/>
    <x v="2"/>
    <n v="6279.2000000000007"/>
  </r>
  <r>
    <d v="2022-01-17T00:00:00"/>
    <x v="7"/>
    <x v="0"/>
    <x v="1"/>
    <n v="252.59"/>
    <n v="196.74"/>
    <n v="10"/>
    <n v="2525.9"/>
    <n v="1967.4"/>
    <n v="558.5"/>
    <n v="0.22110930757353814"/>
    <x v="9"/>
    <n v="558.5"/>
  </r>
  <r>
    <d v="2024-03-23T00:00:00"/>
    <x v="3"/>
    <x v="2"/>
    <x v="3"/>
    <n v="1051.3699999999999"/>
    <n v="596.71"/>
    <n v="7"/>
    <n v="7359.5899999999992"/>
    <n v="4176.97"/>
    <n v="3182.619999999999"/>
    <n v="0.43244528567488127"/>
    <x v="29"/>
    <n v="3182.619999999999"/>
  </r>
  <r>
    <d v="2024-03-16T00:00:00"/>
    <x v="8"/>
    <x v="1"/>
    <x v="0"/>
    <n v="1358.94"/>
    <n v="1089.93"/>
    <n v="7"/>
    <n v="9512.58"/>
    <n v="7629.51"/>
    <n v="1883.0699999999997"/>
    <n v="0.197955759636187"/>
    <x v="29"/>
    <n v="1883.0699999999997"/>
  </r>
  <r>
    <d v="2024-12-19T00:00:00"/>
    <x v="0"/>
    <x v="0"/>
    <x v="3"/>
    <n v="679.06"/>
    <n v="453.06"/>
    <n v="6"/>
    <n v="4074.3599999999997"/>
    <n v="2718.36"/>
    <n v="1355.9999999999995"/>
    <n v="0.33281300621447285"/>
    <x v="23"/>
    <n v="1355.9999999999995"/>
  </r>
  <r>
    <d v="2023-06-13T00:00:00"/>
    <x v="8"/>
    <x v="1"/>
    <x v="1"/>
    <n v="734.31"/>
    <n v="657.28"/>
    <n v="7"/>
    <n v="5140.17"/>
    <n v="4600.96"/>
    <n v="539.21"/>
    <n v="0.10490119976576651"/>
    <x v="0"/>
    <n v="539.21"/>
  </r>
  <r>
    <d v="2023-12-15T00:00:00"/>
    <x v="10"/>
    <x v="2"/>
    <x v="0"/>
    <n v="1617.66"/>
    <n v="940.11"/>
    <n v="1"/>
    <n v="1617.66"/>
    <n v="940.11"/>
    <n v="677.55000000000007"/>
    <n v="0.41884574014316978"/>
    <x v="30"/>
    <n v="677.55000000000007"/>
  </r>
  <r>
    <d v="2022-09-07T00:00:00"/>
    <x v="9"/>
    <x v="3"/>
    <x v="0"/>
    <n v="928.03"/>
    <n v="559.13"/>
    <n v="4"/>
    <n v="3712.12"/>
    <n v="2236.52"/>
    <n v="1475.6"/>
    <n v="0.39750870122733101"/>
    <x v="12"/>
    <n v="1475.6"/>
  </r>
  <r>
    <d v="2024-04-22T00:00:00"/>
    <x v="2"/>
    <x v="0"/>
    <x v="2"/>
    <n v="380.84"/>
    <n v="221.59"/>
    <n v="8"/>
    <n v="3046.72"/>
    <n v="1772.72"/>
    <n v="1273.9999999999998"/>
    <n v="0.41815460560865453"/>
    <x v="22"/>
    <n v="1273.9999999999998"/>
  </r>
  <r>
    <d v="2022-02-15T00:00:00"/>
    <x v="6"/>
    <x v="3"/>
    <x v="0"/>
    <n v="411.49"/>
    <n v="273.72000000000003"/>
    <n v="1"/>
    <n v="411.49"/>
    <n v="273.72000000000003"/>
    <n v="137.76999999999998"/>
    <n v="0.33480765024666453"/>
    <x v="20"/>
    <n v="137.76999999999998"/>
  </r>
  <r>
    <d v="2024-02-21T00:00:00"/>
    <x v="0"/>
    <x v="0"/>
    <x v="2"/>
    <n v="849.22"/>
    <n v="625.44000000000005"/>
    <n v="2"/>
    <n v="1698.44"/>
    <n v="1250.8800000000001"/>
    <n v="447.55999999999995"/>
    <n v="0.26351239961376316"/>
    <x v="34"/>
    <n v="447.55999999999995"/>
  </r>
  <r>
    <d v="2022-01-27T00:00:00"/>
    <x v="6"/>
    <x v="3"/>
    <x v="2"/>
    <n v="679.27"/>
    <n v="439.25"/>
    <n v="5"/>
    <n v="3396.35"/>
    <n v="2196.25"/>
    <n v="1200.0999999999999"/>
    <n v="0.35334991976680846"/>
    <x v="9"/>
    <n v="1200.0999999999999"/>
  </r>
  <r>
    <d v="2024-01-12T00:00:00"/>
    <x v="1"/>
    <x v="1"/>
    <x v="0"/>
    <n v="397.85"/>
    <n v="269.83"/>
    <n v="5"/>
    <n v="1989.25"/>
    <n v="1349.1499999999999"/>
    <n v="640.10000000000014"/>
    <n v="0.32177956516274986"/>
    <x v="26"/>
    <n v="640.10000000000014"/>
  </r>
  <r>
    <d v="2024-03-02T00:00:00"/>
    <x v="7"/>
    <x v="0"/>
    <x v="0"/>
    <n v="1471.63"/>
    <n v="888.01"/>
    <n v="6"/>
    <n v="8829.7800000000007"/>
    <n v="5328.0599999999995"/>
    <n v="3501.7200000000012"/>
    <n v="0.39658066225885591"/>
    <x v="29"/>
    <n v="3501.7200000000012"/>
  </r>
  <r>
    <d v="2022-03-24T00:00:00"/>
    <x v="0"/>
    <x v="0"/>
    <x v="2"/>
    <n v="1464.06"/>
    <n v="954.09"/>
    <n v="1"/>
    <n v="1464.06"/>
    <n v="954.09"/>
    <n v="509.96999999999991"/>
    <n v="0.34832588828326705"/>
    <x v="7"/>
    <n v="509.96999999999991"/>
  </r>
  <r>
    <d v="2024-11-01T00:00:00"/>
    <x v="3"/>
    <x v="2"/>
    <x v="1"/>
    <n v="1041.51"/>
    <n v="632.14"/>
    <n v="1"/>
    <n v="1041.51"/>
    <n v="632.14"/>
    <n v="409.37"/>
    <n v="0.39305431536903152"/>
    <x v="2"/>
    <n v="409.37"/>
  </r>
  <r>
    <d v="2023-03-21T00:00:00"/>
    <x v="8"/>
    <x v="1"/>
    <x v="1"/>
    <n v="1520.08"/>
    <n v="1355.69"/>
    <n v="5"/>
    <n v="7600.4"/>
    <n v="6778.4500000000007"/>
    <n v="821.94999999999891"/>
    <n v="0.10814562391453067"/>
    <x v="19"/>
    <n v="821.94999999999891"/>
  </r>
  <r>
    <d v="2023-07-29T00:00:00"/>
    <x v="3"/>
    <x v="2"/>
    <x v="3"/>
    <n v="1048.1600000000001"/>
    <n v="752.02"/>
    <n v="4"/>
    <n v="4192.6400000000003"/>
    <n v="3008.08"/>
    <n v="1184.5600000000004"/>
    <n v="0.28253320103800955"/>
    <x v="11"/>
    <n v="1184.5600000000004"/>
  </r>
  <r>
    <d v="2022-10-10T00:00:00"/>
    <x v="10"/>
    <x v="2"/>
    <x v="2"/>
    <n v="1984.94"/>
    <n v="1007.52"/>
    <n v="3"/>
    <n v="5954.82"/>
    <n v="3022.56"/>
    <n v="2932.2599999999998"/>
    <n v="0.49241790683849385"/>
    <x v="25"/>
    <n v="2932.2599999999998"/>
  </r>
  <r>
    <d v="2023-01-04T00:00:00"/>
    <x v="9"/>
    <x v="3"/>
    <x v="0"/>
    <n v="143.19"/>
    <n v="91.72"/>
    <n v="5"/>
    <n v="715.95"/>
    <n v="458.6"/>
    <n v="257.35000000000002"/>
    <n v="0.35945247573154548"/>
    <x v="13"/>
    <n v="257.35000000000002"/>
  </r>
  <r>
    <d v="2024-10-24T00:00:00"/>
    <x v="3"/>
    <x v="2"/>
    <x v="1"/>
    <n v="947.41"/>
    <n v="699.03"/>
    <n v="4"/>
    <n v="3789.64"/>
    <n v="2796.12"/>
    <n v="993.52"/>
    <n v="0.26216738265376133"/>
    <x v="17"/>
    <n v="993.52"/>
  </r>
  <r>
    <d v="2022-12-16T00:00:00"/>
    <x v="0"/>
    <x v="0"/>
    <x v="3"/>
    <n v="1693.95"/>
    <n v="1343.23"/>
    <n v="8"/>
    <n v="13551.6"/>
    <n v="10745.84"/>
    <n v="2805.76"/>
    <n v="0.20704271082381417"/>
    <x v="33"/>
    <n v="2805.76"/>
  </r>
  <r>
    <d v="2022-03-23T00:00:00"/>
    <x v="6"/>
    <x v="3"/>
    <x v="0"/>
    <n v="734.13"/>
    <n v="448.97"/>
    <n v="4"/>
    <n v="2936.52"/>
    <n v="1795.88"/>
    <n v="1140.6399999999999"/>
    <n v="0.3884325664391865"/>
    <x v="7"/>
    <n v="1140.6399999999999"/>
  </r>
  <r>
    <d v="2022-02-22T00:00:00"/>
    <x v="6"/>
    <x v="3"/>
    <x v="0"/>
    <n v="472.44"/>
    <n v="301.14999999999998"/>
    <n v="2"/>
    <n v="944.88"/>
    <n v="602.29999999999995"/>
    <n v="342.58000000000004"/>
    <n v="0.36256455846245028"/>
    <x v="20"/>
    <n v="342.58000000000004"/>
  </r>
  <r>
    <d v="2024-09-21T00:00:00"/>
    <x v="4"/>
    <x v="2"/>
    <x v="1"/>
    <n v="1363.23"/>
    <n v="808.24"/>
    <n v="6"/>
    <n v="8179.38"/>
    <n v="4849.4400000000005"/>
    <n v="3329.9399999999996"/>
    <n v="0.40711398663468373"/>
    <x v="16"/>
    <n v="3329.9399999999996"/>
  </r>
  <r>
    <d v="2022-07-09T00:00:00"/>
    <x v="4"/>
    <x v="2"/>
    <x v="0"/>
    <n v="1214.6400000000001"/>
    <n v="1014.33"/>
    <n v="4"/>
    <n v="4858.5600000000004"/>
    <n v="4057.32"/>
    <n v="801.24000000000024"/>
    <n v="0.16491306065994865"/>
    <x v="8"/>
    <n v="801.24000000000024"/>
  </r>
  <r>
    <d v="2022-04-10T00:00:00"/>
    <x v="9"/>
    <x v="3"/>
    <x v="2"/>
    <n v="242.69"/>
    <n v="156.16999999999999"/>
    <n v="4"/>
    <n v="970.76"/>
    <n v="624.67999999999995"/>
    <n v="346.08000000000004"/>
    <n v="0.35650418229016445"/>
    <x v="32"/>
    <n v="346.08000000000004"/>
  </r>
  <r>
    <d v="2022-12-07T00:00:00"/>
    <x v="9"/>
    <x v="3"/>
    <x v="2"/>
    <n v="981.71"/>
    <n v="729.44"/>
    <n v="7"/>
    <n v="6871.97"/>
    <n v="5106.08"/>
    <n v="1765.8900000000003"/>
    <n v="0.25696998095160489"/>
    <x v="33"/>
    <n v="1765.8900000000003"/>
  </r>
  <r>
    <d v="2023-03-19T00:00:00"/>
    <x v="8"/>
    <x v="1"/>
    <x v="0"/>
    <n v="1549.83"/>
    <n v="1368.47"/>
    <n v="6"/>
    <n v="9298.98"/>
    <n v="8210.82"/>
    <n v="1088.1599999999999"/>
    <n v="0.11701928598620492"/>
    <x v="19"/>
    <n v="1088.1599999999999"/>
  </r>
  <r>
    <d v="2024-06-10T00:00:00"/>
    <x v="2"/>
    <x v="0"/>
    <x v="1"/>
    <n v="1830.65"/>
    <n v="1531.97"/>
    <n v="1"/>
    <n v="1830.65"/>
    <n v="1531.97"/>
    <n v="298.68000000000006"/>
    <n v="0.16315516346652831"/>
    <x v="4"/>
    <n v="298.68000000000006"/>
  </r>
  <r>
    <d v="2024-12-23T00:00:00"/>
    <x v="8"/>
    <x v="1"/>
    <x v="1"/>
    <n v="334.3"/>
    <n v="211.59"/>
    <n v="5"/>
    <n v="1671.5"/>
    <n v="1057.95"/>
    <n v="613.54999999999995"/>
    <n v="0.36706551002093923"/>
    <x v="23"/>
    <n v="613.54999999999995"/>
  </r>
  <r>
    <d v="2023-03-19T00:00:00"/>
    <x v="7"/>
    <x v="0"/>
    <x v="0"/>
    <n v="1545.65"/>
    <n v="927.94"/>
    <n v="7"/>
    <n v="10819.550000000001"/>
    <n v="6495.58"/>
    <n v="4323.9700000000012"/>
    <n v="0.39964416265001784"/>
    <x v="19"/>
    <n v="4323.9700000000012"/>
  </r>
  <r>
    <d v="2024-03-04T00:00:00"/>
    <x v="9"/>
    <x v="3"/>
    <x v="2"/>
    <n v="633.66"/>
    <n v="561.99"/>
    <n v="7"/>
    <n v="4435.62"/>
    <n v="3933.9300000000003"/>
    <n v="501.6899999999996"/>
    <n v="0.11310481961935415"/>
    <x v="29"/>
    <n v="501.6899999999996"/>
  </r>
  <r>
    <d v="2024-11-13T00:00:00"/>
    <x v="5"/>
    <x v="3"/>
    <x v="0"/>
    <n v="1874.04"/>
    <n v="1609.23"/>
    <n v="1"/>
    <n v="1874.04"/>
    <n v="1609.23"/>
    <n v="264.80999999999995"/>
    <n v="0.14130434782608692"/>
    <x v="2"/>
    <n v="264.80999999999995"/>
  </r>
  <r>
    <d v="2024-02-27T00:00:00"/>
    <x v="8"/>
    <x v="1"/>
    <x v="3"/>
    <n v="774.13"/>
    <n v="428.3"/>
    <n v="2"/>
    <n v="1548.26"/>
    <n v="856.6"/>
    <n v="691.66"/>
    <n v="0.44673375272886984"/>
    <x v="34"/>
    <n v="691.66"/>
  </r>
  <r>
    <d v="2024-04-07T00:00:00"/>
    <x v="3"/>
    <x v="2"/>
    <x v="2"/>
    <n v="975.76"/>
    <n v="827.35"/>
    <n v="8"/>
    <n v="7806.08"/>
    <n v="6618.8"/>
    <n v="1187.2799999999997"/>
    <n v="0.15209682708862832"/>
    <x v="22"/>
    <n v="1187.2799999999997"/>
  </r>
  <r>
    <d v="2024-04-24T00:00:00"/>
    <x v="3"/>
    <x v="2"/>
    <x v="0"/>
    <n v="1117.72"/>
    <n v="767.61"/>
    <n v="9"/>
    <n v="10059.48"/>
    <n v="6908.49"/>
    <n v="3150.99"/>
    <n v="0.31323587302723399"/>
    <x v="22"/>
    <n v="3150.99"/>
  </r>
  <r>
    <d v="2023-05-04T00:00:00"/>
    <x v="10"/>
    <x v="2"/>
    <x v="3"/>
    <n v="1538.85"/>
    <n v="1277.06"/>
    <n v="3"/>
    <n v="4616.5499999999993"/>
    <n v="3831.18"/>
    <n v="785.36999999999944"/>
    <n v="0.17012054456249787"/>
    <x v="31"/>
    <n v="785.36999999999944"/>
  </r>
  <r>
    <d v="2022-10-26T00:00:00"/>
    <x v="8"/>
    <x v="1"/>
    <x v="3"/>
    <n v="68.06"/>
    <n v="34.270000000000003"/>
    <n v="3"/>
    <n v="204.18"/>
    <n v="102.81"/>
    <n v="101.37"/>
    <n v="0.49647369967675581"/>
    <x v="25"/>
    <n v="101.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D7372-7F33-43F8-A1FA-56D5EB0375ED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numFmtId="14" showAll="0"/>
    <pivotField showAll="0"/>
    <pivotField axis="axisRow" showAll="0" sortType="ascending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9162B-C692-4325-8F86-C2355B6A3179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F9" firstHeaderRow="1" firstDataRow="2" firstDataCol="1"/>
  <pivotFields count="12">
    <pivotField numFmtId="14" showAll="0"/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Średnia z Margin%" fld="10" subtotal="average" baseField="2" baseItem="0" numFmtId="9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FB482-7CD6-4AEA-8615-9830CD602E48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7">
  <location ref="A3:B40" firstHeaderRow="1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axis="axisRow" showAll="0" sortType="ascending">
      <items count="37">
        <item x="9"/>
        <item x="20"/>
        <item x="7"/>
        <item x="32"/>
        <item x="35"/>
        <item x="18"/>
        <item x="8"/>
        <item x="15"/>
        <item x="12"/>
        <item x="25"/>
        <item x="1"/>
        <item x="33"/>
        <item x="13"/>
        <item x="27"/>
        <item x="19"/>
        <item x="6"/>
        <item x="31"/>
        <item x="0"/>
        <item x="11"/>
        <item x="14"/>
        <item x="24"/>
        <item x="5"/>
        <item x="10"/>
        <item x="30"/>
        <item x="26"/>
        <item x="34"/>
        <item x="29"/>
        <item x="22"/>
        <item x="3"/>
        <item x="4"/>
        <item x="28"/>
        <item x="21"/>
        <item x="16"/>
        <item x="17"/>
        <item x="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37">
    <i>
      <x v="7"/>
    </i>
    <i>
      <x v="30"/>
    </i>
    <i>
      <x v="11"/>
    </i>
    <i>
      <x v="25"/>
    </i>
    <i>
      <x v="20"/>
    </i>
    <i>
      <x v="22"/>
    </i>
    <i>
      <x v="3"/>
    </i>
    <i>
      <x v="4"/>
    </i>
    <i>
      <x v="12"/>
    </i>
    <i>
      <x v="28"/>
    </i>
    <i>
      <x v="13"/>
    </i>
    <i>
      <x/>
    </i>
    <i>
      <x v="27"/>
    </i>
    <i>
      <x v="33"/>
    </i>
    <i>
      <x v="35"/>
    </i>
    <i>
      <x v="23"/>
    </i>
    <i>
      <x v="16"/>
    </i>
    <i>
      <x v="34"/>
    </i>
    <i>
      <x v="2"/>
    </i>
    <i>
      <x v="18"/>
    </i>
    <i>
      <x v="17"/>
    </i>
    <i>
      <x v="5"/>
    </i>
    <i>
      <x v="32"/>
    </i>
    <i>
      <x v="8"/>
    </i>
    <i>
      <x v="21"/>
    </i>
    <i>
      <x v="9"/>
    </i>
    <i>
      <x v="10"/>
    </i>
    <i>
      <x v="19"/>
    </i>
    <i>
      <x v="1"/>
    </i>
    <i>
      <x v="15"/>
    </i>
    <i>
      <x v="29"/>
    </i>
    <i>
      <x v="31"/>
    </i>
    <i>
      <x v="14"/>
    </i>
    <i>
      <x v="6"/>
    </i>
    <i>
      <x v="26"/>
    </i>
    <i>
      <x v="24"/>
    </i>
    <i t="grand">
      <x/>
    </i>
  </rowItems>
  <colItems count="1">
    <i/>
  </colItems>
  <dataFields count="1">
    <dataField name="Suma z Revenue" fld="7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6BFA0-995A-4978-86A3-B4364D3C6330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5" firstHeaderRow="1" firstDataRow="1" firstDataCol="1"/>
  <pivotFields count="12">
    <pivotField numFmtId="14" showAll="0"/>
    <pivotField axis="axisRow" showAll="0" sortType="descending">
      <items count="12">
        <item x="5"/>
        <item x="6"/>
        <item x="4"/>
        <item x="10"/>
        <item x="9"/>
        <item x="0"/>
        <item x="7"/>
        <item x="2"/>
        <item x="3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</pivotFields>
  <rowFields count="1">
    <field x="1"/>
  </rowFields>
  <rowItems count="12">
    <i>
      <x v="5"/>
    </i>
    <i>
      <x/>
    </i>
    <i>
      <x v="2"/>
    </i>
    <i>
      <x v="7"/>
    </i>
    <i>
      <x v="3"/>
    </i>
    <i>
      <x v="9"/>
    </i>
    <i>
      <x v="1"/>
    </i>
    <i>
      <x v="8"/>
    </i>
    <i>
      <x v="6"/>
    </i>
    <i>
      <x v="4"/>
    </i>
    <i>
      <x v="10"/>
    </i>
    <i t="grand">
      <x/>
    </i>
  </rowItems>
  <colItems count="1">
    <i/>
  </colItems>
  <dataFields count="1">
    <dataField name="Suma z Revenue" fld="7" baseField="0" baseItem="0"/>
  </dataFields>
  <formats count="1"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7861A-0BE4-436E-A909-4FFC1061A830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F9" firstHeaderRow="1" firstDataRow="2" firstDataCol="1"/>
  <pivotFields count="12">
    <pivotField numFmtId="14" showAll="0"/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0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a z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DAB24-5BE8-4D25-BD64-F8E3FCD36D2E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numFmtId="14"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Profit" fld="12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93ECE-FE9C-424A-9A44-C3C1E83174C8}" name="Tabela przestawna2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5" firstHeaderRow="1" firstDataRow="1" firstDataCol="1"/>
  <pivotFields count="13">
    <pivotField numFmtId="14" showAll="0"/>
    <pivotField axis="axisRow" showAll="0" sortType="ascending">
      <items count="12">
        <item x="5"/>
        <item x="6"/>
        <item x="4"/>
        <item x="10"/>
        <item x="9"/>
        <item x="0"/>
        <item x="7"/>
        <item x="2"/>
        <item x="3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/>
  </pivotFields>
  <rowFields count="1">
    <field x="1"/>
  </rowFields>
  <rowItems count="12">
    <i>
      <x v="10"/>
    </i>
    <i>
      <x v="4"/>
    </i>
    <i>
      <x v="6"/>
    </i>
    <i>
      <x v="8"/>
    </i>
    <i>
      <x v="1"/>
    </i>
    <i>
      <x v="9"/>
    </i>
    <i>
      <x v="3"/>
    </i>
    <i>
      <x v="7"/>
    </i>
    <i>
      <x v="2"/>
    </i>
    <i>
      <x/>
    </i>
    <i>
      <x v="5"/>
    </i>
    <i t="grand">
      <x/>
    </i>
  </rowItems>
  <colItems count="1">
    <i/>
  </colItems>
  <dataFields count="1">
    <dataField name="Suma z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DBF3A-6DE7-471E-9FE6-51683FF07B58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3">
    <pivotField numFmtId="14"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>
      <items count="37">
        <item x="9"/>
        <item x="20"/>
        <item x="7"/>
        <item x="32"/>
        <item x="35"/>
        <item x="18"/>
        <item x="8"/>
        <item x="15"/>
        <item x="12"/>
        <item x="25"/>
        <item x="1"/>
        <item x="33"/>
        <item x="13"/>
        <item x="27"/>
        <item x="19"/>
        <item x="6"/>
        <item x="31"/>
        <item x="0"/>
        <item x="11"/>
        <item x="14"/>
        <item x="24"/>
        <item x="5"/>
        <item x="10"/>
        <item x="30"/>
        <item x="26"/>
        <item x="34"/>
        <item x="29"/>
        <item x="22"/>
        <item x="3"/>
        <item x="4"/>
        <item x="28"/>
        <item x="21"/>
        <item x="16"/>
        <item x="17"/>
        <item x="2"/>
        <item x="23"/>
        <item t="default"/>
      </items>
    </pivotField>
    <pivotField showAll="0"/>
  </pivotFields>
  <rowFields count="1">
    <field x="2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a z Revenue" fld="7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29AB8-5499-4105-8D5B-8BB925ACA9DC}" name="Tabela przestawna2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3">
    <pivotField numFmtId="14"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Profit" fld="1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D685-7255-4B56-BCB0-9EEC3EAFD558}">
  <dimension ref="A3:F10"/>
  <sheetViews>
    <sheetView workbookViewId="0">
      <selection activeCell="F16" sqref="F16"/>
    </sheetView>
  </sheetViews>
  <sheetFormatPr defaultRowHeight="15" x14ac:dyDescent="0.25"/>
  <cols>
    <col min="1" max="1" width="17.7109375" bestFit="1" customWidth="1"/>
    <col min="2" max="2" width="15.5703125" bestFit="1" customWidth="1"/>
    <col min="4" max="4" width="15.140625" customWidth="1"/>
    <col min="5" max="5" width="16.85546875" customWidth="1"/>
    <col min="6" max="6" width="17.140625" customWidth="1"/>
  </cols>
  <sheetData>
    <row r="3" spans="1:6" x14ac:dyDescent="0.25">
      <c r="A3" s="4" t="s">
        <v>32</v>
      </c>
      <c r="B3" t="s">
        <v>31</v>
      </c>
      <c r="D3" s="18" t="s">
        <v>34</v>
      </c>
      <c r="E3" s="19"/>
      <c r="F3" s="20"/>
    </row>
    <row r="4" spans="1:6" x14ac:dyDescent="0.25">
      <c r="A4" s="5" t="s">
        <v>15</v>
      </c>
      <c r="B4">
        <v>5218963.4699999895</v>
      </c>
      <c r="D4" s="21"/>
      <c r="E4" s="22"/>
      <c r="F4" s="23"/>
    </row>
    <row r="5" spans="1:6" x14ac:dyDescent="0.25">
      <c r="A5" s="5" t="s">
        <v>8</v>
      </c>
      <c r="B5">
        <v>5296170.76</v>
      </c>
      <c r="D5" s="24" t="s">
        <v>35</v>
      </c>
      <c r="E5" s="24"/>
      <c r="F5" s="24"/>
    </row>
    <row r="6" spans="1:6" x14ac:dyDescent="0.25">
      <c r="A6" s="5" t="s">
        <v>20</v>
      </c>
      <c r="B6">
        <v>5098751.1399999894</v>
      </c>
      <c r="D6" s="24"/>
      <c r="E6" s="24"/>
      <c r="F6" s="24"/>
    </row>
    <row r="7" spans="1:6" x14ac:dyDescent="0.25">
      <c r="A7" s="5" t="s">
        <v>11</v>
      </c>
      <c r="B7">
        <v>3243365.1899999948</v>
      </c>
      <c r="D7" s="25" t="s">
        <v>36</v>
      </c>
      <c r="E7" s="25"/>
      <c r="F7" s="25"/>
    </row>
    <row r="8" spans="1:6" x14ac:dyDescent="0.25">
      <c r="A8" s="5" t="s">
        <v>33</v>
      </c>
      <c r="B8">
        <v>18857250.559999973</v>
      </c>
      <c r="D8" s="25"/>
      <c r="E8" s="25"/>
      <c r="F8" s="25"/>
    </row>
    <row r="9" spans="1:6" x14ac:dyDescent="0.25">
      <c r="D9" s="16" t="s">
        <v>37</v>
      </c>
      <c r="E9" s="17"/>
      <c r="F9" s="17"/>
    </row>
    <row r="10" spans="1:6" x14ac:dyDescent="0.25">
      <c r="D10" s="17"/>
      <c r="E10" s="17"/>
      <c r="F10" s="17"/>
    </row>
  </sheetData>
  <mergeCells count="4">
    <mergeCell ref="D9:F10"/>
    <mergeCell ref="D3:F4"/>
    <mergeCell ref="D5:F6"/>
    <mergeCell ref="D7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551A-A721-46F9-95E3-33FA1D7AD37F}">
  <dimension ref="A3:J9"/>
  <sheetViews>
    <sheetView workbookViewId="0">
      <selection activeCell="K13" sqref="K13"/>
    </sheetView>
  </sheetViews>
  <sheetFormatPr defaultRowHeight="15" x14ac:dyDescent="0.25"/>
  <cols>
    <col min="1" max="2" width="17.7109375" bestFit="1" customWidth="1"/>
    <col min="3" max="4" width="6.140625" bestFit="1" customWidth="1"/>
    <col min="5" max="5" width="5.7109375" bestFit="1" customWidth="1"/>
    <col min="6" max="6" width="14.28515625" bestFit="1" customWidth="1"/>
  </cols>
  <sheetData>
    <row r="3" spans="1:10" x14ac:dyDescent="0.25">
      <c r="A3" s="4" t="s">
        <v>38</v>
      </c>
      <c r="B3" s="4" t="s">
        <v>39</v>
      </c>
      <c r="H3" s="26" t="s">
        <v>40</v>
      </c>
      <c r="I3" s="26"/>
      <c r="J3" s="26"/>
    </row>
    <row r="4" spans="1:10" x14ac:dyDescent="0.25">
      <c r="A4" s="4" t="s">
        <v>32</v>
      </c>
      <c r="B4" t="s">
        <v>17</v>
      </c>
      <c r="C4" t="s">
        <v>18</v>
      </c>
      <c r="D4" t="s">
        <v>9</v>
      </c>
      <c r="E4" t="s">
        <v>13</v>
      </c>
      <c r="F4" t="s">
        <v>33</v>
      </c>
      <c r="H4" s="26"/>
      <c r="I4" s="26"/>
      <c r="J4" s="26"/>
    </row>
    <row r="5" spans="1:10" ht="15" customHeight="1" x14ac:dyDescent="0.25">
      <c r="A5" s="5" t="s">
        <v>15</v>
      </c>
      <c r="B5" s="6">
        <v>0.30663429526693475</v>
      </c>
      <c r="C5" s="6">
        <v>0.29782891312048504</v>
      </c>
      <c r="D5" s="6">
        <v>0.30111242660650012</v>
      </c>
      <c r="E5" s="6">
        <v>0.29284896585335446</v>
      </c>
      <c r="F5" s="6">
        <v>0.29968750130711491</v>
      </c>
      <c r="H5" s="16" t="s">
        <v>41</v>
      </c>
      <c r="I5" s="16"/>
      <c r="J5" s="16"/>
    </row>
    <row r="6" spans="1:10" x14ac:dyDescent="0.25">
      <c r="A6" s="5" t="s">
        <v>8</v>
      </c>
      <c r="B6" s="6">
        <v>0.2907439340363826</v>
      </c>
      <c r="C6" s="6">
        <v>0.29311499744084535</v>
      </c>
      <c r="D6" s="6">
        <v>0.29749991901087053</v>
      </c>
      <c r="E6" s="6">
        <v>0.29583787999462779</v>
      </c>
      <c r="F6" s="6">
        <v>0.29441228925155694</v>
      </c>
      <c r="H6" s="16"/>
      <c r="I6" s="16"/>
      <c r="J6" s="16"/>
    </row>
    <row r="7" spans="1:10" x14ac:dyDescent="0.25">
      <c r="A7" s="5" t="s">
        <v>20</v>
      </c>
      <c r="B7" s="6">
        <v>0.30607853181003991</v>
      </c>
      <c r="C7" s="6">
        <v>0.29722761672485143</v>
      </c>
      <c r="D7" s="6">
        <v>0.29862598931126699</v>
      </c>
      <c r="E7" s="6">
        <v>0.31169222950678421</v>
      </c>
      <c r="F7" s="6">
        <v>0.30359965507400394</v>
      </c>
      <c r="H7" s="16"/>
      <c r="I7" s="16"/>
      <c r="J7" s="16"/>
    </row>
    <row r="8" spans="1:10" x14ac:dyDescent="0.25">
      <c r="A8" s="5" t="s">
        <v>11</v>
      </c>
      <c r="B8" s="6">
        <v>0.31329692005236714</v>
      </c>
      <c r="C8" s="6">
        <v>0.30479628944724951</v>
      </c>
      <c r="D8" s="6">
        <v>0.29396128770899155</v>
      </c>
      <c r="E8" s="6">
        <v>0.30060899824633786</v>
      </c>
      <c r="F8" s="6">
        <v>0.30296688428814889</v>
      </c>
      <c r="H8" s="16"/>
      <c r="I8" s="16"/>
      <c r="J8" s="16"/>
    </row>
    <row r="9" spans="1:10" x14ac:dyDescent="0.25">
      <c r="A9" s="5" t="s">
        <v>33</v>
      </c>
      <c r="B9" s="6">
        <v>0.30359120460693217</v>
      </c>
      <c r="C9" s="6">
        <v>0.29755571806710457</v>
      </c>
      <c r="D9" s="6">
        <v>0.29802621187767642</v>
      </c>
      <c r="E9" s="6">
        <v>0.30006696506762259</v>
      </c>
      <c r="F9" s="6">
        <v>0.29982194457326788</v>
      </c>
    </row>
  </sheetData>
  <mergeCells count="2">
    <mergeCell ref="H3:J4"/>
    <mergeCell ref="H5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0F6C-DCDE-4B7B-A889-D652344683D9}">
  <dimension ref="A3:W40"/>
  <sheetViews>
    <sheetView topLeftCell="A10" workbookViewId="0">
      <selection activeCell="U23" sqref="U23"/>
    </sheetView>
  </sheetViews>
  <sheetFormatPr defaultRowHeight="15" x14ac:dyDescent="0.25"/>
  <cols>
    <col min="1" max="1" width="17.7109375" bestFit="1" customWidth="1"/>
    <col min="2" max="2" width="15.5703125" bestFit="1" customWidth="1"/>
    <col min="21" max="21" width="10.28515625" customWidth="1"/>
    <col min="22" max="22" width="10.7109375" customWidth="1"/>
    <col min="23" max="23" width="11.140625" customWidth="1"/>
  </cols>
  <sheetData>
    <row r="3" spans="1:23" x14ac:dyDescent="0.25">
      <c r="A3" s="4" t="s">
        <v>32</v>
      </c>
      <c r="B3" t="s">
        <v>31</v>
      </c>
      <c r="T3" s="9"/>
      <c r="U3" s="26" t="s">
        <v>78</v>
      </c>
      <c r="V3" s="27"/>
      <c r="W3" s="27"/>
    </row>
    <row r="4" spans="1:23" x14ac:dyDescent="0.25">
      <c r="A4" s="5" t="s">
        <v>49</v>
      </c>
      <c r="B4">
        <v>412573.28</v>
      </c>
      <c r="U4" s="27"/>
      <c r="V4" s="27"/>
      <c r="W4" s="27"/>
    </row>
    <row r="5" spans="1:23" ht="15" customHeight="1" x14ac:dyDescent="0.25">
      <c r="A5" s="5" t="s">
        <v>72</v>
      </c>
      <c r="B5">
        <v>434228.76</v>
      </c>
      <c r="U5" s="16" t="s">
        <v>79</v>
      </c>
      <c r="V5" s="16"/>
      <c r="W5" s="16"/>
    </row>
    <row r="6" spans="1:23" x14ac:dyDescent="0.25">
      <c r="A6" s="5" t="s">
        <v>53</v>
      </c>
      <c r="B6">
        <v>437737.14999999997</v>
      </c>
      <c r="U6" s="16"/>
      <c r="V6" s="16"/>
      <c r="W6" s="16"/>
    </row>
    <row r="7" spans="1:23" x14ac:dyDescent="0.25">
      <c r="A7" s="5" t="s">
        <v>67</v>
      </c>
      <c r="B7">
        <v>452418.37000000017</v>
      </c>
      <c r="U7" s="16"/>
      <c r="V7" s="16"/>
      <c r="W7" s="16"/>
    </row>
    <row r="8" spans="1:23" x14ac:dyDescent="0.25">
      <c r="A8" s="5" t="s">
        <v>62</v>
      </c>
      <c r="B8">
        <v>468929.11000000004</v>
      </c>
    </row>
    <row r="9" spans="1:23" x14ac:dyDescent="0.25">
      <c r="A9" s="5" t="s">
        <v>64</v>
      </c>
      <c r="B9">
        <v>472087.21000000008</v>
      </c>
    </row>
    <row r="10" spans="1:23" x14ac:dyDescent="0.25">
      <c r="A10" s="5" t="s">
        <v>45</v>
      </c>
      <c r="B10">
        <v>473054.88999999996</v>
      </c>
    </row>
    <row r="11" spans="1:23" x14ac:dyDescent="0.25">
      <c r="A11" s="5" t="s">
        <v>46</v>
      </c>
      <c r="B11">
        <v>480253.75</v>
      </c>
    </row>
    <row r="12" spans="1:23" x14ac:dyDescent="0.25">
      <c r="A12" s="5" t="s">
        <v>54</v>
      </c>
      <c r="B12">
        <v>486291.95</v>
      </c>
    </row>
    <row r="13" spans="1:23" x14ac:dyDescent="0.25">
      <c r="A13" s="5" t="s">
        <v>70</v>
      </c>
      <c r="B13">
        <v>498053.38999999984</v>
      </c>
    </row>
    <row r="14" spans="1:23" x14ac:dyDescent="0.25">
      <c r="A14" s="5" t="s">
        <v>55</v>
      </c>
      <c r="B14">
        <v>503081.06</v>
      </c>
    </row>
    <row r="15" spans="1:23" x14ac:dyDescent="0.25">
      <c r="A15" s="5" t="s">
        <v>42</v>
      </c>
      <c r="B15">
        <v>504693.98999999987</v>
      </c>
    </row>
    <row r="16" spans="1:23" x14ac:dyDescent="0.25">
      <c r="A16" s="5" t="s">
        <v>69</v>
      </c>
      <c r="B16">
        <v>508335.24999999994</v>
      </c>
    </row>
    <row r="17" spans="1:2" x14ac:dyDescent="0.25">
      <c r="A17" s="5" t="s">
        <v>75</v>
      </c>
      <c r="B17">
        <v>511843.98000000016</v>
      </c>
    </row>
    <row r="18" spans="1:2" x14ac:dyDescent="0.25">
      <c r="A18" s="5" t="s">
        <v>77</v>
      </c>
      <c r="B18">
        <v>516535.6700000001</v>
      </c>
    </row>
    <row r="19" spans="1:2" x14ac:dyDescent="0.25">
      <c r="A19" s="5" t="s">
        <v>65</v>
      </c>
      <c r="B19">
        <v>516660.54999999993</v>
      </c>
    </row>
    <row r="20" spans="1:2" x14ac:dyDescent="0.25">
      <c r="A20" s="5" t="s">
        <v>58</v>
      </c>
      <c r="B20">
        <v>516797.87000000017</v>
      </c>
    </row>
    <row r="21" spans="1:2" x14ac:dyDescent="0.25">
      <c r="A21" s="5" t="s">
        <v>76</v>
      </c>
      <c r="B21">
        <v>517918.10999999993</v>
      </c>
    </row>
    <row r="22" spans="1:2" x14ac:dyDescent="0.25">
      <c r="A22" s="5" t="s">
        <v>44</v>
      </c>
      <c r="B22">
        <v>521573.00999999989</v>
      </c>
    </row>
    <row r="23" spans="1:2" x14ac:dyDescent="0.25">
      <c r="A23" s="5" t="s">
        <v>60</v>
      </c>
      <c r="B23">
        <v>523396.93000000005</v>
      </c>
    </row>
    <row r="24" spans="1:2" x14ac:dyDescent="0.25">
      <c r="A24" s="5" t="s">
        <v>59</v>
      </c>
      <c r="B24">
        <v>527968.92999999993</v>
      </c>
    </row>
    <row r="25" spans="1:2" x14ac:dyDescent="0.25">
      <c r="A25" s="5" t="s">
        <v>47</v>
      </c>
      <c r="B25">
        <v>531696.1100000001</v>
      </c>
    </row>
    <row r="26" spans="1:2" x14ac:dyDescent="0.25">
      <c r="A26" s="5" t="s">
        <v>74</v>
      </c>
      <c r="B26">
        <v>534796.60999999975</v>
      </c>
    </row>
    <row r="27" spans="1:2" x14ac:dyDescent="0.25">
      <c r="A27" s="5" t="s">
        <v>50</v>
      </c>
      <c r="B27">
        <v>548104.75</v>
      </c>
    </row>
    <row r="28" spans="1:2" x14ac:dyDescent="0.25">
      <c r="A28" s="5" t="s">
        <v>63</v>
      </c>
      <c r="B28">
        <v>562485.46</v>
      </c>
    </row>
    <row r="29" spans="1:2" x14ac:dyDescent="0.25">
      <c r="A29" s="5" t="s">
        <v>51</v>
      </c>
      <c r="B29">
        <v>564880.65</v>
      </c>
    </row>
    <row r="30" spans="1:2" x14ac:dyDescent="0.25">
      <c r="A30" s="5" t="s">
        <v>52</v>
      </c>
      <c r="B30">
        <v>565377.18000000017</v>
      </c>
    </row>
    <row r="31" spans="1:2" x14ac:dyDescent="0.25">
      <c r="A31" s="5" t="s">
        <v>61</v>
      </c>
      <c r="B31">
        <v>566578.27</v>
      </c>
    </row>
    <row r="32" spans="1:2" x14ac:dyDescent="0.25">
      <c r="A32" s="5" t="s">
        <v>43</v>
      </c>
      <c r="B32">
        <v>567807.37999999989</v>
      </c>
    </row>
    <row r="33" spans="1:2" x14ac:dyDescent="0.25">
      <c r="A33" s="5" t="s">
        <v>57</v>
      </c>
      <c r="B33">
        <v>570080.63</v>
      </c>
    </row>
    <row r="34" spans="1:2" x14ac:dyDescent="0.25">
      <c r="A34" s="5" t="s">
        <v>71</v>
      </c>
      <c r="B34">
        <v>571428.82999999996</v>
      </c>
    </row>
    <row r="35" spans="1:2" x14ac:dyDescent="0.25">
      <c r="A35" s="5" t="s">
        <v>73</v>
      </c>
      <c r="B35">
        <v>574242.81999999995</v>
      </c>
    </row>
    <row r="36" spans="1:2" x14ac:dyDescent="0.25">
      <c r="A36" s="5" t="s">
        <v>56</v>
      </c>
      <c r="B36">
        <v>586010.58000000031</v>
      </c>
    </row>
    <row r="37" spans="1:2" x14ac:dyDescent="0.25">
      <c r="A37" s="5" t="s">
        <v>48</v>
      </c>
      <c r="B37">
        <v>591377.85000000009</v>
      </c>
    </row>
    <row r="38" spans="1:2" x14ac:dyDescent="0.25">
      <c r="A38" s="5" t="s">
        <v>68</v>
      </c>
      <c r="B38">
        <v>616123.16999999969</v>
      </c>
    </row>
    <row r="39" spans="1:2" x14ac:dyDescent="0.25">
      <c r="A39" s="5" t="s">
        <v>66</v>
      </c>
      <c r="B39">
        <v>621827.06000000052</v>
      </c>
    </row>
    <row r="40" spans="1:2" x14ac:dyDescent="0.25">
      <c r="A40" s="5" t="s">
        <v>33</v>
      </c>
      <c r="B40">
        <v>18857250.560000002</v>
      </c>
    </row>
  </sheetData>
  <mergeCells count="2">
    <mergeCell ref="U3:W4"/>
    <mergeCell ref="U5:W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7495-8AE0-4CB4-AB2A-D71F14C2651B}">
  <dimension ref="A2:I16"/>
  <sheetViews>
    <sheetView workbookViewId="0">
      <selection activeCell="J10" sqref="J10"/>
    </sheetView>
  </sheetViews>
  <sheetFormatPr defaultRowHeight="15" x14ac:dyDescent="0.25"/>
  <cols>
    <col min="1" max="1" width="17.7109375" bestFit="1" customWidth="1"/>
    <col min="2" max="2" width="15.5703125" bestFit="1" customWidth="1"/>
  </cols>
  <sheetData>
    <row r="2" spans="1:9" x14ac:dyDescent="0.25">
      <c r="E2" s="26" t="s">
        <v>80</v>
      </c>
      <c r="F2" s="26"/>
      <c r="G2" s="26"/>
    </row>
    <row r="3" spans="1:9" x14ac:dyDescent="0.25">
      <c r="A3" s="4" t="s">
        <v>32</v>
      </c>
      <c r="B3" t="s">
        <v>31</v>
      </c>
      <c r="E3" s="26"/>
      <c r="F3" s="26"/>
      <c r="G3" s="26"/>
    </row>
    <row r="4" spans="1:9" x14ac:dyDescent="0.25">
      <c r="A4" s="5" t="s">
        <v>7</v>
      </c>
      <c r="B4">
        <v>1856343.1600000011</v>
      </c>
      <c r="E4" s="32" t="s">
        <v>81</v>
      </c>
      <c r="F4" s="32"/>
      <c r="G4" s="32"/>
    </row>
    <row r="5" spans="1:9" x14ac:dyDescent="0.25">
      <c r="A5" s="5" t="s">
        <v>19</v>
      </c>
      <c r="B5">
        <v>1848982.1999999995</v>
      </c>
      <c r="E5" s="32" t="s">
        <v>82</v>
      </c>
      <c r="F5" s="32"/>
      <c r="G5" s="32"/>
    </row>
    <row r="6" spans="1:9" x14ac:dyDescent="0.25">
      <c r="A6" s="5" t="s">
        <v>16</v>
      </c>
      <c r="B6">
        <v>1826949.4300000006</v>
      </c>
      <c r="E6" s="32" t="s">
        <v>83</v>
      </c>
      <c r="F6" s="32"/>
      <c r="G6" s="32"/>
    </row>
    <row r="7" spans="1:9" x14ac:dyDescent="0.25">
      <c r="A7" s="5" t="s">
        <v>12</v>
      </c>
      <c r="B7">
        <v>1821758.9400000004</v>
      </c>
      <c r="E7" s="32" t="s">
        <v>84</v>
      </c>
      <c r="F7" s="32"/>
      <c r="G7" s="32"/>
    </row>
    <row r="8" spans="1:9" x14ac:dyDescent="0.25">
      <c r="A8" s="5" t="s">
        <v>25</v>
      </c>
      <c r="B8">
        <v>1742938.7599999998</v>
      </c>
      <c r="E8" s="32" t="s">
        <v>85</v>
      </c>
      <c r="F8" s="32"/>
      <c r="G8" s="32"/>
    </row>
    <row r="9" spans="1:9" x14ac:dyDescent="0.25">
      <c r="A9" s="5" t="s">
        <v>23</v>
      </c>
      <c r="B9">
        <v>1719115.0500000005</v>
      </c>
      <c r="E9" s="32" t="s">
        <v>86</v>
      </c>
      <c r="F9" s="32"/>
      <c r="G9" s="32"/>
    </row>
    <row r="10" spans="1:9" x14ac:dyDescent="0.25">
      <c r="A10" s="5" t="s">
        <v>21</v>
      </c>
      <c r="B10">
        <v>1699393.4600000002</v>
      </c>
      <c r="E10" s="32" t="s">
        <v>87</v>
      </c>
      <c r="F10" s="32"/>
      <c r="G10" s="32"/>
    </row>
    <row r="11" spans="1:9" x14ac:dyDescent="0.25">
      <c r="A11" s="5" t="s">
        <v>14</v>
      </c>
      <c r="B11">
        <v>1649075.2800000017</v>
      </c>
      <c r="E11" s="32" t="s">
        <v>88</v>
      </c>
      <c r="F11" s="32"/>
      <c r="G11" s="32"/>
    </row>
    <row r="12" spans="1:9" x14ac:dyDescent="0.25">
      <c r="A12" s="5" t="s">
        <v>22</v>
      </c>
      <c r="B12">
        <v>1618068.6600000008</v>
      </c>
      <c r="E12" s="32" t="s">
        <v>89</v>
      </c>
      <c r="F12" s="32"/>
      <c r="G12" s="32"/>
    </row>
    <row r="13" spans="1:9" x14ac:dyDescent="0.25">
      <c r="A13" s="5" t="s">
        <v>24</v>
      </c>
      <c r="B13">
        <v>1550375.4800000014</v>
      </c>
      <c r="E13" s="32" t="s">
        <v>90</v>
      </c>
      <c r="F13" s="32"/>
      <c r="G13" s="32"/>
    </row>
    <row r="14" spans="1:9" x14ac:dyDescent="0.25">
      <c r="A14" s="5" t="s">
        <v>10</v>
      </c>
      <c r="B14">
        <v>1524250.1399999997</v>
      </c>
      <c r="E14" s="28" t="s">
        <v>91</v>
      </c>
      <c r="F14" s="29"/>
      <c r="G14" s="30"/>
    </row>
    <row r="15" spans="1:9" x14ac:dyDescent="0.25">
      <c r="A15" s="5" t="s">
        <v>33</v>
      </c>
      <c r="B15" s="10">
        <v>18857250.560000006</v>
      </c>
      <c r="E15" s="31">
        <f>SUM(B4:B13)</f>
        <v>17333000.420000006</v>
      </c>
      <c r="F15" s="31"/>
      <c r="G15" s="31"/>
      <c r="I15" s="11"/>
    </row>
    <row r="16" spans="1:9" x14ac:dyDescent="0.25">
      <c r="E16" s="31"/>
      <c r="F16" s="31"/>
      <c r="G16" s="31"/>
    </row>
  </sheetData>
  <mergeCells count="13">
    <mergeCell ref="E14:G14"/>
    <mergeCell ref="E15:G16"/>
    <mergeCell ref="E2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A794-C48F-4E75-ACCA-6485A4F167FF}">
  <dimension ref="A2:L11"/>
  <sheetViews>
    <sheetView workbookViewId="0">
      <selection activeCell="M22" sqref="M22"/>
    </sheetView>
  </sheetViews>
  <sheetFormatPr defaultRowHeight="15" x14ac:dyDescent="0.25"/>
  <cols>
    <col min="1" max="2" width="17.7109375" bestFit="1" customWidth="1"/>
    <col min="3" max="4" width="6.140625" bestFit="1" customWidth="1"/>
    <col min="5" max="5" width="5.7109375" bestFit="1" customWidth="1"/>
    <col min="6" max="6" width="14.28515625" bestFit="1" customWidth="1"/>
  </cols>
  <sheetData>
    <row r="2" spans="1:12" x14ac:dyDescent="0.25">
      <c r="I2" s="33" t="s">
        <v>78</v>
      </c>
      <c r="J2" s="17"/>
      <c r="K2" s="17"/>
    </row>
    <row r="3" spans="1:12" x14ac:dyDescent="0.25">
      <c r="A3" s="4" t="s">
        <v>92</v>
      </c>
      <c r="B3" s="4" t="s">
        <v>39</v>
      </c>
      <c r="I3" s="34"/>
      <c r="J3" s="34"/>
      <c r="K3" s="34"/>
    </row>
    <row r="4" spans="1:12" x14ac:dyDescent="0.25">
      <c r="A4" s="4" t="s">
        <v>32</v>
      </c>
      <c r="B4" t="s">
        <v>17</v>
      </c>
      <c r="C4" t="s">
        <v>18</v>
      </c>
      <c r="D4" t="s">
        <v>9</v>
      </c>
      <c r="E4" t="s">
        <v>13</v>
      </c>
      <c r="F4" t="s">
        <v>33</v>
      </c>
      <c r="H4" s="35" t="s">
        <v>93</v>
      </c>
      <c r="I4" s="35"/>
      <c r="J4" s="35"/>
      <c r="K4" s="35"/>
      <c r="L4" s="35"/>
    </row>
    <row r="5" spans="1:12" x14ac:dyDescent="0.25">
      <c r="A5" s="5" t="s">
        <v>15</v>
      </c>
      <c r="B5">
        <v>1390</v>
      </c>
      <c r="C5">
        <v>1347</v>
      </c>
      <c r="D5">
        <v>1211</v>
      </c>
      <c r="E5">
        <v>1277</v>
      </c>
      <c r="F5">
        <v>5225</v>
      </c>
      <c r="H5" s="35"/>
      <c r="I5" s="35"/>
      <c r="J5" s="35"/>
      <c r="K5" s="35"/>
      <c r="L5" s="35"/>
    </row>
    <row r="6" spans="1:12" x14ac:dyDescent="0.25">
      <c r="A6" s="5" t="s">
        <v>8</v>
      </c>
      <c r="B6">
        <v>1249</v>
      </c>
      <c r="C6">
        <v>1278</v>
      </c>
      <c r="D6">
        <v>1430</v>
      </c>
      <c r="E6">
        <v>1259</v>
      </c>
      <c r="F6">
        <v>5216</v>
      </c>
      <c r="H6" s="35"/>
      <c r="I6" s="35"/>
      <c r="J6" s="35"/>
      <c r="K6" s="35"/>
      <c r="L6" s="35"/>
    </row>
    <row r="7" spans="1:12" x14ac:dyDescent="0.25">
      <c r="A7" s="5" t="s">
        <v>20</v>
      </c>
      <c r="B7">
        <v>1468</v>
      </c>
      <c r="C7">
        <v>1254</v>
      </c>
      <c r="D7">
        <v>1171</v>
      </c>
      <c r="E7">
        <v>1286</v>
      </c>
      <c r="F7">
        <v>5179</v>
      </c>
      <c r="H7" s="35"/>
      <c r="I7" s="35"/>
      <c r="J7" s="35"/>
      <c r="K7" s="35"/>
      <c r="L7" s="35"/>
    </row>
    <row r="8" spans="1:12" ht="15" customHeight="1" x14ac:dyDescent="0.25">
      <c r="A8" s="5" t="s">
        <v>11</v>
      </c>
      <c r="B8">
        <v>857</v>
      </c>
      <c r="C8">
        <v>854</v>
      </c>
      <c r="D8">
        <v>868</v>
      </c>
      <c r="E8">
        <v>775</v>
      </c>
      <c r="F8">
        <v>3354</v>
      </c>
      <c r="H8" s="35" t="s">
        <v>94</v>
      </c>
      <c r="I8" s="35"/>
      <c r="J8" s="35"/>
      <c r="K8" s="35"/>
      <c r="L8" s="35"/>
    </row>
    <row r="9" spans="1:12" x14ac:dyDescent="0.25">
      <c r="A9" s="5" t="s">
        <v>33</v>
      </c>
      <c r="B9">
        <v>4964</v>
      </c>
      <c r="C9">
        <v>4733</v>
      </c>
      <c r="D9">
        <v>4680</v>
      </c>
      <c r="E9">
        <v>4597</v>
      </c>
      <c r="F9">
        <v>18974</v>
      </c>
      <c r="H9" s="35"/>
      <c r="I9" s="35"/>
      <c r="J9" s="35"/>
      <c r="K9" s="35"/>
      <c r="L9" s="35"/>
    </row>
    <row r="10" spans="1:12" x14ac:dyDescent="0.25">
      <c r="H10" s="35"/>
      <c r="I10" s="35"/>
      <c r="J10" s="35"/>
      <c r="K10" s="35"/>
      <c r="L10" s="35"/>
    </row>
    <row r="11" spans="1:12" x14ac:dyDescent="0.25">
      <c r="H11" s="35"/>
      <c r="I11" s="35"/>
      <c r="J11" s="35"/>
      <c r="K11" s="35"/>
      <c r="L11" s="35"/>
    </row>
  </sheetData>
  <mergeCells count="3">
    <mergeCell ref="I2:K3"/>
    <mergeCell ref="H4:L7"/>
    <mergeCell ref="H8:L11"/>
  </mergeCell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0333-53C6-49AF-893E-13237036F23B}">
  <dimension ref="A3:I18"/>
  <sheetViews>
    <sheetView workbookViewId="0">
      <selection activeCell="M15" sqref="M15"/>
    </sheetView>
  </sheetViews>
  <sheetFormatPr defaultRowHeight="15" x14ac:dyDescent="0.25"/>
  <cols>
    <col min="1" max="1" width="17.7109375" bestFit="1" customWidth="1"/>
    <col min="2" max="2" width="12.5703125" bestFit="1" customWidth="1"/>
  </cols>
  <sheetData>
    <row r="3" spans="1:9" x14ac:dyDescent="0.25">
      <c r="A3" s="4" t="s">
        <v>32</v>
      </c>
      <c r="B3" t="s">
        <v>96</v>
      </c>
      <c r="G3" s="33" t="s">
        <v>78</v>
      </c>
      <c r="H3" s="17"/>
      <c r="I3" s="17"/>
    </row>
    <row r="4" spans="1:9" x14ac:dyDescent="0.25">
      <c r="A4" s="5" t="s">
        <v>15</v>
      </c>
      <c r="B4" s="10">
        <v>1564731.6000000013</v>
      </c>
      <c r="G4" s="17"/>
      <c r="H4" s="17"/>
      <c r="I4" s="17"/>
    </row>
    <row r="5" spans="1:9" ht="15" customHeight="1" x14ac:dyDescent="0.25">
      <c r="A5" s="5" t="s">
        <v>8</v>
      </c>
      <c r="B5" s="10">
        <v>1538839.0400000017</v>
      </c>
      <c r="G5" s="36" t="s">
        <v>97</v>
      </c>
      <c r="H5" s="16"/>
      <c r="I5" s="16"/>
    </row>
    <row r="6" spans="1:9" x14ac:dyDescent="0.25">
      <c r="A6" s="5" t="s">
        <v>20</v>
      </c>
      <c r="B6" s="10">
        <v>1558595.7000000002</v>
      </c>
      <c r="G6" s="16"/>
      <c r="H6" s="16"/>
      <c r="I6" s="16"/>
    </row>
    <row r="7" spans="1:9" x14ac:dyDescent="0.25">
      <c r="A7" s="5" t="s">
        <v>11</v>
      </c>
      <c r="B7" s="10">
        <v>986906.19000000041</v>
      </c>
      <c r="G7" s="16"/>
      <c r="H7" s="16"/>
      <c r="I7" s="16"/>
    </row>
    <row r="8" spans="1:9" x14ac:dyDescent="0.25">
      <c r="A8" s="5" t="s">
        <v>33</v>
      </c>
      <c r="B8" s="10">
        <v>5649072.530000004</v>
      </c>
      <c r="G8" s="16"/>
      <c r="H8" s="16"/>
      <c r="I8" s="16"/>
    </row>
    <row r="9" spans="1:9" ht="15" customHeight="1" x14ac:dyDescent="0.25">
      <c r="G9" s="36" t="s">
        <v>98</v>
      </c>
      <c r="H9" s="36"/>
      <c r="I9" s="36"/>
    </row>
    <row r="10" spans="1:9" x14ac:dyDescent="0.25">
      <c r="G10" s="36"/>
      <c r="H10" s="36"/>
      <c r="I10" s="36"/>
    </row>
    <row r="11" spans="1:9" x14ac:dyDescent="0.25">
      <c r="G11" s="36"/>
      <c r="H11" s="36"/>
      <c r="I11" s="36"/>
    </row>
    <row r="12" spans="1:9" x14ac:dyDescent="0.25">
      <c r="G12" s="36"/>
      <c r="H12" s="36"/>
      <c r="I12" s="36"/>
    </row>
    <row r="13" spans="1:9" x14ac:dyDescent="0.25">
      <c r="G13" s="36"/>
      <c r="H13" s="36"/>
      <c r="I13" s="36"/>
    </row>
    <row r="14" spans="1:9" x14ac:dyDescent="0.25">
      <c r="G14" s="36"/>
      <c r="H14" s="36"/>
      <c r="I14" s="36"/>
    </row>
    <row r="15" spans="1:9" x14ac:dyDescent="0.25">
      <c r="G15" s="36"/>
      <c r="H15" s="36"/>
      <c r="I15" s="36"/>
    </row>
    <row r="16" spans="1:9" x14ac:dyDescent="0.25">
      <c r="G16" s="36"/>
      <c r="H16" s="36"/>
      <c r="I16" s="36"/>
    </row>
    <row r="17" spans="7:9" x14ac:dyDescent="0.25">
      <c r="G17" s="36"/>
      <c r="H17" s="36"/>
      <c r="I17" s="36"/>
    </row>
    <row r="18" spans="7:9" x14ac:dyDescent="0.25">
      <c r="G18" s="36"/>
      <c r="H18" s="36"/>
      <c r="I18" s="36"/>
    </row>
  </sheetData>
  <mergeCells count="3">
    <mergeCell ref="G3:I4"/>
    <mergeCell ref="G5:I8"/>
    <mergeCell ref="G9:I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BE48-B2AA-46B5-8F39-8C8E584489CE}">
  <dimension ref="A3:E15"/>
  <sheetViews>
    <sheetView workbookViewId="0">
      <selection activeCell="F15" sqref="F15"/>
    </sheetView>
  </sheetViews>
  <sheetFormatPr defaultRowHeight="15" x14ac:dyDescent="0.25"/>
  <cols>
    <col min="1" max="1" width="17.7109375" bestFit="1" customWidth="1"/>
    <col min="2" max="2" width="15.5703125" bestFit="1" customWidth="1"/>
    <col min="3" max="3" width="13" customWidth="1"/>
    <col min="4" max="4" width="13.28515625" customWidth="1"/>
    <col min="5" max="5" width="12.85546875" customWidth="1"/>
  </cols>
  <sheetData>
    <row r="3" spans="1:5" x14ac:dyDescent="0.25">
      <c r="A3" s="4" t="s">
        <v>32</v>
      </c>
      <c r="B3" t="s">
        <v>31</v>
      </c>
      <c r="C3" s="12" t="s">
        <v>99</v>
      </c>
      <c r="D3" s="3"/>
      <c r="E3" s="6"/>
    </row>
    <row r="4" spans="1:5" x14ac:dyDescent="0.25">
      <c r="A4" s="5" t="s">
        <v>10</v>
      </c>
      <c r="B4">
        <v>1524250.1399999997</v>
      </c>
      <c r="C4" s="13">
        <f>B4/$B$15</f>
        <v>8.0830985150785378E-2</v>
      </c>
      <c r="D4" s="14">
        <f>C4</f>
        <v>8.0830985150785378E-2</v>
      </c>
      <c r="E4" s="6"/>
    </row>
    <row r="5" spans="1:5" x14ac:dyDescent="0.25">
      <c r="A5" s="5" t="s">
        <v>24</v>
      </c>
      <c r="B5">
        <v>1550375.4800000014</v>
      </c>
      <c r="C5" s="13">
        <f t="shared" ref="C5:C14" si="0">B5/$B$15</f>
        <v>8.2216411934869088E-2</v>
      </c>
      <c r="D5" s="14">
        <f>D4+C5</f>
        <v>0.16304739708565447</v>
      </c>
      <c r="E5" s="6"/>
    </row>
    <row r="6" spans="1:5" x14ac:dyDescent="0.25">
      <c r="A6" s="5" t="s">
        <v>22</v>
      </c>
      <c r="B6">
        <v>1618068.6600000008</v>
      </c>
      <c r="C6" s="13">
        <f t="shared" si="0"/>
        <v>8.5806181280331906E-2</v>
      </c>
      <c r="D6" s="14">
        <f t="shared" ref="D6:D14" si="1">D5+C6</f>
        <v>0.24885357836598637</v>
      </c>
      <c r="E6" s="6"/>
    </row>
    <row r="7" spans="1:5" x14ac:dyDescent="0.25">
      <c r="A7" s="5" t="s">
        <v>14</v>
      </c>
      <c r="B7">
        <v>1649075.2800000017</v>
      </c>
      <c r="C7" s="13">
        <f t="shared" si="0"/>
        <v>8.7450462343541202E-2</v>
      </c>
      <c r="D7" s="14">
        <f t="shared" si="1"/>
        <v>0.33630404070952757</v>
      </c>
      <c r="E7" s="6"/>
    </row>
    <row r="8" spans="1:5" x14ac:dyDescent="0.25">
      <c r="A8" s="5" t="s">
        <v>21</v>
      </c>
      <c r="B8">
        <v>1699393.4600000002</v>
      </c>
      <c r="C8" s="13">
        <f t="shared" si="0"/>
        <v>9.0118835436421102E-2</v>
      </c>
      <c r="D8" s="14">
        <f t="shared" si="1"/>
        <v>0.42642287614594865</v>
      </c>
      <c r="E8" s="6"/>
    </row>
    <row r="9" spans="1:5" x14ac:dyDescent="0.25">
      <c r="A9" s="5" t="s">
        <v>23</v>
      </c>
      <c r="B9">
        <v>1719115.0500000005</v>
      </c>
      <c r="C9" s="13">
        <f t="shared" si="0"/>
        <v>9.1164671357052807E-2</v>
      </c>
      <c r="D9" s="14">
        <f t="shared" si="1"/>
        <v>0.5175875475030014</v>
      </c>
      <c r="E9" s="6"/>
    </row>
    <row r="10" spans="1:5" x14ac:dyDescent="0.25">
      <c r="A10" s="5" t="s">
        <v>25</v>
      </c>
      <c r="B10">
        <v>1742938.7599999998</v>
      </c>
      <c r="C10" s="13">
        <f t="shared" si="0"/>
        <v>9.2428042701894253E-2</v>
      </c>
      <c r="D10" s="14">
        <f t="shared" si="1"/>
        <v>0.6100155902048956</v>
      </c>
      <c r="E10" s="6"/>
    </row>
    <row r="11" spans="1:5" x14ac:dyDescent="0.25">
      <c r="A11" s="5" t="s">
        <v>12</v>
      </c>
      <c r="B11">
        <v>1821758.9400000004</v>
      </c>
      <c r="C11" s="13">
        <f t="shared" si="0"/>
        <v>9.6607876859011191E-2</v>
      </c>
      <c r="D11" s="14">
        <f t="shared" si="1"/>
        <v>0.70662346706390677</v>
      </c>
      <c r="E11" s="6"/>
    </row>
    <row r="12" spans="1:5" x14ac:dyDescent="0.25">
      <c r="A12" s="5" t="s">
        <v>16</v>
      </c>
      <c r="B12">
        <v>1826949.4300000006</v>
      </c>
      <c r="C12" s="13">
        <f t="shared" si="0"/>
        <v>9.6883128544482791E-2</v>
      </c>
      <c r="D12" s="14">
        <f t="shared" si="1"/>
        <v>0.80350659560838955</v>
      </c>
      <c r="E12" s="6"/>
    </row>
    <row r="13" spans="1:5" x14ac:dyDescent="0.25">
      <c r="A13" s="5" t="s">
        <v>19</v>
      </c>
      <c r="B13">
        <v>1848982.1999999995</v>
      </c>
      <c r="C13" s="13">
        <f t="shared" si="0"/>
        <v>9.8051526340857981E-2</v>
      </c>
      <c r="D13" s="14">
        <f t="shared" si="1"/>
        <v>0.90155812194924756</v>
      </c>
      <c r="E13" s="6"/>
    </row>
    <row r="14" spans="1:5" x14ac:dyDescent="0.25">
      <c r="A14" s="5" t="s">
        <v>7</v>
      </c>
      <c r="B14">
        <v>1856343.1600000011</v>
      </c>
      <c r="C14" s="13">
        <f t="shared" si="0"/>
        <v>9.8441878050752302E-2</v>
      </c>
      <c r="D14" s="14">
        <f t="shared" si="1"/>
        <v>0.99999999999999989</v>
      </c>
      <c r="E14" s="6"/>
    </row>
    <row r="15" spans="1:5" x14ac:dyDescent="0.25">
      <c r="A15" s="5" t="s">
        <v>33</v>
      </c>
      <c r="B15">
        <v>18857250.560000006</v>
      </c>
      <c r="D15" s="15"/>
      <c r="E15" s="6"/>
    </row>
  </sheetData>
  <sortState xmlns:xlrd2="http://schemas.microsoft.com/office/spreadsheetml/2017/richdata2" ref="D4:D15">
    <sortCondition ref="D3:D1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27CA-BB6A-4376-8104-D5ADF075D367}">
  <dimension ref="A3:B8"/>
  <sheetViews>
    <sheetView workbookViewId="0">
      <selection activeCell="C11" sqref="C11"/>
    </sheetView>
  </sheetViews>
  <sheetFormatPr defaultRowHeight="15" x14ac:dyDescent="0.25"/>
  <cols>
    <col min="1" max="1" width="17.7109375" bestFit="1" customWidth="1"/>
    <col min="2" max="2" width="15.5703125" bestFit="1" customWidth="1"/>
  </cols>
  <sheetData>
    <row r="3" spans="1:2" x14ac:dyDescent="0.25">
      <c r="A3" s="4" t="s">
        <v>32</v>
      </c>
      <c r="B3" t="s">
        <v>31</v>
      </c>
    </row>
    <row r="4" spans="1:2" x14ac:dyDescent="0.25">
      <c r="A4" s="5" t="s">
        <v>8</v>
      </c>
      <c r="B4" s="37">
        <v>5296170.76</v>
      </c>
    </row>
    <row r="5" spans="1:2" x14ac:dyDescent="0.25">
      <c r="A5" s="5" t="s">
        <v>15</v>
      </c>
      <c r="B5" s="37">
        <v>5218963.4699999895</v>
      </c>
    </row>
    <row r="6" spans="1:2" x14ac:dyDescent="0.25">
      <c r="A6" s="5" t="s">
        <v>20</v>
      </c>
      <c r="B6" s="37">
        <v>5098751.1399999894</v>
      </c>
    </row>
    <row r="7" spans="1:2" x14ac:dyDescent="0.25">
      <c r="A7" s="5" t="s">
        <v>11</v>
      </c>
      <c r="B7" s="37">
        <v>3243365.1899999948</v>
      </c>
    </row>
    <row r="8" spans="1:2" x14ac:dyDescent="0.25">
      <c r="A8" s="5" t="s">
        <v>33</v>
      </c>
      <c r="B8" s="37">
        <v>18857250.559999973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FF71-15CB-42F9-B061-1DAF8B45A026}">
  <dimension ref="A3:B8"/>
  <sheetViews>
    <sheetView tabSelected="1" workbookViewId="0">
      <selection activeCell="Q20" sqref="Q20"/>
    </sheetView>
  </sheetViews>
  <sheetFormatPr defaultRowHeight="15" x14ac:dyDescent="0.25"/>
  <cols>
    <col min="1" max="1" width="17.7109375" bestFit="1" customWidth="1"/>
    <col min="2" max="2" width="12.5703125" bestFit="1" customWidth="1"/>
  </cols>
  <sheetData>
    <row r="3" spans="1:2" x14ac:dyDescent="0.25">
      <c r="A3" s="4" t="s">
        <v>32</v>
      </c>
      <c r="B3" t="s">
        <v>96</v>
      </c>
    </row>
    <row r="4" spans="1:2" x14ac:dyDescent="0.25">
      <c r="A4" s="5" t="s">
        <v>17</v>
      </c>
      <c r="B4" s="37">
        <v>1507624.8699999999</v>
      </c>
    </row>
    <row r="5" spans="1:2" x14ac:dyDescent="0.25">
      <c r="A5" s="5" t="s">
        <v>18</v>
      </c>
      <c r="B5" s="37">
        <v>1374854.9500000007</v>
      </c>
    </row>
    <row r="6" spans="1:2" x14ac:dyDescent="0.25">
      <c r="A6" s="5" t="s">
        <v>9</v>
      </c>
      <c r="B6" s="37">
        <v>1410354.5399999975</v>
      </c>
    </row>
    <row r="7" spans="1:2" x14ac:dyDescent="0.25">
      <c r="A7" s="5" t="s">
        <v>13</v>
      </c>
      <c r="B7" s="37">
        <v>1356238.170000003</v>
      </c>
    </row>
    <row r="8" spans="1:2" x14ac:dyDescent="0.25">
      <c r="A8" s="5" t="s">
        <v>33</v>
      </c>
      <c r="B8" s="37">
        <v>5649072.5300000003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01"/>
  <sheetViews>
    <sheetView workbookViewId="0">
      <selection activeCell="M2" sqref="M2"/>
    </sheetView>
  </sheetViews>
  <sheetFormatPr defaultRowHeight="15" x14ac:dyDescent="0.25"/>
  <cols>
    <col min="1" max="1" width="10.140625" style="1" bestFit="1" customWidth="1"/>
    <col min="11" max="11" width="9.5703125" style="8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26</v>
      </c>
      <c r="I1" s="3" t="s">
        <v>27</v>
      </c>
      <c r="J1" s="3" t="s">
        <v>28</v>
      </c>
      <c r="K1" s="7" t="s">
        <v>29</v>
      </c>
      <c r="L1" s="3" t="s">
        <v>30</v>
      </c>
      <c r="M1" s="3" t="s">
        <v>95</v>
      </c>
    </row>
    <row r="2" spans="1:13" x14ac:dyDescent="0.25">
      <c r="A2" s="1">
        <v>45105</v>
      </c>
      <c r="B2" t="s">
        <v>7</v>
      </c>
      <c r="C2" t="s">
        <v>8</v>
      </c>
      <c r="D2" t="s">
        <v>9</v>
      </c>
      <c r="E2">
        <v>1641.49</v>
      </c>
      <c r="F2">
        <v>1320.71</v>
      </c>
      <c r="G2">
        <v>7</v>
      </c>
      <c r="H2">
        <f>E2*G2</f>
        <v>11490.43</v>
      </c>
      <c r="I2">
        <f>F2*G2</f>
        <v>9244.9700000000012</v>
      </c>
      <c r="J2">
        <f>H2-I2</f>
        <v>2245.4599999999991</v>
      </c>
      <c r="K2" s="8">
        <f>(H2-I2)/H2</f>
        <v>0.19542001474270321</v>
      </c>
      <c r="L2" t="str">
        <f>TEXT(A2,"rrrr-mm")</f>
        <v>2023-06</v>
      </c>
      <c r="M2">
        <f>H2-I2</f>
        <v>2245.4599999999991</v>
      </c>
    </row>
    <row r="3" spans="1:13" x14ac:dyDescent="0.25">
      <c r="A3" s="1">
        <v>44866</v>
      </c>
      <c r="B3" t="s">
        <v>10</v>
      </c>
      <c r="C3" t="s">
        <v>11</v>
      </c>
      <c r="D3" t="s">
        <v>9</v>
      </c>
      <c r="E3">
        <v>1368.71</v>
      </c>
      <c r="F3">
        <v>691.23</v>
      </c>
      <c r="G3">
        <v>5</v>
      </c>
      <c r="H3">
        <f t="shared" ref="H3:H66" si="0">E3*G3</f>
        <v>6843.55</v>
      </c>
      <c r="I3">
        <f>F3*G3</f>
        <v>3456.15</v>
      </c>
      <c r="J3">
        <f t="shared" ref="J3:J66" si="1">H3-I3</f>
        <v>3387.4</v>
      </c>
      <c r="K3" s="8">
        <f t="shared" ref="K3:K66" si="2">(H3-I3)/H3</f>
        <v>0.49497702215955169</v>
      </c>
      <c r="L3" t="str">
        <f>TEXT(A3,"rrrr-mm")</f>
        <v>2022-11</v>
      </c>
      <c r="M3">
        <f t="shared" ref="M3:M66" si="3">H3-I3</f>
        <v>3387.4</v>
      </c>
    </row>
    <row r="4" spans="1:13" x14ac:dyDescent="0.25">
      <c r="A4" s="1">
        <v>45606</v>
      </c>
      <c r="B4" t="s">
        <v>12</v>
      </c>
      <c r="C4" t="s">
        <v>8</v>
      </c>
      <c r="D4" t="s">
        <v>13</v>
      </c>
      <c r="E4">
        <v>1865.58</v>
      </c>
      <c r="F4">
        <v>1612.14</v>
      </c>
      <c r="G4">
        <v>6</v>
      </c>
      <c r="H4">
        <f t="shared" si="0"/>
        <v>11193.48</v>
      </c>
      <c r="I4">
        <f t="shared" ref="I4:I67" si="4">F4*G4</f>
        <v>9672.84</v>
      </c>
      <c r="J4">
        <f t="shared" si="1"/>
        <v>1520.6399999999994</v>
      </c>
      <c r="K4" s="8">
        <f t="shared" si="2"/>
        <v>0.13585051297719739</v>
      </c>
      <c r="L4" t="str">
        <f t="shared" ref="L4:L67" si="5">TEXT(A4,"rrrr-mm")</f>
        <v>2024-11</v>
      </c>
      <c r="M4">
        <f t="shared" si="3"/>
        <v>1520.6399999999994</v>
      </c>
    </row>
    <row r="5" spans="1:13" x14ac:dyDescent="0.25">
      <c r="A5" s="1">
        <v>45438</v>
      </c>
      <c r="B5" t="s">
        <v>14</v>
      </c>
      <c r="C5" t="s">
        <v>15</v>
      </c>
      <c r="D5" t="s">
        <v>9</v>
      </c>
      <c r="E5">
        <v>163.13999999999999</v>
      </c>
      <c r="F5">
        <v>81.7</v>
      </c>
      <c r="G5">
        <v>4</v>
      </c>
      <c r="H5">
        <f t="shared" si="0"/>
        <v>652.55999999999995</v>
      </c>
      <c r="I5">
        <f t="shared" si="4"/>
        <v>326.8</v>
      </c>
      <c r="J5">
        <f t="shared" si="1"/>
        <v>325.75999999999993</v>
      </c>
      <c r="K5" s="8">
        <f t="shared" si="2"/>
        <v>0.49920313840872865</v>
      </c>
      <c r="L5" t="str">
        <f t="shared" si="5"/>
        <v>2024-05</v>
      </c>
      <c r="M5">
        <f t="shared" si="3"/>
        <v>325.75999999999993</v>
      </c>
    </row>
    <row r="6" spans="1:13" x14ac:dyDescent="0.25">
      <c r="A6" s="1">
        <v>45466</v>
      </c>
      <c r="B6" t="s">
        <v>12</v>
      </c>
      <c r="C6" t="s">
        <v>8</v>
      </c>
      <c r="D6" t="s">
        <v>9</v>
      </c>
      <c r="E6">
        <v>1807.93</v>
      </c>
      <c r="F6">
        <v>1098.26</v>
      </c>
      <c r="G6">
        <v>2</v>
      </c>
      <c r="H6">
        <f t="shared" si="0"/>
        <v>3615.86</v>
      </c>
      <c r="I6">
        <f t="shared" si="4"/>
        <v>2196.52</v>
      </c>
      <c r="J6">
        <f t="shared" si="1"/>
        <v>1419.3400000000001</v>
      </c>
      <c r="K6" s="8">
        <f t="shared" si="2"/>
        <v>0.39253179050073844</v>
      </c>
      <c r="L6" t="str">
        <f t="shared" si="5"/>
        <v>2024-06</v>
      </c>
      <c r="M6">
        <f t="shared" si="3"/>
        <v>1419.3400000000001</v>
      </c>
    </row>
    <row r="7" spans="1:13" x14ac:dyDescent="0.25">
      <c r="A7" s="1">
        <v>45612</v>
      </c>
      <c r="B7" t="s">
        <v>16</v>
      </c>
      <c r="C7" t="s">
        <v>15</v>
      </c>
      <c r="D7" t="s">
        <v>17</v>
      </c>
      <c r="E7">
        <v>522.77</v>
      </c>
      <c r="F7">
        <v>265.95</v>
      </c>
      <c r="G7">
        <v>2</v>
      </c>
      <c r="H7">
        <f t="shared" si="0"/>
        <v>1045.54</v>
      </c>
      <c r="I7">
        <f t="shared" si="4"/>
        <v>531.9</v>
      </c>
      <c r="J7">
        <f t="shared" si="1"/>
        <v>513.64</v>
      </c>
      <c r="K7" s="8">
        <f t="shared" si="2"/>
        <v>0.49126767029477592</v>
      </c>
      <c r="L7" t="str">
        <f t="shared" si="5"/>
        <v>2024-11</v>
      </c>
      <c r="M7">
        <f t="shared" si="3"/>
        <v>513.64</v>
      </c>
    </row>
    <row r="8" spans="1:13" x14ac:dyDescent="0.25">
      <c r="A8" s="1">
        <v>45200</v>
      </c>
      <c r="B8" t="s">
        <v>16</v>
      </c>
      <c r="C8" t="s">
        <v>15</v>
      </c>
      <c r="D8" t="s">
        <v>18</v>
      </c>
      <c r="E8">
        <v>642.88</v>
      </c>
      <c r="F8">
        <v>402.65</v>
      </c>
      <c r="G8">
        <v>4</v>
      </c>
      <c r="H8">
        <f t="shared" si="0"/>
        <v>2571.52</v>
      </c>
      <c r="I8">
        <f t="shared" si="4"/>
        <v>1610.6</v>
      </c>
      <c r="J8">
        <f t="shared" si="1"/>
        <v>960.92000000000007</v>
      </c>
      <c r="K8" s="8">
        <f t="shared" si="2"/>
        <v>0.37367782478845202</v>
      </c>
      <c r="L8" t="str">
        <f t="shared" si="5"/>
        <v>2023-10</v>
      </c>
      <c r="M8">
        <f t="shared" si="3"/>
        <v>960.92000000000007</v>
      </c>
    </row>
    <row r="9" spans="1:13" x14ac:dyDescent="0.25">
      <c r="A9" s="1">
        <v>45022</v>
      </c>
      <c r="B9" t="s">
        <v>16</v>
      </c>
      <c r="C9" t="s">
        <v>15</v>
      </c>
      <c r="D9" t="s">
        <v>13</v>
      </c>
      <c r="E9">
        <v>713.78</v>
      </c>
      <c r="F9">
        <v>598.36</v>
      </c>
      <c r="G9">
        <v>3</v>
      </c>
      <c r="H9">
        <f t="shared" si="0"/>
        <v>2141.34</v>
      </c>
      <c r="I9">
        <f t="shared" si="4"/>
        <v>1795.08</v>
      </c>
      <c r="J9">
        <f t="shared" si="1"/>
        <v>346.26000000000022</v>
      </c>
      <c r="K9" s="8">
        <f t="shared" si="2"/>
        <v>0.16170248535963472</v>
      </c>
      <c r="L9" t="str">
        <f t="shared" si="5"/>
        <v>2023-04</v>
      </c>
      <c r="M9">
        <f t="shared" si="3"/>
        <v>346.26000000000022</v>
      </c>
    </row>
    <row r="10" spans="1:13" x14ac:dyDescent="0.25">
      <c r="A10" s="1">
        <v>44627</v>
      </c>
      <c r="B10" t="s">
        <v>19</v>
      </c>
      <c r="C10" t="s">
        <v>20</v>
      </c>
      <c r="D10" t="s">
        <v>13</v>
      </c>
      <c r="E10">
        <v>1490.26</v>
      </c>
      <c r="F10">
        <v>1003.3</v>
      </c>
      <c r="G10">
        <v>1</v>
      </c>
      <c r="H10">
        <f t="shared" si="0"/>
        <v>1490.26</v>
      </c>
      <c r="I10">
        <f t="shared" si="4"/>
        <v>1003.3</v>
      </c>
      <c r="J10">
        <f t="shared" si="1"/>
        <v>486.96000000000004</v>
      </c>
      <c r="K10" s="8">
        <f t="shared" si="2"/>
        <v>0.32676177311341648</v>
      </c>
      <c r="L10" t="str">
        <f t="shared" si="5"/>
        <v>2022-03</v>
      </c>
      <c r="M10">
        <f t="shared" si="3"/>
        <v>486.96000000000004</v>
      </c>
    </row>
    <row r="11" spans="1:13" x14ac:dyDescent="0.25">
      <c r="A11" s="1">
        <v>44749</v>
      </c>
      <c r="B11" t="s">
        <v>19</v>
      </c>
      <c r="C11" t="s">
        <v>20</v>
      </c>
      <c r="D11" t="s">
        <v>18</v>
      </c>
      <c r="E11">
        <v>1530.74</v>
      </c>
      <c r="F11">
        <v>868.87</v>
      </c>
      <c r="G11">
        <v>2</v>
      </c>
      <c r="H11">
        <f t="shared" si="0"/>
        <v>3061.48</v>
      </c>
      <c r="I11">
        <f t="shared" si="4"/>
        <v>1737.74</v>
      </c>
      <c r="J11">
        <f t="shared" si="1"/>
        <v>1323.74</v>
      </c>
      <c r="K11" s="8">
        <f t="shared" si="2"/>
        <v>0.43238564354495213</v>
      </c>
      <c r="L11" t="str">
        <f t="shared" si="5"/>
        <v>2022-07</v>
      </c>
      <c r="M11">
        <f t="shared" si="3"/>
        <v>1323.74</v>
      </c>
    </row>
    <row r="12" spans="1:13" x14ac:dyDescent="0.25">
      <c r="A12" s="1">
        <v>44582</v>
      </c>
      <c r="B12" t="s">
        <v>12</v>
      </c>
      <c r="C12" t="s">
        <v>8</v>
      </c>
      <c r="D12" t="s">
        <v>9</v>
      </c>
      <c r="E12">
        <v>1515.59</v>
      </c>
      <c r="F12">
        <v>1213.2</v>
      </c>
      <c r="G12">
        <v>1</v>
      </c>
      <c r="H12">
        <f t="shared" si="0"/>
        <v>1515.59</v>
      </c>
      <c r="I12">
        <f t="shared" si="4"/>
        <v>1213.2</v>
      </c>
      <c r="J12">
        <f t="shared" si="1"/>
        <v>302.38999999999987</v>
      </c>
      <c r="K12" s="8">
        <f t="shared" si="2"/>
        <v>0.19951965901068225</v>
      </c>
      <c r="L12" t="str">
        <f t="shared" si="5"/>
        <v>2022-01</v>
      </c>
      <c r="M12">
        <f t="shared" si="3"/>
        <v>302.38999999999987</v>
      </c>
    </row>
    <row r="13" spans="1:13" x14ac:dyDescent="0.25">
      <c r="A13" s="1">
        <v>45235</v>
      </c>
      <c r="B13" t="s">
        <v>12</v>
      </c>
      <c r="C13" t="s">
        <v>8</v>
      </c>
      <c r="D13" t="s">
        <v>18</v>
      </c>
      <c r="E13">
        <v>1569.54</v>
      </c>
      <c r="F13">
        <v>1267.6500000000001</v>
      </c>
      <c r="G13">
        <v>6</v>
      </c>
      <c r="H13">
        <f t="shared" si="0"/>
        <v>9417.24</v>
      </c>
      <c r="I13">
        <f t="shared" si="4"/>
        <v>7605.9000000000005</v>
      </c>
      <c r="J13">
        <f t="shared" si="1"/>
        <v>1811.3399999999992</v>
      </c>
      <c r="K13" s="8">
        <f t="shared" si="2"/>
        <v>0.19234297947169227</v>
      </c>
      <c r="L13" t="str">
        <f t="shared" si="5"/>
        <v>2023-11</v>
      </c>
      <c r="M13">
        <f t="shared" si="3"/>
        <v>1811.3399999999992</v>
      </c>
    </row>
    <row r="14" spans="1:13" x14ac:dyDescent="0.25">
      <c r="A14" s="1">
        <v>45117</v>
      </c>
      <c r="B14" t="s">
        <v>14</v>
      </c>
      <c r="C14" t="s">
        <v>15</v>
      </c>
      <c r="D14" t="s">
        <v>13</v>
      </c>
      <c r="E14">
        <v>1290.77</v>
      </c>
      <c r="F14">
        <v>999.7</v>
      </c>
      <c r="G14">
        <v>4</v>
      </c>
      <c r="H14">
        <f t="shared" si="0"/>
        <v>5163.08</v>
      </c>
      <c r="I14">
        <f t="shared" si="4"/>
        <v>3998.8</v>
      </c>
      <c r="J14">
        <f t="shared" si="1"/>
        <v>1164.2799999999997</v>
      </c>
      <c r="K14" s="8">
        <f t="shared" si="2"/>
        <v>0.22550105750830896</v>
      </c>
      <c r="L14" t="str">
        <f t="shared" si="5"/>
        <v>2023-07</v>
      </c>
      <c r="M14">
        <f t="shared" si="3"/>
        <v>1164.2799999999997</v>
      </c>
    </row>
    <row r="15" spans="1:13" x14ac:dyDescent="0.25">
      <c r="A15" s="1">
        <v>45438</v>
      </c>
      <c r="B15" t="s">
        <v>7</v>
      </c>
      <c r="C15" t="s">
        <v>8</v>
      </c>
      <c r="D15" t="s">
        <v>9</v>
      </c>
      <c r="E15">
        <v>1143.8800000000001</v>
      </c>
      <c r="F15">
        <v>581.04999999999995</v>
      </c>
      <c r="G15">
        <v>4</v>
      </c>
      <c r="H15">
        <f t="shared" si="0"/>
        <v>4575.5200000000004</v>
      </c>
      <c r="I15">
        <f t="shared" si="4"/>
        <v>2324.1999999999998</v>
      </c>
      <c r="J15">
        <f t="shared" si="1"/>
        <v>2251.3200000000006</v>
      </c>
      <c r="K15" s="8">
        <f t="shared" si="2"/>
        <v>0.49203587788928915</v>
      </c>
      <c r="L15" t="str">
        <f t="shared" si="5"/>
        <v>2024-05</v>
      </c>
      <c r="M15">
        <f t="shared" si="3"/>
        <v>2251.3200000000006</v>
      </c>
    </row>
    <row r="16" spans="1:13" x14ac:dyDescent="0.25">
      <c r="A16" s="1">
        <v>44809</v>
      </c>
      <c r="B16" t="s">
        <v>16</v>
      </c>
      <c r="C16" t="s">
        <v>15</v>
      </c>
      <c r="D16" t="s">
        <v>17</v>
      </c>
      <c r="E16">
        <v>747.87</v>
      </c>
      <c r="F16">
        <v>403.12</v>
      </c>
      <c r="G16">
        <v>6</v>
      </c>
      <c r="H16">
        <f t="shared" si="0"/>
        <v>4487.22</v>
      </c>
      <c r="I16">
        <f t="shared" si="4"/>
        <v>2418.7200000000003</v>
      </c>
      <c r="J16">
        <f t="shared" si="1"/>
        <v>2068.5</v>
      </c>
      <c r="K16" s="8">
        <f t="shared" si="2"/>
        <v>0.46097583804671932</v>
      </c>
      <c r="L16" t="str">
        <f t="shared" si="5"/>
        <v>2022-09</v>
      </c>
      <c r="M16">
        <f t="shared" si="3"/>
        <v>2068.5</v>
      </c>
    </row>
    <row r="17" spans="1:13" x14ac:dyDescent="0.25">
      <c r="A17" s="1">
        <v>44947</v>
      </c>
      <c r="B17" t="s">
        <v>21</v>
      </c>
      <c r="C17" t="s">
        <v>20</v>
      </c>
      <c r="D17" t="s">
        <v>17</v>
      </c>
      <c r="E17">
        <v>431.4</v>
      </c>
      <c r="F17">
        <v>276</v>
      </c>
      <c r="G17">
        <v>10</v>
      </c>
      <c r="H17">
        <f t="shared" si="0"/>
        <v>4314</v>
      </c>
      <c r="I17">
        <f t="shared" si="4"/>
        <v>2760</v>
      </c>
      <c r="J17">
        <f t="shared" si="1"/>
        <v>1554</v>
      </c>
      <c r="K17" s="8">
        <f t="shared" si="2"/>
        <v>0.36022253129346316</v>
      </c>
      <c r="L17" t="str">
        <f t="shared" si="5"/>
        <v>2023-01</v>
      </c>
      <c r="M17">
        <f t="shared" si="3"/>
        <v>1554</v>
      </c>
    </row>
    <row r="18" spans="1:13" x14ac:dyDescent="0.25">
      <c r="A18" s="1">
        <v>45153</v>
      </c>
      <c r="B18" t="s">
        <v>10</v>
      </c>
      <c r="C18" t="s">
        <v>11</v>
      </c>
      <c r="D18" t="s">
        <v>13</v>
      </c>
      <c r="E18">
        <v>322.10000000000002</v>
      </c>
      <c r="F18">
        <v>249.05</v>
      </c>
      <c r="G18">
        <v>10</v>
      </c>
      <c r="H18">
        <f t="shared" si="0"/>
        <v>3221</v>
      </c>
      <c r="I18">
        <f t="shared" si="4"/>
        <v>2490.5</v>
      </c>
      <c r="J18">
        <f t="shared" si="1"/>
        <v>730.5</v>
      </c>
      <c r="K18" s="8">
        <f t="shared" si="2"/>
        <v>0.22679292145296492</v>
      </c>
      <c r="L18" t="str">
        <f t="shared" si="5"/>
        <v>2023-08</v>
      </c>
      <c r="M18">
        <f t="shared" si="3"/>
        <v>730.5</v>
      </c>
    </row>
    <row r="19" spans="1:13" x14ac:dyDescent="0.25">
      <c r="A19" s="1">
        <v>44792</v>
      </c>
      <c r="B19" t="s">
        <v>12</v>
      </c>
      <c r="C19" t="s">
        <v>8</v>
      </c>
      <c r="D19" t="s">
        <v>17</v>
      </c>
      <c r="E19">
        <v>1392.68</v>
      </c>
      <c r="F19">
        <v>1186.3399999999999</v>
      </c>
      <c r="G19">
        <v>4</v>
      </c>
      <c r="H19">
        <f t="shared" si="0"/>
        <v>5570.72</v>
      </c>
      <c r="I19">
        <f t="shared" si="4"/>
        <v>4745.3599999999997</v>
      </c>
      <c r="J19">
        <f t="shared" si="1"/>
        <v>825.36000000000058</v>
      </c>
      <c r="K19" s="8">
        <f t="shared" si="2"/>
        <v>0.14816038142286825</v>
      </c>
      <c r="L19" t="str">
        <f t="shared" si="5"/>
        <v>2022-08</v>
      </c>
      <c r="M19">
        <f t="shared" si="3"/>
        <v>825.36000000000058</v>
      </c>
    </row>
    <row r="20" spans="1:13" x14ac:dyDescent="0.25">
      <c r="A20" s="1">
        <v>44768</v>
      </c>
      <c r="B20" t="s">
        <v>22</v>
      </c>
      <c r="C20" t="s">
        <v>8</v>
      </c>
      <c r="D20" t="s">
        <v>9</v>
      </c>
      <c r="E20">
        <v>496.74</v>
      </c>
      <c r="F20">
        <v>333.38</v>
      </c>
      <c r="G20">
        <v>2</v>
      </c>
      <c r="H20">
        <f t="shared" si="0"/>
        <v>993.48</v>
      </c>
      <c r="I20">
        <f t="shared" si="4"/>
        <v>666.76</v>
      </c>
      <c r="J20">
        <f t="shared" si="1"/>
        <v>326.72000000000003</v>
      </c>
      <c r="K20" s="8">
        <f t="shared" si="2"/>
        <v>0.32886419454845595</v>
      </c>
      <c r="L20" t="str">
        <f t="shared" si="5"/>
        <v>2022-07</v>
      </c>
      <c r="M20">
        <f t="shared" si="3"/>
        <v>326.72000000000003</v>
      </c>
    </row>
    <row r="21" spans="1:13" x14ac:dyDescent="0.25">
      <c r="A21" s="1">
        <v>45560</v>
      </c>
      <c r="B21" t="s">
        <v>12</v>
      </c>
      <c r="C21" t="s">
        <v>8</v>
      </c>
      <c r="D21" t="s">
        <v>13</v>
      </c>
      <c r="E21">
        <v>1361.41</v>
      </c>
      <c r="F21">
        <v>901.56</v>
      </c>
      <c r="G21">
        <v>10</v>
      </c>
      <c r="H21">
        <f t="shared" si="0"/>
        <v>13614.1</v>
      </c>
      <c r="I21">
        <f t="shared" si="4"/>
        <v>9015.5999999999985</v>
      </c>
      <c r="J21">
        <f t="shared" si="1"/>
        <v>4598.5000000000018</v>
      </c>
      <c r="K21" s="8">
        <f t="shared" si="2"/>
        <v>0.3377748070015647</v>
      </c>
      <c r="L21" t="str">
        <f t="shared" si="5"/>
        <v>2024-09</v>
      </c>
      <c r="M21">
        <f t="shared" si="3"/>
        <v>4598.5000000000018</v>
      </c>
    </row>
    <row r="22" spans="1:13" x14ac:dyDescent="0.25">
      <c r="A22" s="1">
        <v>44589</v>
      </c>
      <c r="B22" t="s">
        <v>16</v>
      </c>
      <c r="C22" t="s">
        <v>15</v>
      </c>
      <c r="D22" t="s">
        <v>9</v>
      </c>
      <c r="E22">
        <v>1550.37</v>
      </c>
      <c r="F22">
        <v>1004.18</v>
      </c>
      <c r="G22">
        <v>3</v>
      </c>
      <c r="H22">
        <f t="shared" si="0"/>
        <v>4651.1099999999997</v>
      </c>
      <c r="I22">
        <f t="shared" si="4"/>
        <v>3012.54</v>
      </c>
      <c r="J22">
        <f t="shared" si="1"/>
        <v>1638.5699999999997</v>
      </c>
      <c r="K22" s="8">
        <f t="shared" si="2"/>
        <v>0.35229654856582621</v>
      </c>
      <c r="L22" t="str">
        <f t="shared" si="5"/>
        <v>2022-01</v>
      </c>
      <c r="M22">
        <f t="shared" si="3"/>
        <v>1638.5699999999997</v>
      </c>
    </row>
    <row r="23" spans="1:13" x14ac:dyDescent="0.25">
      <c r="A23" s="1">
        <v>45575</v>
      </c>
      <c r="B23" t="s">
        <v>16</v>
      </c>
      <c r="C23" t="s">
        <v>15</v>
      </c>
      <c r="D23" t="s">
        <v>18</v>
      </c>
      <c r="E23">
        <v>648.98</v>
      </c>
      <c r="F23">
        <v>475.86</v>
      </c>
      <c r="G23">
        <v>9</v>
      </c>
      <c r="H23">
        <f t="shared" si="0"/>
        <v>5840.82</v>
      </c>
      <c r="I23">
        <f t="shared" si="4"/>
        <v>4282.74</v>
      </c>
      <c r="J23">
        <f t="shared" si="1"/>
        <v>1558.08</v>
      </c>
      <c r="K23" s="8">
        <f t="shared" si="2"/>
        <v>0.26675706493266355</v>
      </c>
      <c r="L23" t="str">
        <f t="shared" si="5"/>
        <v>2024-10</v>
      </c>
      <c r="M23">
        <f t="shared" si="3"/>
        <v>1558.08</v>
      </c>
    </row>
    <row r="24" spans="1:13" x14ac:dyDescent="0.25">
      <c r="A24" s="1">
        <v>45246</v>
      </c>
      <c r="B24" t="s">
        <v>14</v>
      </c>
      <c r="C24" t="s">
        <v>15</v>
      </c>
      <c r="D24" t="s">
        <v>13</v>
      </c>
      <c r="E24">
        <v>351.95</v>
      </c>
      <c r="F24">
        <v>232.1</v>
      </c>
      <c r="G24">
        <v>6</v>
      </c>
      <c r="H24">
        <f t="shared" si="0"/>
        <v>2111.6999999999998</v>
      </c>
      <c r="I24">
        <f t="shared" si="4"/>
        <v>1392.6</v>
      </c>
      <c r="J24">
        <f t="shared" si="1"/>
        <v>719.09999999999991</v>
      </c>
      <c r="K24" s="8">
        <f t="shared" si="2"/>
        <v>0.3405313254723682</v>
      </c>
      <c r="L24" t="str">
        <f t="shared" si="5"/>
        <v>2023-11</v>
      </c>
      <c r="M24">
        <f t="shared" si="3"/>
        <v>719.09999999999991</v>
      </c>
    </row>
    <row r="25" spans="1:13" x14ac:dyDescent="0.25">
      <c r="A25" s="1">
        <v>44723</v>
      </c>
      <c r="B25" t="s">
        <v>19</v>
      </c>
      <c r="C25" t="s">
        <v>20</v>
      </c>
      <c r="D25" t="s">
        <v>13</v>
      </c>
      <c r="E25">
        <v>295.36</v>
      </c>
      <c r="F25">
        <v>151.66999999999999</v>
      </c>
      <c r="G25">
        <v>10</v>
      </c>
      <c r="H25">
        <f t="shared" si="0"/>
        <v>2953.6000000000004</v>
      </c>
      <c r="I25">
        <f t="shared" si="4"/>
        <v>1516.6999999999998</v>
      </c>
      <c r="J25">
        <f t="shared" si="1"/>
        <v>1436.9000000000005</v>
      </c>
      <c r="K25" s="8">
        <f t="shared" si="2"/>
        <v>0.48649106175514639</v>
      </c>
      <c r="L25" t="str">
        <f t="shared" si="5"/>
        <v>2022-06</v>
      </c>
      <c r="M25">
        <f t="shared" si="3"/>
        <v>1436.9000000000005</v>
      </c>
    </row>
    <row r="26" spans="1:13" x14ac:dyDescent="0.25">
      <c r="A26" s="1">
        <v>44829</v>
      </c>
      <c r="B26" t="s">
        <v>19</v>
      </c>
      <c r="C26" t="s">
        <v>20</v>
      </c>
      <c r="D26" t="s">
        <v>9</v>
      </c>
      <c r="E26">
        <v>903.6</v>
      </c>
      <c r="F26">
        <v>511.4</v>
      </c>
      <c r="G26">
        <v>7</v>
      </c>
      <c r="H26">
        <f t="shared" si="0"/>
        <v>6325.2</v>
      </c>
      <c r="I26">
        <f t="shared" si="4"/>
        <v>3579.7999999999997</v>
      </c>
      <c r="J26">
        <f t="shared" si="1"/>
        <v>2745.4</v>
      </c>
      <c r="K26" s="8">
        <f t="shared" si="2"/>
        <v>0.43404161133244801</v>
      </c>
      <c r="L26" t="str">
        <f t="shared" si="5"/>
        <v>2022-09</v>
      </c>
      <c r="M26">
        <f t="shared" si="3"/>
        <v>2745.4</v>
      </c>
    </row>
    <row r="27" spans="1:13" x14ac:dyDescent="0.25">
      <c r="A27" s="1">
        <v>45139</v>
      </c>
      <c r="B27" t="s">
        <v>12</v>
      </c>
      <c r="C27" t="s">
        <v>8</v>
      </c>
      <c r="D27" t="s">
        <v>17</v>
      </c>
      <c r="E27">
        <v>71.900000000000006</v>
      </c>
      <c r="F27">
        <v>63.73</v>
      </c>
      <c r="G27">
        <v>2</v>
      </c>
      <c r="H27">
        <f t="shared" si="0"/>
        <v>143.80000000000001</v>
      </c>
      <c r="I27">
        <f t="shared" si="4"/>
        <v>127.46</v>
      </c>
      <c r="J27">
        <f t="shared" si="1"/>
        <v>16.340000000000018</v>
      </c>
      <c r="K27" s="8">
        <f t="shared" si="2"/>
        <v>0.11363004172461764</v>
      </c>
      <c r="L27" t="str">
        <f t="shared" si="5"/>
        <v>2023-08</v>
      </c>
      <c r="M27">
        <f t="shared" si="3"/>
        <v>16.340000000000018</v>
      </c>
    </row>
    <row r="28" spans="1:13" x14ac:dyDescent="0.25">
      <c r="A28" s="1">
        <v>44998</v>
      </c>
      <c r="B28" t="s">
        <v>12</v>
      </c>
      <c r="C28" t="s">
        <v>8</v>
      </c>
      <c r="D28" t="s">
        <v>17</v>
      </c>
      <c r="E28">
        <v>750.28</v>
      </c>
      <c r="F28">
        <v>415.42</v>
      </c>
      <c r="G28">
        <v>5</v>
      </c>
      <c r="H28">
        <f t="shared" si="0"/>
        <v>3751.3999999999996</v>
      </c>
      <c r="I28">
        <f t="shared" si="4"/>
        <v>2077.1</v>
      </c>
      <c r="J28">
        <f t="shared" si="1"/>
        <v>1674.2999999999997</v>
      </c>
      <c r="K28" s="8">
        <f t="shared" si="2"/>
        <v>0.44631337633949991</v>
      </c>
      <c r="L28" t="str">
        <f t="shared" si="5"/>
        <v>2023-03</v>
      </c>
      <c r="M28">
        <f t="shared" si="3"/>
        <v>1674.2999999999997</v>
      </c>
    </row>
    <row r="29" spans="1:13" x14ac:dyDescent="0.25">
      <c r="A29" s="1">
        <v>44595</v>
      </c>
      <c r="B29" t="s">
        <v>23</v>
      </c>
      <c r="C29" t="s">
        <v>11</v>
      </c>
      <c r="D29" t="s">
        <v>18</v>
      </c>
      <c r="E29">
        <v>1751.03</v>
      </c>
      <c r="F29">
        <v>1515.32</v>
      </c>
      <c r="G29">
        <v>4</v>
      </c>
      <c r="H29">
        <f t="shared" si="0"/>
        <v>7004.12</v>
      </c>
      <c r="I29">
        <f t="shared" si="4"/>
        <v>6061.28</v>
      </c>
      <c r="J29">
        <f t="shared" si="1"/>
        <v>942.84000000000015</v>
      </c>
      <c r="K29" s="8">
        <f t="shared" si="2"/>
        <v>0.13461219967676169</v>
      </c>
      <c r="L29" t="str">
        <f t="shared" si="5"/>
        <v>2022-02</v>
      </c>
      <c r="M29">
        <f t="shared" si="3"/>
        <v>942.84000000000015</v>
      </c>
    </row>
    <row r="30" spans="1:13" x14ac:dyDescent="0.25">
      <c r="A30" s="1">
        <v>45533</v>
      </c>
      <c r="B30" t="s">
        <v>10</v>
      </c>
      <c r="C30" t="s">
        <v>11</v>
      </c>
      <c r="D30" t="s">
        <v>17</v>
      </c>
      <c r="E30">
        <v>1814.43</v>
      </c>
      <c r="F30">
        <v>1395.46</v>
      </c>
      <c r="G30">
        <v>4</v>
      </c>
      <c r="H30">
        <f t="shared" si="0"/>
        <v>7257.72</v>
      </c>
      <c r="I30">
        <f t="shared" si="4"/>
        <v>5581.84</v>
      </c>
      <c r="J30">
        <f t="shared" si="1"/>
        <v>1675.88</v>
      </c>
      <c r="K30" s="8">
        <f t="shared" si="2"/>
        <v>0.23090998274940341</v>
      </c>
      <c r="L30" t="str">
        <f t="shared" si="5"/>
        <v>2024-08</v>
      </c>
      <c r="M30">
        <f t="shared" si="3"/>
        <v>1675.88</v>
      </c>
    </row>
    <row r="31" spans="1:13" x14ac:dyDescent="0.25">
      <c r="A31" s="1">
        <v>44742</v>
      </c>
      <c r="B31" t="s">
        <v>23</v>
      </c>
      <c r="C31" t="s">
        <v>11</v>
      </c>
      <c r="D31" t="s">
        <v>17</v>
      </c>
      <c r="E31">
        <v>1854.49</v>
      </c>
      <c r="F31">
        <v>1552.16</v>
      </c>
      <c r="G31">
        <v>7</v>
      </c>
      <c r="H31">
        <f t="shared" si="0"/>
        <v>12981.43</v>
      </c>
      <c r="I31">
        <f t="shared" si="4"/>
        <v>10865.12</v>
      </c>
      <c r="J31">
        <f t="shared" si="1"/>
        <v>2116.3099999999995</v>
      </c>
      <c r="K31" s="8">
        <f t="shared" si="2"/>
        <v>0.16302595322703273</v>
      </c>
      <c r="L31" t="str">
        <f t="shared" si="5"/>
        <v>2022-06</v>
      </c>
      <c r="M31">
        <f t="shared" si="3"/>
        <v>2116.3099999999995</v>
      </c>
    </row>
    <row r="32" spans="1:13" x14ac:dyDescent="0.25">
      <c r="A32" s="1">
        <v>45038</v>
      </c>
      <c r="B32" t="s">
        <v>24</v>
      </c>
      <c r="C32" t="s">
        <v>20</v>
      </c>
      <c r="D32" t="s">
        <v>18</v>
      </c>
      <c r="E32">
        <v>1678.72</v>
      </c>
      <c r="F32">
        <v>862.71</v>
      </c>
      <c r="G32">
        <v>9</v>
      </c>
      <c r="H32">
        <f t="shared" si="0"/>
        <v>15108.48</v>
      </c>
      <c r="I32">
        <f t="shared" si="4"/>
        <v>7764.39</v>
      </c>
      <c r="J32">
        <f t="shared" si="1"/>
        <v>7344.0899999999992</v>
      </c>
      <c r="K32" s="8">
        <f t="shared" si="2"/>
        <v>0.48609059283263434</v>
      </c>
      <c r="L32" t="str">
        <f t="shared" si="5"/>
        <v>2023-04</v>
      </c>
      <c r="M32">
        <f t="shared" si="3"/>
        <v>7344.0899999999992</v>
      </c>
    </row>
    <row r="33" spans="1:13" x14ac:dyDescent="0.25">
      <c r="A33" s="1">
        <v>45509</v>
      </c>
      <c r="B33" t="s">
        <v>12</v>
      </c>
      <c r="C33" t="s">
        <v>8</v>
      </c>
      <c r="D33" t="s">
        <v>13</v>
      </c>
      <c r="E33">
        <v>1720.13</v>
      </c>
      <c r="F33">
        <v>1268.29</v>
      </c>
      <c r="G33">
        <v>8</v>
      </c>
      <c r="H33">
        <f t="shared" si="0"/>
        <v>13761.04</v>
      </c>
      <c r="I33">
        <f t="shared" si="4"/>
        <v>10146.32</v>
      </c>
      <c r="J33">
        <f t="shared" si="1"/>
        <v>3614.7200000000012</v>
      </c>
      <c r="K33" s="8">
        <f t="shared" si="2"/>
        <v>0.26267782086237673</v>
      </c>
      <c r="L33" t="str">
        <f t="shared" si="5"/>
        <v>2024-08</v>
      </c>
      <c r="M33">
        <f t="shared" si="3"/>
        <v>3614.7200000000012</v>
      </c>
    </row>
    <row r="34" spans="1:13" x14ac:dyDescent="0.25">
      <c r="A34" s="1">
        <v>45397</v>
      </c>
      <c r="B34" t="s">
        <v>21</v>
      </c>
      <c r="C34" t="s">
        <v>20</v>
      </c>
      <c r="D34" t="s">
        <v>13</v>
      </c>
      <c r="E34">
        <v>1316.95</v>
      </c>
      <c r="F34">
        <v>717.77</v>
      </c>
      <c r="G34">
        <v>4</v>
      </c>
      <c r="H34">
        <f t="shared" si="0"/>
        <v>5267.8</v>
      </c>
      <c r="I34">
        <f t="shared" si="4"/>
        <v>2871.08</v>
      </c>
      <c r="J34">
        <f t="shared" si="1"/>
        <v>2396.7200000000003</v>
      </c>
      <c r="K34" s="8">
        <f t="shared" si="2"/>
        <v>0.45497551159876992</v>
      </c>
      <c r="L34" t="str">
        <f t="shared" si="5"/>
        <v>2024-04</v>
      </c>
      <c r="M34">
        <f t="shared" si="3"/>
        <v>2396.7200000000003</v>
      </c>
    </row>
    <row r="35" spans="1:13" x14ac:dyDescent="0.25">
      <c r="A35" s="1">
        <v>44890</v>
      </c>
      <c r="B35" t="s">
        <v>19</v>
      </c>
      <c r="C35" t="s">
        <v>20</v>
      </c>
      <c r="D35" t="s">
        <v>17</v>
      </c>
      <c r="E35">
        <v>377.02</v>
      </c>
      <c r="F35">
        <v>247.03</v>
      </c>
      <c r="G35">
        <v>2</v>
      </c>
      <c r="H35">
        <f t="shared" si="0"/>
        <v>754.04</v>
      </c>
      <c r="I35">
        <f t="shared" si="4"/>
        <v>494.06</v>
      </c>
      <c r="J35">
        <f t="shared" si="1"/>
        <v>259.97999999999996</v>
      </c>
      <c r="K35" s="8">
        <f t="shared" si="2"/>
        <v>0.34478277014481989</v>
      </c>
      <c r="L35" t="str">
        <f t="shared" si="5"/>
        <v>2022-11</v>
      </c>
      <c r="M35">
        <f t="shared" si="3"/>
        <v>259.97999999999996</v>
      </c>
    </row>
    <row r="36" spans="1:13" x14ac:dyDescent="0.25">
      <c r="A36" s="1">
        <v>45637</v>
      </c>
      <c r="B36" t="s">
        <v>16</v>
      </c>
      <c r="C36" t="s">
        <v>15</v>
      </c>
      <c r="D36" t="s">
        <v>18</v>
      </c>
      <c r="E36">
        <v>475.27</v>
      </c>
      <c r="F36">
        <v>400.31</v>
      </c>
      <c r="G36">
        <v>10</v>
      </c>
      <c r="H36">
        <f t="shared" si="0"/>
        <v>4752.7</v>
      </c>
      <c r="I36">
        <f t="shared" si="4"/>
        <v>4003.1</v>
      </c>
      <c r="J36">
        <f t="shared" si="1"/>
        <v>749.59999999999991</v>
      </c>
      <c r="K36" s="8">
        <f t="shared" si="2"/>
        <v>0.15772087445031244</v>
      </c>
      <c r="L36" t="str">
        <f t="shared" si="5"/>
        <v>2024-12</v>
      </c>
      <c r="M36">
        <f t="shared" si="3"/>
        <v>749.59999999999991</v>
      </c>
    </row>
    <row r="37" spans="1:13" x14ac:dyDescent="0.25">
      <c r="A37" s="1">
        <v>45195</v>
      </c>
      <c r="B37" t="s">
        <v>25</v>
      </c>
      <c r="C37" t="s">
        <v>15</v>
      </c>
      <c r="D37" t="s">
        <v>18</v>
      </c>
      <c r="E37">
        <v>1394.89</v>
      </c>
      <c r="F37">
        <v>723.49</v>
      </c>
      <c r="G37">
        <v>5</v>
      </c>
      <c r="H37">
        <f t="shared" si="0"/>
        <v>6974.4500000000007</v>
      </c>
      <c r="I37">
        <f t="shared" si="4"/>
        <v>3617.45</v>
      </c>
      <c r="J37">
        <f t="shared" si="1"/>
        <v>3357.0000000000009</v>
      </c>
      <c r="K37" s="8">
        <f t="shared" si="2"/>
        <v>0.48132827678168177</v>
      </c>
      <c r="L37" t="str">
        <f t="shared" si="5"/>
        <v>2023-09</v>
      </c>
      <c r="M37">
        <f t="shared" si="3"/>
        <v>3357.0000000000009</v>
      </c>
    </row>
    <row r="38" spans="1:13" x14ac:dyDescent="0.25">
      <c r="A38" s="1">
        <v>45608</v>
      </c>
      <c r="B38" t="s">
        <v>16</v>
      </c>
      <c r="C38" t="s">
        <v>15</v>
      </c>
      <c r="D38" t="s">
        <v>13</v>
      </c>
      <c r="E38">
        <v>1635.61</v>
      </c>
      <c r="F38">
        <v>822.15</v>
      </c>
      <c r="G38">
        <v>8</v>
      </c>
      <c r="H38">
        <f t="shared" si="0"/>
        <v>13084.88</v>
      </c>
      <c r="I38">
        <f t="shared" si="4"/>
        <v>6577.2</v>
      </c>
      <c r="J38">
        <f t="shared" si="1"/>
        <v>6507.6799999999994</v>
      </c>
      <c r="K38" s="8">
        <f t="shared" si="2"/>
        <v>0.49734349875581585</v>
      </c>
      <c r="L38" t="str">
        <f t="shared" si="5"/>
        <v>2024-11</v>
      </c>
      <c r="M38">
        <f t="shared" si="3"/>
        <v>6507.6799999999994</v>
      </c>
    </row>
    <row r="39" spans="1:13" x14ac:dyDescent="0.25">
      <c r="A39" s="1">
        <v>44838</v>
      </c>
      <c r="B39" t="s">
        <v>16</v>
      </c>
      <c r="C39" t="s">
        <v>15</v>
      </c>
      <c r="D39" t="s">
        <v>9</v>
      </c>
      <c r="E39">
        <v>309.45999999999998</v>
      </c>
      <c r="F39">
        <v>217.35</v>
      </c>
      <c r="G39">
        <v>9</v>
      </c>
      <c r="H39">
        <f t="shared" si="0"/>
        <v>2785.14</v>
      </c>
      <c r="I39">
        <f t="shared" si="4"/>
        <v>1956.1499999999999</v>
      </c>
      <c r="J39">
        <f t="shared" si="1"/>
        <v>828.99</v>
      </c>
      <c r="K39" s="8">
        <f t="shared" si="2"/>
        <v>0.29764751502617465</v>
      </c>
      <c r="L39" t="str">
        <f t="shared" si="5"/>
        <v>2022-10</v>
      </c>
      <c r="M39">
        <f t="shared" si="3"/>
        <v>828.99</v>
      </c>
    </row>
    <row r="40" spans="1:13" x14ac:dyDescent="0.25">
      <c r="A40" s="1">
        <v>44617</v>
      </c>
      <c r="B40" t="s">
        <v>16</v>
      </c>
      <c r="C40" t="s">
        <v>15</v>
      </c>
      <c r="D40" t="s">
        <v>13</v>
      </c>
      <c r="E40">
        <v>1467.54</v>
      </c>
      <c r="F40">
        <v>1176.79</v>
      </c>
      <c r="G40">
        <v>5</v>
      </c>
      <c r="H40">
        <f t="shared" si="0"/>
        <v>7337.7</v>
      </c>
      <c r="I40">
        <f t="shared" si="4"/>
        <v>5883.95</v>
      </c>
      <c r="J40">
        <f t="shared" si="1"/>
        <v>1453.75</v>
      </c>
      <c r="K40" s="8">
        <f t="shared" si="2"/>
        <v>0.19812066451340338</v>
      </c>
      <c r="L40" t="str">
        <f t="shared" si="5"/>
        <v>2022-02</v>
      </c>
      <c r="M40">
        <f t="shared" si="3"/>
        <v>1453.75</v>
      </c>
    </row>
    <row r="41" spans="1:13" x14ac:dyDescent="0.25">
      <c r="A41" s="1">
        <v>45127</v>
      </c>
      <c r="B41" t="s">
        <v>23</v>
      </c>
      <c r="C41" t="s">
        <v>11</v>
      </c>
      <c r="D41" t="s">
        <v>17</v>
      </c>
      <c r="E41">
        <v>924.01</v>
      </c>
      <c r="F41">
        <v>681.12</v>
      </c>
      <c r="G41">
        <v>7</v>
      </c>
      <c r="H41">
        <f t="shared" si="0"/>
        <v>6468.07</v>
      </c>
      <c r="I41">
        <f t="shared" si="4"/>
        <v>4767.84</v>
      </c>
      <c r="J41">
        <f t="shared" si="1"/>
        <v>1700.2299999999996</v>
      </c>
      <c r="K41" s="8">
        <f t="shared" si="2"/>
        <v>0.26286512050735378</v>
      </c>
      <c r="L41" t="str">
        <f t="shared" si="5"/>
        <v>2023-07</v>
      </c>
      <c r="M41">
        <f t="shared" si="3"/>
        <v>1700.2299999999996</v>
      </c>
    </row>
    <row r="42" spans="1:13" x14ac:dyDescent="0.25">
      <c r="A42" s="1">
        <v>45308</v>
      </c>
      <c r="B42" t="s">
        <v>22</v>
      </c>
      <c r="C42" t="s">
        <v>8</v>
      </c>
      <c r="D42" t="s">
        <v>18</v>
      </c>
      <c r="E42">
        <v>1554.68</v>
      </c>
      <c r="F42">
        <v>1282.8900000000001</v>
      </c>
      <c r="G42">
        <v>6</v>
      </c>
      <c r="H42">
        <f t="shared" si="0"/>
        <v>9328.08</v>
      </c>
      <c r="I42">
        <f t="shared" si="4"/>
        <v>7697.34</v>
      </c>
      <c r="J42">
        <f t="shared" si="1"/>
        <v>1630.7399999999998</v>
      </c>
      <c r="K42" s="8">
        <f t="shared" si="2"/>
        <v>0.17482054184784004</v>
      </c>
      <c r="L42" t="str">
        <f t="shared" si="5"/>
        <v>2024-01</v>
      </c>
      <c r="M42">
        <f t="shared" si="3"/>
        <v>1630.7399999999998</v>
      </c>
    </row>
    <row r="43" spans="1:13" x14ac:dyDescent="0.25">
      <c r="A43" s="1">
        <v>44970</v>
      </c>
      <c r="B43" t="s">
        <v>12</v>
      </c>
      <c r="C43" t="s">
        <v>8</v>
      </c>
      <c r="D43" t="s">
        <v>17</v>
      </c>
      <c r="E43">
        <v>898.06</v>
      </c>
      <c r="F43">
        <v>723.45</v>
      </c>
      <c r="G43">
        <v>2</v>
      </c>
      <c r="H43">
        <f t="shared" si="0"/>
        <v>1796.12</v>
      </c>
      <c r="I43">
        <f t="shared" si="4"/>
        <v>1446.9</v>
      </c>
      <c r="J43">
        <f t="shared" si="1"/>
        <v>349.2199999999998</v>
      </c>
      <c r="K43" s="8">
        <f t="shared" si="2"/>
        <v>0.19443021624390341</v>
      </c>
      <c r="L43" t="str">
        <f t="shared" si="5"/>
        <v>2023-02</v>
      </c>
      <c r="M43">
        <f t="shared" si="3"/>
        <v>349.2199999999998</v>
      </c>
    </row>
    <row r="44" spans="1:13" x14ac:dyDescent="0.25">
      <c r="A44" s="1">
        <v>44969</v>
      </c>
      <c r="B44" t="s">
        <v>10</v>
      </c>
      <c r="C44" t="s">
        <v>11</v>
      </c>
      <c r="D44" t="s">
        <v>13</v>
      </c>
      <c r="E44">
        <v>1879.67</v>
      </c>
      <c r="F44">
        <v>1126.8499999999999</v>
      </c>
      <c r="G44">
        <v>2</v>
      </c>
      <c r="H44">
        <f t="shared" si="0"/>
        <v>3759.34</v>
      </c>
      <c r="I44">
        <f t="shared" si="4"/>
        <v>2253.6999999999998</v>
      </c>
      <c r="J44">
        <f t="shared" si="1"/>
        <v>1505.6400000000003</v>
      </c>
      <c r="K44" s="8">
        <f t="shared" si="2"/>
        <v>0.40050647188070254</v>
      </c>
      <c r="L44" t="str">
        <f t="shared" si="5"/>
        <v>2023-02</v>
      </c>
      <c r="M44">
        <f t="shared" si="3"/>
        <v>1505.6400000000003</v>
      </c>
    </row>
    <row r="45" spans="1:13" x14ac:dyDescent="0.25">
      <c r="A45" s="1">
        <v>45078</v>
      </c>
      <c r="B45" t="s">
        <v>14</v>
      </c>
      <c r="C45" t="s">
        <v>15</v>
      </c>
      <c r="D45" t="s">
        <v>17</v>
      </c>
      <c r="E45">
        <v>1452.13</v>
      </c>
      <c r="F45">
        <v>1293.68</v>
      </c>
      <c r="G45">
        <v>2</v>
      </c>
      <c r="H45">
        <f t="shared" si="0"/>
        <v>2904.26</v>
      </c>
      <c r="I45">
        <f t="shared" si="4"/>
        <v>2587.36</v>
      </c>
      <c r="J45">
        <f t="shared" si="1"/>
        <v>316.90000000000009</v>
      </c>
      <c r="K45" s="8">
        <f t="shared" si="2"/>
        <v>0.10911557505182046</v>
      </c>
      <c r="L45" t="str">
        <f t="shared" si="5"/>
        <v>2023-06</v>
      </c>
      <c r="M45">
        <f t="shared" si="3"/>
        <v>316.90000000000009</v>
      </c>
    </row>
    <row r="46" spans="1:13" x14ac:dyDescent="0.25">
      <c r="A46" s="1">
        <v>45102</v>
      </c>
      <c r="B46" t="s">
        <v>23</v>
      </c>
      <c r="C46" t="s">
        <v>11</v>
      </c>
      <c r="D46" t="s">
        <v>17</v>
      </c>
      <c r="E46">
        <v>638.03</v>
      </c>
      <c r="F46">
        <v>519.16</v>
      </c>
      <c r="G46">
        <v>8</v>
      </c>
      <c r="H46">
        <f t="shared" si="0"/>
        <v>5104.24</v>
      </c>
      <c r="I46">
        <f t="shared" si="4"/>
        <v>4153.28</v>
      </c>
      <c r="J46">
        <f t="shared" si="1"/>
        <v>950.96</v>
      </c>
      <c r="K46" s="8">
        <f t="shared" si="2"/>
        <v>0.18630785386267104</v>
      </c>
      <c r="L46" t="str">
        <f t="shared" si="5"/>
        <v>2023-06</v>
      </c>
      <c r="M46">
        <f t="shared" si="3"/>
        <v>950.96</v>
      </c>
    </row>
    <row r="47" spans="1:13" x14ac:dyDescent="0.25">
      <c r="A47" s="1">
        <v>45482</v>
      </c>
      <c r="B47" t="s">
        <v>14</v>
      </c>
      <c r="C47" t="s">
        <v>15</v>
      </c>
      <c r="D47" t="s">
        <v>17</v>
      </c>
      <c r="E47">
        <v>647.75</v>
      </c>
      <c r="F47">
        <v>371.57</v>
      </c>
      <c r="G47">
        <v>8</v>
      </c>
      <c r="H47">
        <f t="shared" si="0"/>
        <v>5182</v>
      </c>
      <c r="I47">
        <f t="shared" si="4"/>
        <v>2972.56</v>
      </c>
      <c r="J47">
        <f t="shared" si="1"/>
        <v>2209.44</v>
      </c>
      <c r="K47" s="8">
        <f t="shared" si="2"/>
        <v>0.42636819760710154</v>
      </c>
      <c r="L47" t="str">
        <f t="shared" si="5"/>
        <v>2024-07</v>
      </c>
      <c r="M47">
        <f t="shared" si="3"/>
        <v>2209.44</v>
      </c>
    </row>
    <row r="48" spans="1:13" x14ac:dyDescent="0.25">
      <c r="A48" s="1">
        <v>45367</v>
      </c>
      <c r="B48" t="s">
        <v>12</v>
      </c>
      <c r="C48" t="s">
        <v>8</v>
      </c>
      <c r="D48" t="s">
        <v>18</v>
      </c>
      <c r="E48">
        <v>1638.71</v>
      </c>
      <c r="F48">
        <v>1461.22</v>
      </c>
      <c r="G48">
        <v>8</v>
      </c>
      <c r="H48">
        <f t="shared" si="0"/>
        <v>13109.68</v>
      </c>
      <c r="I48">
        <f t="shared" si="4"/>
        <v>11689.76</v>
      </c>
      <c r="J48">
        <f t="shared" si="1"/>
        <v>1419.92</v>
      </c>
      <c r="K48" s="8">
        <f t="shared" si="2"/>
        <v>0.10831080545062885</v>
      </c>
      <c r="L48" t="str">
        <f t="shared" si="5"/>
        <v>2024-03</v>
      </c>
      <c r="M48">
        <f t="shared" si="3"/>
        <v>1419.92</v>
      </c>
    </row>
    <row r="49" spans="1:13" x14ac:dyDescent="0.25">
      <c r="A49" s="1">
        <v>45400</v>
      </c>
      <c r="B49" t="s">
        <v>21</v>
      </c>
      <c r="C49" t="s">
        <v>20</v>
      </c>
      <c r="D49" t="s">
        <v>9</v>
      </c>
      <c r="E49">
        <v>955</v>
      </c>
      <c r="F49">
        <v>658.35</v>
      </c>
      <c r="G49">
        <v>1</v>
      </c>
      <c r="H49">
        <f t="shared" si="0"/>
        <v>955</v>
      </c>
      <c r="I49">
        <f t="shared" si="4"/>
        <v>658.35</v>
      </c>
      <c r="J49">
        <f t="shared" si="1"/>
        <v>296.64999999999998</v>
      </c>
      <c r="K49" s="8">
        <f t="shared" si="2"/>
        <v>0.3106282722513089</v>
      </c>
      <c r="L49" t="str">
        <f t="shared" si="5"/>
        <v>2024-04</v>
      </c>
      <c r="M49">
        <f t="shared" si="3"/>
        <v>296.64999999999998</v>
      </c>
    </row>
    <row r="50" spans="1:13" x14ac:dyDescent="0.25">
      <c r="A50" s="1">
        <v>44941</v>
      </c>
      <c r="B50" t="s">
        <v>25</v>
      </c>
      <c r="C50" t="s">
        <v>15</v>
      </c>
      <c r="D50" t="s">
        <v>9</v>
      </c>
      <c r="E50">
        <v>1924.06</v>
      </c>
      <c r="F50">
        <v>1428.57</v>
      </c>
      <c r="G50">
        <v>2</v>
      </c>
      <c r="H50">
        <f t="shared" si="0"/>
        <v>3848.12</v>
      </c>
      <c r="I50">
        <f t="shared" si="4"/>
        <v>2857.14</v>
      </c>
      <c r="J50">
        <f t="shared" si="1"/>
        <v>990.98</v>
      </c>
      <c r="K50" s="8">
        <f t="shared" si="2"/>
        <v>0.25752315416359156</v>
      </c>
      <c r="L50" t="str">
        <f t="shared" si="5"/>
        <v>2023-01</v>
      </c>
      <c r="M50">
        <f t="shared" si="3"/>
        <v>990.98</v>
      </c>
    </row>
    <row r="51" spans="1:13" x14ac:dyDescent="0.25">
      <c r="A51" s="1">
        <v>45468</v>
      </c>
      <c r="B51" t="s">
        <v>23</v>
      </c>
      <c r="C51" t="s">
        <v>11</v>
      </c>
      <c r="D51" t="s">
        <v>13</v>
      </c>
      <c r="E51">
        <v>1029.92</v>
      </c>
      <c r="F51">
        <v>550.91</v>
      </c>
      <c r="G51">
        <v>10</v>
      </c>
      <c r="H51">
        <f t="shared" si="0"/>
        <v>10299.200000000001</v>
      </c>
      <c r="I51">
        <f t="shared" si="4"/>
        <v>5509.0999999999995</v>
      </c>
      <c r="J51">
        <f t="shared" si="1"/>
        <v>4790.1000000000013</v>
      </c>
      <c r="K51" s="8">
        <f t="shared" si="2"/>
        <v>0.46509437626223404</v>
      </c>
      <c r="L51" t="str">
        <f t="shared" si="5"/>
        <v>2024-06</v>
      </c>
      <c r="M51">
        <f t="shared" si="3"/>
        <v>4790.1000000000013</v>
      </c>
    </row>
    <row r="52" spans="1:13" x14ac:dyDescent="0.25">
      <c r="A52" s="1">
        <v>45459</v>
      </c>
      <c r="B52" t="s">
        <v>24</v>
      </c>
      <c r="C52" t="s">
        <v>20</v>
      </c>
      <c r="D52" t="s">
        <v>9</v>
      </c>
      <c r="E52">
        <v>601.14</v>
      </c>
      <c r="F52">
        <v>371.84</v>
      </c>
      <c r="G52">
        <v>9</v>
      </c>
      <c r="H52">
        <f t="shared" si="0"/>
        <v>5410.26</v>
      </c>
      <c r="I52">
        <f t="shared" si="4"/>
        <v>3346.56</v>
      </c>
      <c r="J52">
        <f t="shared" si="1"/>
        <v>2063.7000000000003</v>
      </c>
      <c r="K52" s="8">
        <f t="shared" si="2"/>
        <v>0.38144192700535651</v>
      </c>
      <c r="L52" t="str">
        <f t="shared" si="5"/>
        <v>2024-06</v>
      </c>
      <c r="M52">
        <f t="shared" si="3"/>
        <v>2063.7000000000003</v>
      </c>
    </row>
    <row r="53" spans="1:13" x14ac:dyDescent="0.25">
      <c r="A53" s="1">
        <v>44814</v>
      </c>
      <c r="B53" t="s">
        <v>21</v>
      </c>
      <c r="C53" t="s">
        <v>20</v>
      </c>
      <c r="D53" t="s">
        <v>9</v>
      </c>
      <c r="E53">
        <v>223.31</v>
      </c>
      <c r="F53">
        <v>182.79</v>
      </c>
      <c r="G53">
        <v>4</v>
      </c>
      <c r="H53">
        <f t="shared" si="0"/>
        <v>893.24</v>
      </c>
      <c r="I53">
        <f t="shared" si="4"/>
        <v>731.16</v>
      </c>
      <c r="J53">
        <f t="shared" si="1"/>
        <v>162.08000000000004</v>
      </c>
      <c r="K53" s="8">
        <f t="shared" si="2"/>
        <v>0.18145179347095969</v>
      </c>
      <c r="L53" t="str">
        <f t="shared" si="5"/>
        <v>2022-09</v>
      </c>
      <c r="M53">
        <f t="shared" si="3"/>
        <v>162.08000000000004</v>
      </c>
    </row>
    <row r="54" spans="1:13" x14ac:dyDescent="0.25">
      <c r="A54" s="1">
        <v>45197</v>
      </c>
      <c r="B54" t="s">
        <v>25</v>
      </c>
      <c r="C54" t="s">
        <v>15</v>
      </c>
      <c r="D54" t="s">
        <v>18</v>
      </c>
      <c r="E54">
        <v>426.88</v>
      </c>
      <c r="F54">
        <v>311.35000000000002</v>
      </c>
      <c r="G54">
        <v>2</v>
      </c>
      <c r="H54">
        <f t="shared" si="0"/>
        <v>853.76</v>
      </c>
      <c r="I54">
        <f t="shared" si="4"/>
        <v>622.70000000000005</v>
      </c>
      <c r="J54">
        <f t="shared" si="1"/>
        <v>231.05999999999995</v>
      </c>
      <c r="K54" s="8">
        <f t="shared" si="2"/>
        <v>0.27063811844077956</v>
      </c>
      <c r="L54" t="str">
        <f t="shared" si="5"/>
        <v>2023-09</v>
      </c>
      <c r="M54">
        <f t="shared" si="3"/>
        <v>231.05999999999995</v>
      </c>
    </row>
    <row r="55" spans="1:13" x14ac:dyDescent="0.25">
      <c r="A55" s="1">
        <v>45181</v>
      </c>
      <c r="B55" t="s">
        <v>19</v>
      </c>
      <c r="C55" t="s">
        <v>20</v>
      </c>
      <c r="D55" t="s">
        <v>17</v>
      </c>
      <c r="E55">
        <v>419.95</v>
      </c>
      <c r="F55">
        <v>325.27</v>
      </c>
      <c r="G55">
        <v>9</v>
      </c>
      <c r="H55">
        <f t="shared" si="0"/>
        <v>3779.5499999999997</v>
      </c>
      <c r="I55">
        <f t="shared" si="4"/>
        <v>2927.43</v>
      </c>
      <c r="J55">
        <f t="shared" si="1"/>
        <v>852.11999999999989</v>
      </c>
      <c r="K55" s="8">
        <f t="shared" si="2"/>
        <v>0.22545541135849503</v>
      </c>
      <c r="L55" t="str">
        <f t="shared" si="5"/>
        <v>2023-09</v>
      </c>
      <c r="M55">
        <f t="shared" si="3"/>
        <v>852.11999999999989</v>
      </c>
    </row>
    <row r="56" spans="1:13" x14ac:dyDescent="0.25">
      <c r="A56" s="1">
        <v>44618</v>
      </c>
      <c r="B56" t="s">
        <v>25</v>
      </c>
      <c r="C56" t="s">
        <v>15</v>
      </c>
      <c r="D56" t="s">
        <v>18</v>
      </c>
      <c r="E56">
        <v>1941.24</v>
      </c>
      <c r="F56">
        <v>1626.1</v>
      </c>
      <c r="G56">
        <v>4</v>
      </c>
      <c r="H56">
        <f t="shared" si="0"/>
        <v>7764.96</v>
      </c>
      <c r="I56">
        <f t="shared" si="4"/>
        <v>6504.4</v>
      </c>
      <c r="J56">
        <f t="shared" si="1"/>
        <v>1260.5600000000004</v>
      </c>
      <c r="K56" s="8">
        <f t="shared" si="2"/>
        <v>0.16233953555459402</v>
      </c>
      <c r="L56" t="str">
        <f t="shared" si="5"/>
        <v>2022-02</v>
      </c>
      <c r="M56">
        <f t="shared" si="3"/>
        <v>1260.5600000000004</v>
      </c>
    </row>
    <row r="57" spans="1:13" x14ac:dyDescent="0.25">
      <c r="A57" s="1">
        <v>45114</v>
      </c>
      <c r="B57" t="s">
        <v>22</v>
      </c>
      <c r="C57" t="s">
        <v>8</v>
      </c>
      <c r="D57" t="s">
        <v>17</v>
      </c>
      <c r="E57">
        <v>1323.68</v>
      </c>
      <c r="F57">
        <v>1125.95</v>
      </c>
      <c r="G57">
        <v>10</v>
      </c>
      <c r="H57">
        <f t="shared" si="0"/>
        <v>13236.800000000001</v>
      </c>
      <c r="I57">
        <f t="shared" si="4"/>
        <v>11259.5</v>
      </c>
      <c r="J57">
        <f t="shared" si="1"/>
        <v>1977.3000000000011</v>
      </c>
      <c r="K57" s="8">
        <f t="shared" si="2"/>
        <v>0.14937900398887954</v>
      </c>
      <c r="L57" t="str">
        <f t="shared" si="5"/>
        <v>2023-07</v>
      </c>
      <c r="M57">
        <f t="shared" si="3"/>
        <v>1977.3000000000011</v>
      </c>
    </row>
    <row r="58" spans="1:13" x14ac:dyDescent="0.25">
      <c r="A58" s="1">
        <v>45280</v>
      </c>
      <c r="B58" t="s">
        <v>25</v>
      </c>
      <c r="C58" t="s">
        <v>15</v>
      </c>
      <c r="D58" t="s">
        <v>17</v>
      </c>
      <c r="E58">
        <v>973.74</v>
      </c>
      <c r="F58">
        <v>848.74</v>
      </c>
      <c r="G58">
        <v>9</v>
      </c>
      <c r="H58">
        <f t="shared" si="0"/>
        <v>8763.66</v>
      </c>
      <c r="I58">
        <f t="shared" si="4"/>
        <v>7638.66</v>
      </c>
      <c r="J58">
        <f t="shared" si="1"/>
        <v>1125</v>
      </c>
      <c r="K58" s="8">
        <f t="shared" si="2"/>
        <v>0.12837102306570541</v>
      </c>
      <c r="L58" t="str">
        <f t="shared" si="5"/>
        <v>2023-12</v>
      </c>
      <c r="M58">
        <f t="shared" si="3"/>
        <v>1125</v>
      </c>
    </row>
    <row r="59" spans="1:13" x14ac:dyDescent="0.25">
      <c r="A59" s="1">
        <v>45417</v>
      </c>
      <c r="B59" t="s">
        <v>14</v>
      </c>
      <c r="C59" t="s">
        <v>15</v>
      </c>
      <c r="D59" t="s">
        <v>18</v>
      </c>
      <c r="E59">
        <v>91.22</v>
      </c>
      <c r="F59">
        <v>77.14</v>
      </c>
      <c r="G59">
        <v>4</v>
      </c>
      <c r="H59">
        <f t="shared" si="0"/>
        <v>364.88</v>
      </c>
      <c r="I59">
        <f t="shared" si="4"/>
        <v>308.56</v>
      </c>
      <c r="J59">
        <f t="shared" si="1"/>
        <v>56.319999999999993</v>
      </c>
      <c r="K59" s="8">
        <f t="shared" si="2"/>
        <v>0.15435211576408681</v>
      </c>
      <c r="L59" t="str">
        <f t="shared" si="5"/>
        <v>2024-05</v>
      </c>
      <c r="M59">
        <f t="shared" si="3"/>
        <v>56.319999999999993</v>
      </c>
    </row>
    <row r="60" spans="1:13" x14ac:dyDescent="0.25">
      <c r="A60" s="1">
        <v>45067</v>
      </c>
      <c r="B60" t="s">
        <v>7</v>
      </c>
      <c r="C60" t="s">
        <v>8</v>
      </c>
      <c r="D60" t="s">
        <v>17</v>
      </c>
      <c r="E60">
        <v>96.35</v>
      </c>
      <c r="F60">
        <v>63.96</v>
      </c>
      <c r="G60">
        <v>8</v>
      </c>
      <c r="H60">
        <f t="shared" si="0"/>
        <v>770.8</v>
      </c>
      <c r="I60">
        <f t="shared" si="4"/>
        <v>511.68</v>
      </c>
      <c r="J60">
        <f t="shared" si="1"/>
        <v>259.11999999999995</v>
      </c>
      <c r="K60" s="8">
        <f t="shared" si="2"/>
        <v>0.33617021276595738</v>
      </c>
      <c r="L60" t="str">
        <f t="shared" si="5"/>
        <v>2023-05</v>
      </c>
      <c r="M60">
        <f t="shared" si="3"/>
        <v>259.11999999999995</v>
      </c>
    </row>
    <row r="61" spans="1:13" x14ac:dyDescent="0.25">
      <c r="A61" s="1">
        <v>44673</v>
      </c>
      <c r="B61" t="s">
        <v>7</v>
      </c>
      <c r="C61" t="s">
        <v>8</v>
      </c>
      <c r="D61" t="s">
        <v>9</v>
      </c>
      <c r="E61">
        <v>639.75</v>
      </c>
      <c r="F61">
        <v>488.42</v>
      </c>
      <c r="G61">
        <v>1</v>
      </c>
      <c r="H61">
        <f t="shared" si="0"/>
        <v>639.75</v>
      </c>
      <c r="I61">
        <f t="shared" si="4"/>
        <v>488.42</v>
      </c>
      <c r="J61">
        <f t="shared" si="1"/>
        <v>151.32999999999998</v>
      </c>
      <c r="K61" s="8">
        <f t="shared" si="2"/>
        <v>0.23654552559593589</v>
      </c>
      <c r="L61" t="str">
        <f t="shared" si="5"/>
        <v>2022-04</v>
      </c>
      <c r="M61">
        <f t="shared" si="3"/>
        <v>151.32999999999998</v>
      </c>
    </row>
    <row r="62" spans="1:13" x14ac:dyDescent="0.25">
      <c r="A62" s="1">
        <v>45389</v>
      </c>
      <c r="B62" t="s">
        <v>22</v>
      </c>
      <c r="C62" t="s">
        <v>8</v>
      </c>
      <c r="D62" t="s">
        <v>9</v>
      </c>
      <c r="E62">
        <v>224.85</v>
      </c>
      <c r="F62">
        <v>131.08000000000001</v>
      </c>
      <c r="G62">
        <v>8</v>
      </c>
      <c r="H62">
        <f t="shared" si="0"/>
        <v>1798.8</v>
      </c>
      <c r="I62">
        <f t="shared" si="4"/>
        <v>1048.6400000000001</v>
      </c>
      <c r="J62">
        <f t="shared" si="1"/>
        <v>750.15999999999985</v>
      </c>
      <c r="K62" s="8">
        <f t="shared" si="2"/>
        <v>0.41703357794084939</v>
      </c>
      <c r="L62" t="str">
        <f t="shared" si="5"/>
        <v>2024-04</v>
      </c>
      <c r="M62">
        <f t="shared" si="3"/>
        <v>750.15999999999985</v>
      </c>
    </row>
    <row r="63" spans="1:13" x14ac:dyDescent="0.25">
      <c r="A63" s="1">
        <v>45385</v>
      </c>
      <c r="B63" t="s">
        <v>24</v>
      </c>
      <c r="C63" t="s">
        <v>20</v>
      </c>
      <c r="D63" t="s">
        <v>13</v>
      </c>
      <c r="E63">
        <v>202.75</v>
      </c>
      <c r="F63">
        <v>144.77000000000001</v>
      </c>
      <c r="G63">
        <v>9</v>
      </c>
      <c r="H63">
        <f t="shared" si="0"/>
        <v>1824.75</v>
      </c>
      <c r="I63">
        <f t="shared" si="4"/>
        <v>1302.93</v>
      </c>
      <c r="J63">
        <f t="shared" si="1"/>
        <v>521.81999999999994</v>
      </c>
      <c r="K63" s="8">
        <f t="shared" si="2"/>
        <v>0.28596794081381005</v>
      </c>
      <c r="L63" t="str">
        <f t="shared" si="5"/>
        <v>2024-04</v>
      </c>
      <c r="M63">
        <f t="shared" si="3"/>
        <v>521.81999999999994</v>
      </c>
    </row>
    <row r="64" spans="1:13" x14ac:dyDescent="0.25">
      <c r="A64" s="1">
        <v>45475</v>
      </c>
      <c r="B64" t="s">
        <v>7</v>
      </c>
      <c r="C64" t="s">
        <v>8</v>
      </c>
      <c r="D64" t="s">
        <v>9</v>
      </c>
      <c r="E64">
        <v>839.39</v>
      </c>
      <c r="F64">
        <v>521.74</v>
      </c>
      <c r="G64">
        <v>9</v>
      </c>
      <c r="H64">
        <f t="shared" si="0"/>
        <v>7554.51</v>
      </c>
      <c r="I64">
        <f t="shared" si="4"/>
        <v>4695.66</v>
      </c>
      <c r="J64">
        <f t="shared" si="1"/>
        <v>2858.8500000000004</v>
      </c>
      <c r="K64" s="8">
        <f t="shared" si="2"/>
        <v>0.37842957385720588</v>
      </c>
      <c r="L64" t="str">
        <f t="shared" si="5"/>
        <v>2024-07</v>
      </c>
      <c r="M64">
        <f t="shared" si="3"/>
        <v>2858.8500000000004</v>
      </c>
    </row>
    <row r="65" spans="1:13" x14ac:dyDescent="0.25">
      <c r="A65" s="1">
        <v>45148</v>
      </c>
      <c r="B65" t="s">
        <v>7</v>
      </c>
      <c r="C65" t="s">
        <v>8</v>
      </c>
      <c r="D65" t="s">
        <v>18</v>
      </c>
      <c r="E65">
        <v>471.15</v>
      </c>
      <c r="F65">
        <v>393.77</v>
      </c>
      <c r="G65">
        <v>5</v>
      </c>
      <c r="H65">
        <f t="shared" si="0"/>
        <v>2355.75</v>
      </c>
      <c r="I65">
        <f t="shared" si="4"/>
        <v>1968.85</v>
      </c>
      <c r="J65">
        <f t="shared" si="1"/>
        <v>386.90000000000009</v>
      </c>
      <c r="K65" s="8">
        <f t="shared" si="2"/>
        <v>0.16423644274647145</v>
      </c>
      <c r="L65" t="str">
        <f t="shared" si="5"/>
        <v>2023-08</v>
      </c>
      <c r="M65">
        <f t="shared" si="3"/>
        <v>386.90000000000009</v>
      </c>
    </row>
    <row r="66" spans="1:13" x14ac:dyDescent="0.25">
      <c r="A66" s="1">
        <v>45610</v>
      </c>
      <c r="B66" t="s">
        <v>24</v>
      </c>
      <c r="C66" t="s">
        <v>20</v>
      </c>
      <c r="D66" t="s">
        <v>18</v>
      </c>
      <c r="E66">
        <v>1919.37</v>
      </c>
      <c r="F66">
        <v>1059.1199999999999</v>
      </c>
      <c r="G66">
        <v>2</v>
      </c>
      <c r="H66">
        <f t="shared" si="0"/>
        <v>3838.74</v>
      </c>
      <c r="I66">
        <f t="shared" si="4"/>
        <v>2118.2399999999998</v>
      </c>
      <c r="J66">
        <f t="shared" si="1"/>
        <v>1720.5</v>
      </c>
      <c r="K66" s="8">
        <f t="shared" si="2"/>
        <v>0.44819393863611501</v>
      </c>
      <c r="L66" t="str">
        <f t="shared" si="5"/>
        <v>2024-11</v>
      </c>
      <c r="M66">
        <f t="shared" si="3"/>
        <v>1720.5</v>
      </c>
    </row>
    <row r="67" spans="1:13" x14ac:dyDescent="0.25">
      <c r="A67" s="1">
        <v>44602</v>
      </c>
      <c r="B67" t="s">
        <v>12</v>
      </c>
      <c r="C67" t="s">
        <v>8</v>
      </c>
      <c r="D67" t="s">
        <v>13</v>
      </c>
      <c r="E67">
        <v>242.6</v>
      </c>
      <c r="F67">
        <v>122.5</v>
      </c>
      <c r="G67">
        <v>6</v>
      </c>
      <c r="H67">
        <f t="shared" ref="H67:H130" si="6">E67*G67</f>
        <v>1455.6</v>
      </c>
      <c r="I67">
        <f t="shared" si="4"/>
        <v>735</v>
      </c>
      <c r="J67">
        <f t="shared" ref="J67:J130" si="7">H67-I67</f>
        <v>720.59999999999991</v>
      </c>
      <c r="K67" s="8">
        <f t="shared" ref="K67:K130" si="8">(H67-I67)/H67</f>
        <v>0.49505358615004119</v>
      </c>
      <c r="L67" t="str">
        <f t="shared" si="5"/>
        <v>2022-02</v>
      </c>
      <c r="M67">
        <f t="shared" ref="M67:M130" si="9">H67-I67</f>
        <v>720.59999999999991</v>
      </c>
    </row>
    <row r="68" spans="1:13" x14ac:dyDescent="0.25">
      <c r="A68" s="1">
        <v>44653</v>
      </c>
      <c r="B68" t="s">
        <v>14</v>
      </c>
      <c r="C68" t="s">
        <v>15</v>
      </c>
      <c r="D68" t="s">
        <v>9</v>
      </c>
      <c r="E68">
        <v>136.78</v>
      </c>
      <c r="F68">
        <v>69.59</v>
      </c>
      <c r="G68">
        <v>9</v>
      </c>
      <c r="H68">
        <f t="shared" si="6"/>
        <v>1231.02</v>
      </c>
      <c r="I68">
        <f t="shared" ref="I68:I131" si="10">F68*G68</f>
        <v>626.31000000000006</v>
      </c>
      <c r="J68">
        <f t="shared" si="7"/>
        <v>604.70999999999992</v>
      </c>
      <c r="K68" s="8">
        <f t="shared" si="8"/>
        <v>0.49122678754203825</v>
      </c>
      <c r="L68" t="str">
        <f t="shared" ref="L68:L131" si="11">TEXT(A68,"rrrr-mm")</f>
        <v>2022-04</v>
      </c>
      <c r="M68">
        <f t="shared" si="9"/>
        <v>604.70999999999992</v>
      </c>
    </row>
    <row r="69" spans="1:13" x14ac:dyDescent="0.25">
      <c r="A69" s="1">
        <v>45270</v>
      </c>
      <c r="B69" t="s">
        <v>22</v>
      </c>
      <c r="C69" t="s">
        <v>8</v>
      </c>
      <c r="D69" t="s">
        <v>13</v>
      </c>
      <c r="E69">
        <v>1522.4</v>
      </c>
      <c r="F69">
        <v>1162.8699999999999</v>
      </c>
      <c r="G69">
        <v>9</v>
      </c>
      <c r="H69">
        <f t="shared" si="6"/>
        <v>13701.6</v>
      </c>
      <c r="I69">
        <f t="shared" si="10"/>
        <v>10465.829999999998</v>
      </c>
      <c r="J69">
        <f t="shared" si="7"/>
        <v>3235.7700000000023</v>
      </c>
      <c r="K69" s="8">
        <f t="shared" si="8"/>
        <v>0.23616001050972166</v>
      </c>
      <c r="L69" t="str">
        <f t="shared" si="11"/>
        <v>2023-12</v>
      </c>
      <c r="M69">
        <f t="shared" si="9"/>
        <v>3235.7700000000023</v>
      </c>
    </row>
    <row r="70" spans="1:13" x14ac:dyDescent="0.25">
      <c r="A70" s="1">
        <v>45268</v>
      </c>
      <c r="B70" t="s">
        <v>24</v>
      </c>
      <c r="C70" t="s">
        <v>20</v>
      </c>
      <c r="D70" t="s">
        <v>9</v>
      </c>
      <c r="E70">
        <v>542.57000000000005</v>
      </c>
      <c r="F70">
        <v>352.9</v>
      </c>
      <c r="G70">
        <v>2</v>
      </c>
      <c r="H70">
        <f t="shared" si="6"/>
        <v>1085.1400000000001</v>
      </c>
      <c r="I70">
        <f t="shared" si="10"/>
        <v>705.8</v>
      </c>
      <c r="J70">
        <f t="shared" si="7"/>
        <v>379.34000000000015</v>
      </c>
      <c r="K70" s="8">
        <f t="shared" si="8"/>
        <v>0.34957701310430001</v>
      </c>
      <c r="L70" t="str">
        <f t="shared" si="11"/>
        <v>2023-12</v>
      </c>
      <c r="M70">
        <f t="shared" si="9"/>
        <v>379.34000000000015</v>
      </c>
    </row>
    <row r="71" spans="1:13" x14ac:dyDescent="0.25">
      <c r="A71" s="1">
        <v>45432</v>
      </c>
      <c r="B71" t="s">
        <v>12</v>
      </c>
      <c r="C71" t="s">
        <v>8</v>
      </c>
      <c r="D71" t="s">
        <v>17</v>
      </c>
      <c r="E71">
        <v>310.69</v>
      </c>
      <c r="F71">
        <v>178.84</v>
      </c>
      <c r="G71">
        <v>2</v>
      </c>
      <c r="H71">
        <f t="shared" si="6"/>
        <v>621.38</v>
      </c>
      <c r="I71">
        <f t="shared" si="10"/>
        <v>357.68</v>
      </c>
      <c r="J71">
        <f t="shared" si="7"/>
        <v>263.7</v>
      </c>
      <c r="K71" s="8">
        <f t="shared" si="8"/>
        <v>0.42437799736071324</v>
      </c>
      <c r="L71" t="str">
        <f t="shared" si="11"/>
        <v>2024-05</v>
      </c>
      <c r="M71">
        <f t="shared" si="9"/>
        <v>263.7</v>
      </c>
    </row>
    <row r="72" spans="1:13" x14ac:dyDescent="0.25">
      <c r="A72" s="1">
        <v>45236</v>
      </c>
      <c r="B72" t="s">
        <v>19</v>
      </c>
      <c r="C72" t="s">
        <v>20</v>
      </c>
      <c r="D72" t="s">
        <v>9</v>
      </c>
      <c r="E72">
        <v>333.08</v>
      </c>
      <c r="F72">
        <v>202.2</v>
      </c>
      <c r="G72">
        <v>5</v>
      </c>
      <c r="H72">
        <f t="shared" si="6"/>
        <v>1665.3999999999999</v>
      </c>
      <c r="I72">
        <f t="shared" si="10"/>
        <v>1011</v>
      </c>
      <c r="J72">
        <f t="shared" si="7"/>
        <v>654.39999999999986</v>
      </c>
      <c r="K72" s="8">
        <f t="shared" si="8"/>
        <v>0.39293863336135459</v>
      </c>
      <c r="L72" t="str">
        <f t="shared" si="11"/>
        <v>2023-11</v>
      </c>
      <c r="M72">
        <f t="shared" si="9"/>
        <v>654.39999999999986</v>
      </c>
    </row>
    <row r="73" spans="1:13" x14ac:dyDescent="0.25">
      <c r="A73" s="1">
        <v>44961</v>
      </c>
      <c r="B73" t="s">
        <v>12</v>
      </c>
      <c r="C73" t="s">
        <v>8</v>
      </c>
      <c r="D73" t="s">
        <v>13</v>
      </c>
      <c r="E73">
        <v>1174.94</v>
      </c>
      <c r="F73">
        <v>921</v>
      </c>
      <c r="G73">
        <v>1</v>
      </c>
      <c r="H73">
        <f t="shared" si="6"/>
        <v>1174.94</v>
      </c>
      <c r="I73">
        <f t="shared" si="10"/>
        <v>921</v>
      </c>
      <c r="J73">
        <f t="shared" si="7"/>
        <v>253.94000000000005</v>
      </c>
      <c r="K73" s="8">
        <f t="shared" si="8"/>
        <v>0.21613018537116793</v>
      </c>
      <c r="L73" t="str">
        <f t="shared" si="11"/>
        <v>2023-02</v>
      </c>
      <c r="M73">
        <f t="shared" si="9"/>
        <v>253.94000000000005</v>
      </c>
    </row>
    <row r="74" spans="1:13" x14ac:dyDescent="0.25">
      <c r="A74" s="1">
        <v>45248</v>
      </c>
      <c r="B74" t="s">
        <v>7</v>
      </c>
      <c r="C74" t="s">
        <v>8</v>
      </c>
      <c r="D74" t="s">
        <v>9</v>
      </c>
      <c r="E74">
        <v>1068.96</v>
      </c>
      <c r="F74">
        <v>718.57</v>
      </c>
      <c r="G74">
        <v>5</v>
      </c>
      <c r="H74">
        <f t="shared" si="6"/>
        <v>5344.8</v>
      </c>
      <c r="I74">
        <f t="shared" si="10"/>
        <v>3592.8500000000004</v>
      </c>
      <c r="J74">
        <f t="shared" si="7"/>
        <v>1751.9499999999998</v>
      </c>
      <c r="K74" s="8">
        <f t="shared" si="8"/>
        <v>0.32778588534650499</v>
      </c>
      <c r="L74" t="str">
        <f t="shared" si="11"/>
        <v>2023-11</v>
      </c>
      <c r="M74">
        <f t="shared" si="9"/>
        <v>1751.9499999999998</v>
      </c>
    </row>
    <row r="75" spans="1:13" x14ac:dyDescent="0.25">
      <c r="A75" s="1">
        <v>44823</v>
      </c>
      <c r="B75" t="s">
        <v>12</v>
      </c>
      <c r="C75" t="s">
        <v>8</v>
      </c>
      <c r="D75" t="s">
        <v>13</v>
      </c>
      <c r="E75">
        <v>73</v>
      </c>
      <c r="F75">
        <v>63.96</v>
      </c>
      <c r="G75">
        <v>4</v>
      </c>
      <c r="H75">
        <f t="shared" si="6"/>
        <v>292</v>
      </c>
      <c r="I75">
        <f t="shared" si="10"/>
        <v>255.84</v>
      </c>
      <c r="J75">
        <f t="shared" si="7"/>
        <v>36.159999999999997</v>
      </c>
      <c r="K75" s="8">
        <f t="shared" si="8"/>
        <v>0.12383561643835615</v>
      </c>
      <c r="L75" t="str">
        <f t="shared" si="11"/>
        <v>2022-09</v>
      </c>
      <c r="M75">
        <f t="shared" si="9"/>
        <v>36.159999999999997</v>
      </c>
    </row>
    <row r="76" spans="1:13" x14ac:dyDescent="0.25">
      <c r="A76" s="1">
        <v>45380</v>
      </c>
      <c r="B76" t="s">
        <v>14</v>
      </c>
      <c r="C76" t="s">
        <v>15</v>
      </c>
      <c r="D76" t="s">
        <v>17</v>
      </c>
      <c r="E76">
        <v>335.39</v>
      </c>
      <c r="F76">
        <v>287.07</v>
      </c>
      <c r="G76">
        <v>8</v>
      </c>
      <c r="H76">
        <f t="shared" si="6"/>
        <v>2683.12</v>
      </c>
      <c r="I76">
        <f t="shared" si="10"/>
        <v>2296.56</v>
      </c>
      <c r="J76">
        <f t="shared" si="7"/>
        <v>386.55999999999995</v>
      </c>
      <c r="K76" s="8">
        <f t="shared" si="8"/>
        <v>0.14407108142759176</v>
      </c>
      <c r="L76" t="str">
        <f t="shared" si="11"/>
        <v>2024-03</v>
      </c>
      <c r="M76">
        <f t="shared" si="9"/>
        <v>386.55999999999995</v>
      </c>
    </row>
    <row r="77" spans="1:13" x14ac:dyDescent="0.25">
      <c r="A77" s="1">
        <v>45279</v>
      </c>
      <c r="B77" t="s">
        <v>19</v>
      </c>
      <c r="C77" t="s">
        <v>20</v>
      </c>
      <c r="D77" t="s">
        <v>18</v>
      </c>
      <c r="E77">
        <v>1498.8</v>
      </c>
      <c r="F77">
        <v>1029.06</v>
      </c>
      <c r="G77">
        <v>9</v>
      </c>
      <c r="H77">
        <f t="shared" si="6"/>
        <v>13489.199999999999</v>
      </c>
      <c r="I77">
        <f t="shared" si="10"/>
        <v>9261.5399999999991</v>
      </c>
      <c r="J77">
        <f t="shared" si="7"/>
        <v>4227.66</v>
      </c>
      <c r="K77" s="8">
        <f t="shared" si="8"/>
        <v>0.31341072858286628</v>
      </c>
      <c r="L77" t="str">
        <f t="shared" si="11"/>
        <v>2023-12</v>
      </c>
      <c r="M77">
        <f t="shared" si="9"/>
        <v>4227.66</v>
      </c>
    </row>
    <row r="78" spans="1:13" x14ac:dyDescent="0.25">
      <c r="A78" s="1">
        <v>44754</v>
      </c>
      <c r="B78" t="s">
        <v>16</v>
      </c>
      <c r="C78" t="s">
        <v>15</v>
      </c>
      <c r="D78" t="s">
        <v>18</v>
      </c>
      <c r="E78">
        <v>1354.22</v>
      </c>
      <c r="F78">
        <v>810.9</v>
      </c>
      <c r="G78">
        <v>9</v>
      </c>
      <c r="H78">
        <f t="shared" si="6"/>
        <v>12187.98</v>
      </c>
      <c r="I78">
        <f t="shared" si="10"/>
        <v>7298.0999999999995</v>
      </c>
      <c r="J78">
        <f t="shared" si="7"/>
        <v>4889.88</v>
      </c>
      <c r="K78" s="8">
        <f t="shared" si="8"/>
        <v>0.40120512176751194</v>
      </c>
      <c r="L78" t="str">
        <f t="shared" si="11"/>
        <v>2022-07</v>
      </c>
      <c r="M78">
        <f t="shared" si="9"/>
        <v>4889.88</v>
      </c>
    </row>
    <row r="79" spans="1:13" x14ac:dyDescent="0.25">
      <c r="A79" s="1">
        <v>45121</v>
      </c>
      <c r="B79" t="s">
        <v>19</v>
      </c>
      <c r="C79" t="s">
        <v>20</v>
      </c>
      <c r="D79" t="s">
        <v>9</v>
      </c>
      <c r="E79">
        <v>745.56</v>
      </c>
      <c r="F79">
        <v>423.85</v>
      </c>
      <c r="G79">
        <v>9</v>
      </c>
      <c r="H79">
        <f t="shared" si="6"/>
        <v>6710.0399999999991</v>
      </c>
      <c r="I79">
        <f t="shared" si="10"/>
        <v>3814.65</v>
      </c>
      <c r="J79">
        <f t="shared" si="7"/>
        <v>2895.389999999999</v>
      </c>
      <c r="K79" s="8">
        <f t="shared" si="8"/>
        <v>0.43150115349535911</v>
      </c>
      <c r="L79" t="str">
        <f t="shared" si="11"/>
        <v>2023-07</v>
      </c>
      <c r="M79">
        <f t="shared" si="9"/>
        <v>2895.389999999999</v>
      </c>
    </row>
    <row r="80" spans="1:13" x14ac:dyDescent="0.25">
      <c r="A80" s="1">
        <v>44844</v>
      </c>
      <c r="B80" t="s">
        <v>19</v>
      </c>
      <c r="C80" t="s">
        <v>20</v>
      </c>
      <c r="D80" t="s">
        <v>13</v>
      </c>
      <c r="E80">
        <v>598.80999999999995</v>
      </c>
      <c r="F80">
        <v>340.32</v>
      </c>
      <c r="G80">
        <v>7</v>
      </c>
      <c r="H80">
        <f t="shared" si="6"/>
        <v>4191.67</v>
      </c>
      <c r="I80">
        <f t="shared" si="10"/>
        <v>2382.2399999999998</v>
      </c>
      <c r="J80">
        <f t="shared" si="7"/>
        <v>1809.4300000000003</v>
      </c>
      <c r="K80" s="8">
        <f t="shared" si="8"/>
        <v>0.43167281775521454</v>
      </c>
      <c r="L80" t="str">
        <f t="shared" si="11"/>
        <v>2022-10</v>
      </c>
      <c r="M80">
        <f t="shared" si="9"/>
        <v>1809.4300000000003</v>
      </c>
    </row>
    <row r="81" spans="1:13" x14ac:dyDescent="0.25">
      <c r="A81" s="1">
        <v>44983</v>
      </c>
      <c r="B81" t="s">
        <v>12</v>
      </c>
      <c r="C81" t="s">
        <v>8</v>
      </c>
      <c r="D81" t="s">
        <v>13</v>
      </c>
      <c r="E81">
        <v>425.41</v>
      </c>
      <c r="F81">
        <v>288.47000000000003</v>
      </c>
      <c r="G81">
        <v>6</v>
      </c>
      <c r="H81">
        <f t="shared" si="6"/>
        <v>2552.46</v>
      </c>
      <c r="I81">
        <f t="shared" si="10"/>
        <v>1730.8200000000002</v>
      </c>
      <c r="J81">
        <f t="shared" si="7"/>
        <v>821.63999999999987</v>
      </c>
      <c r="K81" s="8">
        <f t="shared" si="8"/>
        <v>0.32190122470087673</v>
      </c>
      <c r="L81" t="str">
        <f t="shared" si="11"/>
        <v>2023-02</v>
      </c>
      <c r="M81">
        <f t="shared" si="9"/>
        <v>821.63999999999987</v>
      </c>
    </row>
    <row r="82" spans="1:13" x14ac:dyDescent="0.25">
      <c r="A82" s="1">
        <v>45452</v>
      </c>
      <c r="B82" t="s">
        <v>16</v>
      </c>
      <c r="C82" t="s">
        <v>15</v>
      </c>
      <c r="D82" t="s">
        <v>13</v>
      </c>
      <c r="E82">
        <v>1573.04</v>
      </c>
      <c r="F82">
        <v>874.53</v>
      </c>
      <c r="G82">
        <v>4</v>
      </c>
      <c r="H82">
        <f t="shared" si="6"/>
        <v>6292.16</v>
      </c>
      <c r="I82">
        <f t="shared" si="10"/>
        <v>3498.12</v>
      </c>
      <c r="J82">
        <f t="shared" si="7"/>
        <v>2794.04</v>
      </c>
      <c r="K82" s="8">
        <f t="shared" si="8"/>
        <v>0.44405100951024767</v>
      </c>
      <c r="L82" t="str">
        <f t="shared" si="11"/>
        <v>2024-06</v>
      </c>
      <c r="M82">
        <f t="shared" si="9"/>
        <v>2794.04</v>
      </c>
    </row>
    <row r="83" spans="1:13" x14ac:dyDescent="0.25">
      <c r="A83" s="1">
        <v>44811</v>
      </c>
      <c r="B83" t="s">
        <v>12</v>
      </c>
      <c r="C83" t="s">
        <v>8</v>
      </c>
      <c r="D83" t="s">
        <v>18</v>
      </c>
      <c r="E83">
        <v>1222.45</v>
      </c>
      <c r="F83">
        <v>720.8</v>
      </c>
      <c r="G83">
        <v>8</v>
      </c>
      <c r="H83">
        <f t="shared" si="6"/>
        <v>9779.6</v>
      </c>
      <c r="I83">
        <f t="shared" si="10"/>
        <v>5766.4</v>
      </c>
      <c r="J83">
        <f t="shared" si="7"/>
        <v>4013.2000000000007</v>
      </c>
      <c r="K83" s="8">
        <f t="shared" si="8"/>
        <v>0.41036443208311185</v>
      </c>
      <c r="L83" t="str">
        <f t="shared" si="11"/>
        <v>2022-09</v>
      </c>
      <c r="M83">
        <f t="shared" si="9"/>
        <v>4013.2000000000007</v>
      </c>
    </row>
    <row r="84" spans="1:13" x14ac:dyDescent="0.25">
      <c r="A84" s="1">
        <v>44920</v>
      </c>
      <c r="B84" t="s">
        <v>25</v>
      </c>
      <c r="C84" t="s">
        <v>15</v>
      </c>
      <c r="D84" t="s">
        <v>17</v>
      </c>
      <c r="E84">
        <v>1918.76</v>
      </c>
      <c r="F84">
        <v>1386.05</v>
      </c>
      <c r="G84">
        <v>9</v>
      </c>
      <c r="H84">
        <f t="shared" si="6"/>
        <v>17268.84</v>
      </c>
      <c r="I84">
        <f t="shared" si="10"/>
        <v>12474.449999999999</v>
      </c>
      <c r="J84">
        <f t="shared" si="7"/>
        <v>4794.3900000000012</v>
      </c>
      <c r="K84" s="8">
        <f t="shared" si="8"/>
        <v>0.27763242927724163</v>
      </c>
      <c r="L84" t="str">
        <f t="shared" si="11"/>
        <v>2022-12</v>
      </c>
      <c r="M84">
        <f t="shared" si="9"/>
        <v>4794.3900000000012</v>
      </c>
    </row>
    <row r="85" spans="1:13" x14ac:dyDescent="0.25">
      <c r="A85" s="1">
        <v>45652</v>
      </c>
      <c r="B85" t="s">
        <v>25</v>
      </c>
      <c r="C85" t="s">
        <v>15</v>
      </c>
      <c r="D85" t="s">
        <v>18</v>
      </c>
      <c r="E85">
        <v>1903.6</v>
      </c>
      <c r="F85">
        <v>1480.35</v>
      </c>
      <c r="G85">
        <v>10</v>
      </c>
      <c r="H85">
        <f t="shared" si="6"/>
        <v>19036</v>
      </c>
      <c r="I85">
        <f t="shared" si="10"/>
        <v>14803.5</v>
      </c>
      <c r="J85">
        <f t="shared" si="7"/>
        <v>4232.5</v>
      </c>
      <c r="K85" s="8">
        <f t="shared" si="8"/>
        <v>0.222341878545913</v>
      </c>
      <c r="L85" t="str">
        <f t="shared" si="11"/>
        <v>2024-12</v>
      </c>
      <c r="M85">
        <f t="shared" si="9"/>
        <v>4232.5</v>
      </c>
    </row>
    <row r="86" spans="1:13" x14ac:dyDescent="0.25">
      <c r="A86" s="1">
        <v>44940</v>
      </c>
      <c r="B86" t="s">
        <v>14</v>
      </c>
      <c r="C86" t="s">
        <v>15</v>
      </c>
      <c r="D86" t="s">
        <v>9</v>
      </c>
      <c r="E86">
        <v>580.89</v>
      </c>
      <c r="F86">
        <v>371.47</v>
      </c>
      <c r="G86">
        <v>7</v>
      </c>
      <c r="H86">
        <f t="shared" si="6"/>
        <v>4066.23</v>
      </c>
      <c r="I86">
        <f t="shared" si="10"/>
        <v>2600.29</v>
      </c>
      <c r="J86">
        <f t="shared" si="7"/>
        <v>1465.94</v>
      </c>
      <c r="K86" s="8">
        <f t="shared" si="8"/>
        <v>0.3605157602988518</v>
      </c>
      <c r="L86" t="str">
        <f t="shared" si="11"/>
        <v>2023-01</v>
      </c>
      <c r="M86">
        <f t="shared" si="9"/>
        <v>1465.94</v>
      </c>
    </row>
    <row r="87" spans="1:13" x14ac:dyDescent="0.25">
      <c r="A87" s="1">
        <v>45513</v>
      </c>
      <c r="B87" t="s">
        <v>23</v>
      </c>
      <c r="C87" t="s">
        <v>11</v>
      </c>
      <c r="D87" t="s">
        <v>13</v>
      </c>
      <c r="E87">
        <v>1146.3</v>
      </c>
      <c r="F87">
        <v>858.05</v>
      </c>
      <c r="G87">
        <v>3</v>
      </c>
      <c r="H87">
        <f t="shared" si="6"/>
        <v>3438.8999999999996</v>
      </c>
      <c r="I87">
        <f t="shared" si="10"/>
        <v>2574.1499999999996</v>
      </c>
      <c r="J87">
        <f t="shared" si="7"/>
        <v>864.75</v>
      </c>
      <c r="K87" s="8">
        <f t="shared" si="8"/>
        <v>0.25146122306551516</v>
      </c>
      <c r="L87" t="str">
        <f t="shared" si="11"/>
        <v>2024-08</v>
      </c>
      <c r="M87">
        <f t="shared" si="9"/>
        <v>864.75</v>
      </c>
    </row>
    <row r="88" spans="1:13" x14ac:dyDescent="0.25">
      <c r="A88" s="1">
        <v>45182</v>
      </c>
      <c r="B88" t="s">
        <v>12</v>
      </c>
      <c r="C88" t="s">
        <v>8</v>
      </c>
      <c r="D88" t="s">
        <v>17</v>
      </c>
      <c r="E88">
        <v>1512.49</v>
      </c>
      <c r="F88">
        <v>1093.73</v>
      </c>
      <c r="G88">
        <v>10</v>
      </c>
      <c r="H88">
        <f t="shared" si="6"/>
        <v>15124.9</v>
      </c>
      <c r="I88">
        <f t="shared" si="10"/>
        <v>10937.3</v>
      </c>
      <c r="J88">
        <f t="shared" si="7"/>
        <v>4187.6000000000004</v>
      </c>
      <c r="K88" s="8">
        <f t="shared" si="8"/>
        <v>0.27686794623435529</v>
      </c>
      <c r="L88" t="str">
        <f t="shared" si="11"/>
        <v>2023-09</v>
      </c>
      <c r="M88">
        <f t="shared" si="9"/>
        <v>4187.6000000000004</v>
      </c>
    </row>
    <row r="89" spans="1:13" x14ac:dyDescent="0.25">
      <c r="A89" s="1">
        <v>44887</v>
      </c>
      <c r="B89" t="s">
        <v>12</v>
      </c>
      <c r="C89" t="s">
        <v>8</v>
      </c>
      <c r="D89" t="s">
        <v>18</v>
      </c>
      <c r="E89">
        <v>680.6</v>
      </c>
      <c r="F89">
        <v>589.33000000000004</v>
      </c>
      <c r="G89">
        <v>4</v>
      </c>
      <c r="H89">
        <f t="shared" si="6"/>
        <v>2722.4</v>
      </c>
      <c r="I89">
        <f t="shared" si="10"/>
        <v>2357.3200000000002</v>
      </c>
      <c r="J89">
        <f t="shared" si="7"/>
        <v>365.07999999999993</v>
      </c>
      <c r="K89" s="8">
        <f t="shared" si="8"/>
        <v>0.13410226270937406</v>
      </c>
      <c r="L89" t="str">
        <f t="shared" si="11"/>
        <v>2022-11</v>
      </c>
      <c r="M89">
        <f t="shared" si="9"/>
        <v>365.07999999999993</v>
      </c>
    </row>
    <row r="90" spans="1:13" x14ac:dyDescent="0.25">
      <c r="A90" s="1">
        <v>45190</v>
      </c>
      <c r="B90" t="s">
        <v>24</v>
      </c>
      <c r="C90" t="s">
        <v>20</v>
      </c>
      <c r="D90" t="s">
        <v>18</v>
      </c>
      <c r="E90">
        <v>775.8</v>
      </c>
      <c r="F90">
        <v>610.35</v>
      </c>
      <c r="G90">
        <v>9</v>
      </c>
      <c r="H90">
        <f t="shared" si="6"/>
        <v>6982.2</v>
      </c>
      <c r="I90">
        <f t="shared" si="10"/>
        <v>5493.1500000000005</v>
      </c>
      <c r="J90">
        <f t="shared" si="7"/>
        <v>1489.0499999999993</v>
      </c>
      <c r="K90" s="8">
        <f t="shared" si="8"/>
        <v>0.21326372776488775</v>
      </c>
      <c r="L90" t="str">
        <f t="shared" si="11"/>
        <v>2023-09</v>
      </c>
      <c r="M90">
        <f t="shared" si="9"/>
        <v>1489.0499999999993</v>
      </c>
    </row>
    <row r="91" spans="1:13" x14ac:dyDescent="0.25">
      <c r="A91" s="1">
        <v>45652</v>
      </c>
      <c r="B91" t="s">
        <v>24</v>
      </c>
      <c r="C91" t="s">
        <v>20</v>
      </c>
      <c r="D91" t="s">
        <v>13</v>
      </c>
      <c r="E91">
        <v>1778.29</v>
      </c>
      <c r="F91">
        <v>1055.8900000000001</v>
      </c>
      <c r="G91">
        <v>8</v>
      </c>
      <c r="H91">
        <f t="shared" si="6"/>
        <v>14226.32</v>
      </c>
      <c r="I91">
        <f t="shared" si="10"/>
        <v>8447.1200000000008</v>
      </c>
      <c r="J91">
        <f t="shared" si="7"/>
        <v>5779.1999999999989</v>
      </c>
      <c r="K91" s="8">
        <f t="shared" si="8"/>
        <v>0.4062329541300912</v>
      </c>
      <c r="L91" t="str">
        <f t="shared" si="11"/>
        <v>2024-12</v>
      </c>
      <c r="M91">
        <f t="shared" si="9"/>
        <v>5779.1999999999989</v>
      </c>
    </row>
    <row r="92" spans="1:13" x14ac:dyDescent="0.25">
      <c r="A92" s="1">
        <v>45442</v>
      </c>
      <c r="B92" t="s">
        <v>21</v>
      </c>
      <c r="C92" t="s">
        <v>20</v>
      </c>
      <c r="D92" t="s">
        <v>9</v>
      </c>
      <c r="E92">
        <v>820.47</v>
      </c>
      <c r="F92">
        <v>693.41</v>
      </c>
      <c r="G92">
        <v>8</v>
      </c>
      <c r="H92">
        <f t="shared" si="6"/>
        <v>6563.76</v>
      </c>
      <c r="I92">
        <f t="shared" si="10"/>
        <v>5547.28</v>
      </c>
      <c r="J92">
        <f t="shared" si="7"/>
        <v>1016.4800000000005</v>
      </c>
      <c r="K92" s="8">
        <f t="shared" si="8"/>
        <v>0.15486245688446873</v>
      </c>
      <c r="L92" t="str">
        <f t="shared" si="11"/>
        <v>2024-05</v>
      </c>
      <c r="M92">
        <f t="shared" si="9"/>
        <v>1016.4800000000005</v>
      </c>
    </row>
    <row r="93" spans="1:13" x14ac:dyDescent="0.25">
      <c r="A93" s="1">
        <v>45274</v>
      </c>
      <c r="B93" t="s">
        <v>16</v>
      </c>
      <c r="C93" t="s">
        <v>15</v>
      </c>
      <c r="D93" t="s">
        <v>13</v>
      </c>
      <c r="E93">
        <v>348.43</v>
      </c>
      <c r="F93">
        <v>276.13</v>
      </c>
      <c r="G93">
        <v>4</v>
      </c>
      <c r="H93">
        <f t="shared" si="6"/>
        <v>1393.72</v>
      </c>
      <c r="I93">
        <f t="shared" si="10"/>
        <v>1104.52</v>
      </c>
      <c r="J93">
        <f t="shared" si="7"/>
        <v>289.20000000000005</v>
      </c>
      <c r="K93" s="8">
        <f t="shared" si="8"/>
        <v>0.20750222426312318</v>
      </c>
      <c r="L93" t="str">
        <f t="shared" si="11"/>
        <v>2023-12</v>
      </c>
      <c r="M93">
        <f t="shared" si="9"/>
        <v>289.20000000000005</v>
      </c>
    </row>
    <row r="94" spans="1:13" x14ac:dyDescent="0.25">
      <c r="A94" s="1">
        <v>45595</v>
      </c>
      <c r="B94" t="s">
        <v>10</v>
      </c>
      <c r="C94" t="s">
        <v>11</v>
      </c>
      <c r="D94" t="s">
        <v>9</v>
      </c>
      <c r="E94">
        <v>1353.59</v>
      </c>
      <c r="F94">
        <v>679.82</v>
      </c>
      <c r="G94">
        <v>3</v>
      </c>
      <c r="H94">
        <f t="shared" si="6"/>
        <v>4060.7699999999995</v>
      </c>
      <c r="I94">
        <f t="shared" si="10"/>
        <v>2039.46</v>
      </c>
      <c r="J94">
        <f t="shared" si="7"/>
        <v>2021.3099999999995</v>
      </c>
      <c r="K94" s="8">
        <f t="shared" si="8"/>
        <v>0.4977652021660916</v>
      </c>
      <c r="L94" t="str">
        <f t="shared" si="11"/>
        <v>2024-10</v>
      </c>
      <c r="M94">
        <f t="shared" si="9"/>
        <v>2021.3099999999995</v>
      </c>
    </row>
    <row r="95" spans="1:13" x14ac:dyDescent="0.25">
      <c r="A95" s="1">
        <v>45620</v>
      </c>
      <c r="B95" t="s">
        <v>21</v>
      </c>
      <c r="C95" t="s">
        <v>20</v>
      </c>
      <c r="D95" t="s">
        <v>13</v>
      </c>
      <c r="E95">
        <v>775.87</v>
      </c>
      <c r="F95">
        <v>578.87</v>
      </c>
      <c r="G95">
        <v>3</v>
      </c>
      <c r="H95">
        <f t="shared" si="6"/>
        <v>2327.61</v>
      </c>
      <c r="I95">
        <f t="shared" si="10"/>
        <v>1736.6100000000001</v>
      </c>
      <c r="J95">
        <f t="shared" si="7"/>
        <v>591</v>
      </c>
      <c r="K95" s="8">
        <f t="shared" si="8"/>
        <v>0.25390851560184052</v>
      </c>
      <c r="L95" t="str">
        <f t="shared" si="11"/>
        <v>2024-11</v>
      </c>
      <c r="M95">
        <f t="shared" si="9"/>
        <v>591</v>
      </c>
    </row>
    <row r="96" spans="1:13" x14ac:dyDescent="0.25">
      <c r="A96" s="1">
        <v>44679</v>
      </c>
      <c r="B96" t="s">
        <v>23</v>
      </c>
      <c r="C96" t="s">
        <v>11</v>
      </c>
      <c r="D96" t="s">
        <v>17</v>
      </c>
      <c r="E96">
        <v>323.16000000000003</v>
      </c>
      <c r="F96">
        <v>219.45</v>
      </c>
      <c r="G96">
        <v>1</v>
      </c>
      <c r="H96">
        <f t="shared" si="6"/>
        <v>323.16000000000003</v>
      </c>
      <c r="I96">
        <f t="shared" si="10"/>
        <v>219.45</v>
      </c>
      <c r="J96">
        <f t="shared" si="7"/>
        <v>103.71000000000004</v>
      </c>
      <c r="K96" s="8">
        <f t="shared" si="8"/>
        <v>0.32092461938358718</v>
      </c>
      <c r="L96" t="str">
        <f t="shared" si="11"/>
        <v>2022-04</v>
      </c>
      <c r="M96">
        <f t="shared" si="9"/>
        <v>103.71000000000004</v>
      </c>
    </row>
    <row r="97" spans="1:13" x14ac:dyDescent="0.25">
      <c r="A97" s="1">
        <v>45520</v>
      </c>
      <c r="B97" t="s">
        <v>7</v>
      </c>
      <c r="C97" t="s">
        <v>8</v>
      </c>
      <c r="D97" t="s">
        <v>13</v>
      </c>
      <c r="E97">
        <v>1072.97</v>
      </c>
      <c r="F97">
        <v>569.95000000000005</v>
      </c>
      <c r="G97">
        <v>9</v>
      </c>
      <c r="H97">
        <f t="shared" si="6"/>
        <v>9656.73</v>
      </c>
      <c r="I97">
        <f t="shared" si="10"/>
        <v>5129.55</v>
      </c>
      <c r="J97">
        <f t="shared" si="7"/>
        <v>4527.1799999999994</v>
      </c>
      <c r="K97" s="8">
        <f t="shared" si="8"/>
        <v>0.46881087076059902</v>
      </c>
      <c r="L97" t="str">
        <f t="shared" si="11"/>
        <v>2024-08</v>
      </c>
      <c r="M97">
        <f t="shared" si="9"/>
        <v>4527.1799999999994</v>
      </c>
    </row>
    <row r="98" spans="1:13" x14ac:dyDescent="0.25">
      <c r="A98" s="1">
        <v>44735</v>
      </c>
      <c r="B98" t="s">
        <v>12</v>
      </c>
      <c r="C98" t="s">
        <v>8</v>
      </c>
      <c r="D98" t="s">
        <v>9</v>
      </c>
      <c r="E98">
        <v>534.59</v>
      </c>
      <c r="F98">
        <v>379.64</v>
      </c>
      <c r="G98">
        <v>3</v>
      </c>
      <c r="H98">
        <f t="shared" si="6"/>
        <v>1603.77</v>
      </c>
      <c r="I98">
        <f t="shared" si="10"/>
        <v>1138.92</v>
      </c>
      <c r="J98">
        <f t="shared" si="7"/>
        <v>464.84999999999991</v>
      </c>
      <c r="K98" s="8">
        <f t="shared" si="8"/>
        <v>0.28984829495501219</v>
      </c>
      <c r="L98" t="str">
        <f t="shared" si="11"/>
        <v>2022-06</v>
      </c>
      <c r="M98">
        <f t="shared" si="9"/>
        <v>464.84999999999991</v>
      </c>
    </row>
    <row r="99" spans="1:13" x14ac:dyDescent="0.25">
      <c r="A99" s="1">
        <v>45298</v>
      </c>
      <c r="B99" t="s">
        <v>24</v>
      </c>
      <c r="C99" t="s">
        <v>20</v>
      </c>
      <c r="D99" t="s">
        <v>13</v>
      </c>
      <c r="E99">
        <v>496.15</v>
      </c>
      <c r="F99">
        <v>298.77</v>
      </c>
      <c r="G99">
        <v>2</v>
      </c>
      <c r="H99">
        <f t="shared" si="6"/>
        <v>992.3</v>
      </c>
      <c r="I99">
        <f t="shared" si="10"/>
        <v>597.54</v>
      </c>
      <c r="J99">
        <f t="shared" si="7"/>
        <v>394.76</v>
      </c>
      <c r="K99" s="8">
        <f t="shared" si="8"/>
        <v>0.39782323893983673</v>
      </c>
      <c r="L99" t="str">
        <f t="shared" si="11"/>
        <v>2024-01</v>
      </c>
      <c r="M99">
        <f t="shared" si="9"/>
        <v>394.76</v>
      </c>
    </row>
    <row r="100" spans="1:13" x14ac:dyDescent="0.25">
      <c r="A100" s="1">
        <v>45380</v>
      </c>
      <c r="B100" t="s">
        <v>14</v>
      </c>
      <c r="C100" t="s">
        <v>15</v>
      </c>
      <c r="D100" t="s">
        <v>18</v>
      </c>
      <c r="E100">
        <v>1938.65</v>
      </c>
      <c r="F100">
        <v>1418.12</v>
      </c>
      <c r="G100">
        <v>9</v>
      </c>
      <c r="H100">
        <f t="shared" si="6"/>
        <v>17447.850000000002</v>
      </c>
      <c r="I100">
        <f t="shared" si="10"/>
        <v>12763.079999999998</v>
      </c>
      <c r="J100">
        <f t="shared" si="7"/>
        <v>4684.7700000000041</v>
      </c>
      <c r="K100" s="8">
        <f t="shared" si="8"/>
        <v>0.26850127666159462</v>
      </c>
      <c r="L100" t="str">
        <f t="shared" si="11"/>
        <v>2024-03</v>
      </c>
      <c r="M100">
        <f t="shared" si="9"/>
        <v>4684.7700000000041</v>
      </c>
    </row>
    <row r="101" spans="1:13" x14ac:dyDescent="0.25">
      <c r="A101" s="1">
        <v>45406</v>
      </c>
      <c r="B101" t="s">
        <v>19</v>
      </c>
      <c r="C101" t="s">
        <v>20</v>
      </c>
      <c r="D101" t="s">
        <v>9</v>
      </c>
      <c r="E101">
        <v>632.66999999999996</v>
      </c>
      <c r="F101">
        <v>348.4</v>
      </c>
      <c r="G101">
        <v>3</v>
      </c>
      <c r="H101">
        <f t="shared" si="6"/>
        <v>1898.0099999999998</v>
      </c>
      <c r="I101">
        <f t="shared" si="10"/>
        <v>1045.1999999999998</v>
      </c>
      <c r="J101">
        <f t="shared" si="7"/>
        <v>852.81</v>
      </c>
      <c r="K101" s="8">
        <f t="shared" si="8"/>
        <v>0.44931796987370987</v>
      </c>
      <c r="L101" t="str">
        <f t="shared" si="11"/>
        <v>2024-04</v>
      </c>
      <c r="M101">
        <f t="shared" si="9"/>
        <v>852.81</v>
      </c>
    </row>
    <row r="102" spans="1:13" x14ac:dyDescent="0.25">
      <c r="A102" s="1">
        <v>45502</v>
      </c>
      <c r="B102" t="s">
        <v>14</v>
      </c>
      <c r="C102" t="s">
        <v>15</v>
      </c>
      <c r="D102" t="s">
        <v>17</v>
      </c>
      <c r="E102">
        <v>185.65</v>
      </c>
      <c r="F102">
        <v>159.1</v>
      </c>
      <c r="G102">
        <v>3</v>
      </c>
      <c r="H102">
        <f t="shared" si="6"/>
        <v>556.95000000000005</v>
      </c>
      <c r="I102">
        <f t="shared" si="10"/>
        <v>477.29999999999995</v>
      </c>
      <c r="J102">
        <f t="shared" si="7"/>
        <v>79.650000000000091</v>
      </c>
      <c r="K102" s="8">
        <f t="shared" si="8"/>
        <v>0.14301104228386766</v>
      </c>
      <c r="L102" t="str">
        <f t="shared" si="11"/>
        <v>2024-07</v>
      </c>
      <c r="M102">
        <f t="shared" si="9"/>
        <v>79.650000000000091</v>
      </c>
    </row>
    <row r="103" spans="1:13" x14ac:dyDescent="0.25">
      <c r="A103" s="1">
        <v>44834</v>
      </c>
      <c r="B103" t="s">
        <v>16</v>
      </c>
      <c r="C103" t="s">
        <v>15</v>
      </c>
      <c r="D103" t="s">
        <v>17</v>
      </c>
      <c r="E103">
        <v>1657.78</v>
      </c>
      <c r="F103">
        <v>1037.3399999999999</v>
      </c>
      <c r="G103">
        <v>6</v>
      </c>
      <c r="H103">
        <f t="shared" si="6"/>
        <v>9946.68</v>
      </c>
      <c r="I103">
        <f t="shared" si="10"/>
        <v>6224.0399999999991</v>
      </c>
      <c r="J103">
        <f t="shared" si="7"/>
        <v>3722.6400000000012</v>
      </c>
      <c r="K103" s="8">
        <f t="shared" si="8"/>
        <v>0.37425955193089566</v>
      </c>
      <c r="L103" t="str">
        <f t="shared" si="11"/>
        <v>2022-09</v>
      </c>
      <c r="M103">
        <f t="shared" si="9"/>
        <v>3722.6400000000012</v>
      </c>
    </row>
    <row r="104" spans="1:13" x14ac:dyDescent="0.25">
      <c r="A104" s="1">
        <v>45629</v>
      </c>
      <c r="B104" t="s">
        <v>25</v>
      </c>
      <c r="C104" t="s">
        <v>15</v>
      </c>
      <c r="D104" t="s">
        <v>18</v>
      </c>
      <c r="E104">
        <v>964.51</v>
      </c>
      <c r="F104">
        <v>778.56</v>
      </c>
      <c r="G104">
        <v>3</v>
      </c>
      <c r="H104">
        <f t="shared" si="6"/>
        <v>2893.5299999999997</v>
      </c>
      <c r="I104">
        <f t="shared" si="10"/>
        <v>2335.6799999999998</v>
      </c>
      <c r="J104">
        <f t="shared" si="7"/>
        <v>557.84999999999991</v>
      </c>
      <c r="K104" s="8">
        <f t="shared" si="8"/>
        <v>0.19279219500057021</v>
      </c>
      <c r="L104" t="str">
        <f t="shared" si="11"/>
        <v>2024-12</v>
      </c>
      <c r="M104">
        <f t="shared" si="9"/>
        <v>557.84999999999991</v>
      </c>
    </row>
    <row r="105" spans="1:13" x14ac:dyDescent="0.25">
      <c r="A105" s="1">
        <v>44860</v>
      </c>
      <c r="B105" t="s">
        <v>16</v>
      </c>
      <c r="C105" t="s">
        <v>15</v>
      </c>
      <c r="D105" t="s">
        <v>13</v>
      </c>
      <c r="E105">
        <v>1223.18</v>
      </c>
      <c r="F105">
        <v>726.29</v>
      </c>
      <c r="G105">
        <v>1</v>
      </c>
      <c r="H105">
        <f t="shared" si="6"/>
        <v>1223.18</v>
      </c>
      <c r="I105">
        <f t="shared" si="10"/>
        <v>726.29</v>
      </c>
      <c r="J105">
        <f t="shared" si="7"/>
        <v>496.8900000000001</v>
      </c>
      <c r="K105" s="8">
        <f t="shared" si="8"/>
        <v>0.40622802858123913</v>
      </c>
      <c r="L105" t="str">
        <f t="shared" si="11"/>
        <v>2022-10</v>
      </c>
      <c r="M105">
        <f t="shared" si="9"/>
        <v>496.8900000000001</v>
      </c>
    </row>
    <row r="106" spans="1:13" x14ac:dyDescent="0.25">
      <c r="A106" s="1">
        <v>44882</v>
      </c>
      <c r="B106" t="s">
        <v>10</v>
      </c>
      <c r="C106" t="s">
        <v>11</v>
      </c>
      <c r="D106" t="s">
        <v>18</v>
      </c>
      <c r="E106">
        <v>613.09</v>
      </c>
      <c r="F106">
        <v>435.53</v>
      </c>
      <c r="G106">
        <v>8</v>
      </c>
      <c r="H106">
        <f t="shared" si="6"/>
        <v>4904.72</v>
      </c>
      <c r="I106">
        <f t="shared" si="10"/>
        <v>3484.24</v>
      </c>
      <c r="J106">
        <f t="shared" si="7"/>
        <v>1420.4800000000005</v>
      </c>
      <c r="K106" s="8">
        <f t="shared" si="8"/>
        <v>0.28961490156420761</v>
      </c>
      <c r="L106" t="str">
        <f t="shared" si="11"/>
        <v>2022-11</v>
      </c>
      <c r="M106">
        <f t="shared" si="9"/>
        <v>1420.4800000000005</v>
      </c>
    </row>
    <row r="107" spans="1:13" x14ac:dyDescent="0.25">
      <c r="A107" s="1">
        <v>45119</v>
      </c>
      <c r="B107" t="s">
        <v>7</v>
      </c>
      <c r="C107" t="s">
        <v>8</v>
      </c>
      <c r="D107" t="s">
        <v>13</v>
      </c>
      <c r="E107">
        <v>721.45</v>
      </c>
      <c r="F107">
        <v>638.66</v>
      </c>
      <c r="G107">
        <v>1</v>
      </c>
      <c r="H107">
        <f t="shared" si="6"/>
        <v>721.45</v>
      </c>
      <c r="I107">
        <f t="shared" si="10"/>
        <v>638.66</v>
      </c>
      <c r="J107">
        <f t="shared" si="7"/>
        <v>82.790000000000077</v>
      </c>
      <c r="K107" s="8">
        <f t="shared" si="8"/>
        <v>0.11475500727701167</v>
      </c>
      <c r="L107" t="str">
        <f t="shared" si="11"/>
        <v>2023-07</v>
      </c>
      <c r="M107">
        <f t="shared" si="9"/>
        <v>82.790000000000077</v>
      </c>
    </row>
    <row r="108" spans="1:13" x14ac:dyDescent="0.25">
      <c r="A108" s="1">
        <v>45120</v>
      </c>
      <c r="B108" t="s">
        <v>22</v>
      </c>
      <c r="C108" t="s">
        <v>8</v>
      </c>
      <c r="D108" t="s">
        <v>13</v>
      </c>
      <c r="E108">
        <v>1291.78</v>
      </c>
      <c r="F108">
        <v>1015.9</v>
      </c>
      <c r="G108">
        <v>7</v>
      </c>
      <c r="H108">
        <f t="shared" si="6"/>
        <v>9042.4599999999991</v>
      </c>
      <c r="I108">
        <f t="shared" si="10"/>
        <v>7111.3</v>
      </c>
      <c r="J108">
        <f t="shared" si="7"/>
        <v>1931.1599999999989</v>
      </c>
      <c r="K108" s="8">
        <f t="shared" si="8"/>
        <v>0.2135657774543652</v>
      </c>
      <c r="L108" t="str">
        <f t="shared" si="11"/>
        <v>2023-07</v>
      </c>
      <c r="M108">
        <f t="shared" si="9"/>
        <v>1931.1599999999989</v>
      </c>
    </row>
    <row r="109" spans="1:13" x14ac:dyDescent="0.25">
      <c r="A109" s="1">
        <v>45562</v>
      </c>
      <c r="B109" t="s">
        <v>12</v>
      </c>
      <c r="C109" t="s">
        <v>8</v>
      </c>
      <c r="D109" t="s">
        <v>18</v>
      </c>
      <c r="E109">
        <v>873.75</v>
      </c>
      <c r="F109">
        <v>766.37</v>
      </c>
      <c r="G109">
        <v>5</v>
      </c>
      <c r="H109">
        <f t="shared" si="6"/>
        <v>4368.75</v>
      </c>
      <c r="I109">
        <f t="shared" si="10"/>
        <v>3831.85</v>
      </c>
      <c r="J109">
        <f t="shared" si="7"/>
        <v>536.90000000000009</v>
      </c>
      <c r="K109" s="8">
        <f t="shared" si="8"/>
        <v>0.12289556509299</v>
      </c>
      <c r="L109" t="str">
        <f t="shared" si="11"/>
        <v>2024-09</v>
      </c>
      <c r="M109">
        <f t="shared" si="9"/>
        <v>536.90000000000009</v>
      </c>
    </row>
    <row r="110" spans="1:13" x14ac:dyDescent="0.25">
      <c r="A110" s="1">
        <v>44736</v>
      </c>
      <c r="B110" t="s">
        <v>25</v>
      </c>
      <c r="C110" t="s">
        <v>15</v>
      </c>
      <c r="D110" t="s">
        <v>18</v>
      </c>
      <c r="E110">
        <v>989.82</v>
      </c>
      <c r="F110">
        <v>710.34</v>
      </c>
      <c r="G110">
        <v>3</v>
      </c>
      <c r="H110">
        <f t="shared" si="6"/>
        <v>2969.46</v>
      </c>
      <c r="I110">
        <f t="shared" si="10"/>
        <v>2131.02</v>
      </c>
      <c r="J110">
        <f t="shared" si="7"/>
        <v>838.44</v>
      </c>
      <c r="K110" s="8">
        <f t="shared" si="8"/>
        <v>0.28235436746075043</v>
      </c>
      <c r="L110" t="str">
        <f t="shared" si="11"/>
        <v>2022-06</v>
      </c>
      <c r="M110">
        <f t="shared" si="9"/>
        <v>838.44</v>
      </c>
    </row>
    <row r="111" spans="1:13" x14ac:dyDescent="0.25">
      <c r="A111" s="1">
        <v>45071</v>
      </c>
      <c r="B111" t="s">
        <v>25</v>
      </c>
      <c r="C111" t="s">
        <v>15</v>
      </c>
      <c r="D111" t="s">
        <v>18</v>
      </c>
      <c r="E111">
        <v>576.76</v>
      </c>
      <c r="F111">
        <v>428.9</v>
      </c>
      <c r="G111">
        <v>1</v>
      </c>
      <c r="H111">
        <f t="shared" si="6"/>
        <v>576.76</v>
      </c>
      <c r="I111">
        <f t="shared" si="10"/>
        <v>428.9</v>
      </c>
      <c r="J111">
        <f t="shared" si="7"/>
        <v>147.86000000000001</v>
      </c>
      <c r="K111" s="8">
        <f t="shared" si="8"/>
        <v>0.2563631319786393</v>
      </c>
      <c r="L111" t="str">
        <f t="shared" si="11"/>
        <v>2023-05</v>
      </c>
      <c r="M111">
        <f t="shared" si="9"/>
        <v>147.86000000000001</v>
      </c>
    </row>
    <row r="112" spans="1:13" x14ac:dyDescent="0.25">
      <c r="A112" s="1">
        <v>45062</v>
      </c>
      <c r="B112" t="s">
        <v>14</v>
      </c>
      <c r="C112" t="s">
        <v>15</v>
      </c>
      <c r="D112" t="s">
        <v>9</v>
      </c>
      <c r="E112">
        <v>237.57</v>
      </c>
      <c r="F112">
        <v>159.15</v>
      </c>
      <c r="G112">
        <v>5</v>
      </c>
      <c r="H112">
        <f t="shared" si="6"/>
        <v>1187.8499999999999</v>
      </c>
      <c r="I112">
        <f t="shared" si="10"/>
        <v>795.75</v>
      </c>
      <c r="J112">
        <f t="shared" si="7"/>
        <v>392.09999999999991</v>
      </c>
      <c r="K112" s="8">
        <f t="shared" si="8"/>
        <v>0.33009218335648438</v>
      </c>
      <c r="L112" t="str">
        <f t="shared" si="11"/>
        <v>2023-05</v>
      </c>
      <c r="M112">
        <f t="shared" si="9"/>
        <v>392.09999999999991</v>
      </c>
    </row>
    <row r="113" spans="1:13" x14ac:dyDescent="0.25">
      <c r="A113" s="1">
        <v>45590</v>
      </c>
      <c r="B113" t="s">
        <v>10</v>
      </c>
      <c r="C113" t="s">
        <v>11</v>
      </c>
      <c r="D113" t="s">
        <v>9</v>
      </c>
      <c r="E113">
        <v>1494.32</v>
      </c>
      <c r="F113">
        <v>1295.55</v>
      </c>
      <c r="G113">
        <v>9</v>
      </c>
      <c r="H113">
        <f t="shared" si="6"/>
        <v>13448.88</v>
      </c>
      <c r="I113">
        <f t="shared" si="10"/>
        <v>11659.949999999999</v>
      </c>
      <c r="J113">
        <f t="shared" si="7"/>
        <v>1788.9300000000003</v>
      </c>
      <c r="K113" s="8">
        <f t="shared" si="8"/>
        <v>0.13301702446597788</v>
      </c>
      <c r="L113" t="str">
        <f t="shared" si="11"/>
        <v>2024-10</v>
      </c>
      <c r="M113">
        <f t="shared" si="9"/>
        <v>1788.9300000000003</v>
      </c>
    </row>
    <row r="114" spans="1:13" x14ac:dyDescent="0.25">
      <c r="A114" s="1">
        <v>45594</v>
      </c>
      <c r="B114" t="s">
        <v>14</v>
      </c>
      <c r="C114" t="s">
        <v>15</v>
      </c>
      <c r="D114" t="s">
        <v>13</v>
      </c>
      <c r="E114">
        <v>1280.47</v>
      </c>
      <c r="F114">
        <v>723.05</v>
      </c>
      <c r="G114">
        <v>8</v>
      </c>
      <c r="H114">
        <f t="shared" si="6"/>
        <v>10243.76</v>
      </c>
      <c r="I114">
        <f t="shared" si="10"/>
        <v>5784.4</v>
      </c>
      <c r="J114">
        <f t="shared" si="7"/>
        <v>4459.3600000000006</v>
      </c>
      <c r="K114" s="8">
        <f t="shared" si="8"/>
        <v>0.43532452927440712</v>
      </c>
      <c r="L114" t="str">
        <f t="shared" si="11"/>
        <v>2024-10</v>
      </c>
      <c r="M114">
        <f t="shared" si="9"/>
        <v>4459.3600000000006</v>
      </c>
    </row>
    <row r="115" spans="1:13" x14ac:dyDescent="0.25">
      <c r="A115" s="1">
        <v>44903</v>
      </c>
      <c r="B115" t="s">
        <v>25</v>
      </c>
      <c r="C115" t="s">
        <v>15</v>
      </c>
      <c r="D115" t="s">
        <v>9</v>
      </c>
      <c r="E115">
        <v>876.12</v>
      </c>
      <c r="F115">
        <v>462.95</v>
      </c>
      <c r="G115">
        <v>1</v>
      </c>
      <c r="H115">
        <f t="shared" si="6"/>
        <v>876.12</v>
      </c>
      <c r="I115">
        <f t="shared" si="10"/>
        <v>462.95</v>
      </c>
      <c r="J115">
        <f t="shared" si="7"/>
        <v>413.17</v>
      </c>
      <c r="K115" s="8">
        <f t="shared" si="8"/>
        <v>0.47159064968269188</v>
      </c>
      <c r="L115" t="str">
        <f t="shared" si="11"/>
        <v>2022-12</v>
      </c>
      <c r="M115">
        <f t="shared" si="9"/>
        <v>413.17</v>
      </c>
    </row>
    <row r="116" spans="1:13" x14ac:dyDescent="0.25">
      <c r="A116" s="1">
        <v>45259</v>
      </c>
      <c r="B116" t="s">
        <v>14</v>
      </c>
      <c r="C116" t="s">
        <v>15</v>
      </c>
      <c r="D116" t="s">
        <v>17</v>
      </c>
      <c r="E116">
        <v>90.27</v>
      </c>
      <c r="F116">
        <v>79.209999999999994</v>
      </c>
      <c r="G116">
        <v>7</v>
      </c>
      <c r="H116">
        <f t="shared" si="6"/>
        <v>631.89</v>
      </c>
      <c r="I116">
        <f t="shared" si="10"/>
        <v>554.46999999999991</v>
      </c>
      <c r="J116">
        <f t="shared" si="7"/>
        <v>77.420000000000073</v>
      </c>
      <c r="K116" s="8">
        <f t="shared" si="8"/>
        <v>0.12252132491414656</v>
      </c>
      <c r="L116" t="str">
        <f t="shared" si="11"/>
        <v>2023-11</v>
      </c>
      <c r="M116">
        <f t="shared" si="9"/>
        <v>77.420000000000073</v>
      </c>
    </row>
    <row r="117" spans="1:13" x14ac:dyDescent="0.25">
      <c r="A117" s="1">
        <v>45384</v>
      </c>
      <c r="B117" t="s">
        <v>19</v>
      </c>
      <c r="C117" t="s">
        <v>20</v>
      </c>
      <c r="D117" t="s">
        <v>17</v>
      </c>
      <c r="E117">
        <v>952.95</v>
      </c>
      <c r="F117">
        <v>794.02</v>
      </c>
      <c r="G117">
        <v>10</v>
      </c>
      <c r="H117">
        <f t="shared" si="6"/>
        <v>9529.5</v>
      </c>
      <c r="I117">
        <f t="shared" si="10"/>
        <v>7940.2</v>
      </c>
      <c r="J117">
        <f t="shared" si="7"/>
        <v>1589.3000000000002</v>
      </c>
      <c r="K117" s="8">
        <f t="shared" si="8"/>
        <v>0.16677685083162813</v>
      </c>
      <c r="L117" t="str">
        <f t="shared" si="11"/>
        <v>2024-04</v>
      </c>
      <c r="M117">
        <f t="shared" si="9"/>
        <v>1589.3000000000002</v>
      </c>
    </row>
    <row r="118" spans="1:13" x14ac:dyDescent="0.25">
      <c r="A118" s="1">
        <v>44871</v>
      </c>
      <c r="B118" t="s">
        <v>21</v>
      </c>
      <c r="C118" t="s">
        <v>20</v>
      </c>
      <c r="D118" t="s">
        <v>17</v>
      </c>
      <c r="E118">
        <v>1024.25</v>
      </c>
      <c r="F118">
        <v>828.09</v>
      </c>
      <c r="G118">
        <v>7</v>
      </c>
      <c r="H118">
        <f t="shared" si="6"/>
        <v>7169.75</v>
      </c>
      <c r="I118">
        <f t="shared" si="10"/>
        <v>5796.63</v>
      </c>
      <c r="J118">
        <f t="shared" si="7"/>
        <v>1373.12</v>
      </c>
      <c r="K118" s="8">
        <f t="shared" si="8"/>
        <v>0.19151574322675127</v>
      </c>
      <c r="L118" t="str">
        <f t="shared" si="11"/>
        <v>2022-11</v>
      </c>
      <c r="M118">
        <f t="shared" si="9"/>
        <v>1373.12</v>
      </c>
    </row>
    <row r="119" spans="1:13" x14ac:dyDescent="0.25">
      <c r="A119" s="1">
        <v>44593</v>
      </c>
      <c r="B119" t="s">
        <v>24</v>
      </c>
      <c r="C119" t="s">
        <v>20</v>
      </c>
      <c r="D119" t="s">
        <v>9</v>
      </c>
      <c r="E119">
        <v>1187.4100000000001</v>
      </c>
      <c r="F119">
        <v>1004.63</v>
      </c>
      <c r="G119">
        <v>3</v>
      </c>
      <c r="H119">
        <f t="shared" si="6"/>
        <v>3562.2300000000005</v>
      </c>
      <c r="I119">
        <f t="shared" si="10"/>
        <v>3013.89</v>
      </c>
      <c r="J119">
        <f t="shared" si="7"/>
        <v>548.3400000000006</v>
      </c>
      <c r="K119" s="8">
        <f t="shared" si="8"/>
        <v>0.15393166639997993</v>
      </c>
      <c r="L119" t="str">
        <f t="shared" si="11"/>
        <v>2022-02</v>
      </c>
      <c r="M119">
        <f t="shared" si="9"/>
        <v>548.3400000000006</v>
      </c>
    </row>
    <row r="120" spans="1:13" x14ac:dyDescent="0.25">
      <c r="A120" s="1">
        <v>44881</v>
      </c>
      <c r="B120" t="s">
        <v>7</v>
      </c>
      <c r="C120" t="s">
        <v>8</v>
      </c>
      <c r="D120" t="s">
        <v>13</v>
      </c>
      <c r="E120">
        <v>1681.93</v>
      </c>
      <c r="F120">
        <v>865.67</v>
      </c>
      <c r="G120">
        <v>2</v>
      </c>
      <c r="H120">
        <f t="shared" si="6"/>
        <v>3363.86</v>
      </c>
      <c r="I120">
        <f t="shared" si="10"/>
        <v>1731.34</v>
      </c>
      <c r="J120">
        <f t="shared" si="7"/>
        <v>1632.5200000000002</v>
      </c>
      <c r="K120" s="8">
        <f t="shared" si="8"/>
        <v>0.48531151712615866</v>
      </c>
      <c r="L120" t="str">
        <f t="shared" si="11"/>
        <v>2022-11</v>
      </c>
      <c r="M120">
        <f t="shared" si="9"/>
        <v>1632.5200000000002</v>
      </c>
    </row>
    <row r="121" spans="1:13" x14ac:dyDescent="0.25">
      <c r="A121" s="1">
        <v>44637</v>
      </c>
      <c r="B121" t="s">
        <v>25</v>
      </c>
      <c r="C121" t="s">
        <v>15</v>
      </c>
      <c r="D121" t="s">
        <v>17</v>
      </c>
      <c r="E121">
        <v>93.35</v>
      </c>
      <c r="F121">
        <v>65.540000000000006</v>
      </c>
      <c r="G121">
        <v>5</v>
      </c>
      <c r="H121">
        <f t="shared" si="6"/>
        <v>466.75</v>
      </c>
      <c r="I121">
        <f t="shared" si="10"/>
        <v>327.70000000000005</v>
      </c>
      <c r="J121">
        <f t="shared" si="7"/>
        <v>139.04999999999995</v>
      </c>
      <c r="K121" s="8">
        <f t="shared" si="8"/>
        <v>0.29791108730583815</v>
      </c>
      <c r="L121" t="str">
        <f t="shared" si="11"/>
        <v>2022-03</v>
      </c>
      <c r="M121">
        <f t="shared" si="9"/>
        <v>139.04999999999995</v>
      </c>
    </row>
    <row r="122" spans="1:13" x14ac:dyDescent="0.25">
      <c r="A122" s="1">
        <v>45008</v>
      </c>
      <c r="B122" t="s">
        <v>7</v>
      </c>
      <c r="C122" t="s">
        <v>8</v>
      </c>
      <c r="D122" t="s">
        <v>9</v>
      </c>
      <c r="E122">
        <v>835.94</v>
      </c>
      <c r="F122">
        <v>485</v>
      </c>
      <c r="G122">
        <v>4</v>
      </c>
      <c r="H122">
        <f t="shared" si="6"/>
        <v>3343.76</v>
      </c>
      <c r="I122">
        <f t="shared" si="10"/>
        <v>1940</v>
      </c>
      <c r="J122">
        <f t="shared" si="7"/>
        <v>1403.7600000000002</v>
      </c>
      <c r="K122" s="8">
        <f t="shared" si="8"/>
        <v>0.41981481924540043</v>
      </c>
      <c r="L122" t="str">
        <f t="shared" si="11"/>
        <v>2023-03</v>
      </c>
      <c r="M122">
        <f t="shared" si="9"/>
        <v>1403.7600000000002</v>
      </c>
    </row>
    <row r="123" spans="1:13" x14ac:dyDescent="0.25">
      <c r="A123" s="1">
        <v>45509</v>
      </c>
      <c r="B123" t="s">
        <v>7</v>
      </c>
      <c r="C123" t="s">
        <v>8</v>
      </c>
      <c r="D123" t="s">
        <v>9</v>
      </c>
      <c r="E123">
        <v>704.67</v>
      </c>
      <c r="F123">
        <v>564.33000000000004</v>
      </c>
      <c r="G123">
        <v>5</v>
      </c>
      <c r="H123">
        <f t="shared" si="6"/>
        <v>3523.35</v>
      </c>
      <c r="I123">
        <f t="shared" si="10"/>
        <v>2821.65</v>
      </c>
      <c r="J123">
        <f t="shared" si="7"/>
        <v>701.69999999999982</v>
      </c>
      <c r="K123" s="8">
        <f t="shared" si="8"/>
        <v>0.19915705223721739</v>
      </c>
      <c r="L123" t="str">
        <f t="shared" si="11"/>
        <v>2024-08</v>
      </c>
      <c r="M123">
        <f t="shared" si="9"/>
        <v>701.69999999999982</v>
      </c>
    </row>
    <row r="124" spans="1:13" x14ac:dyDescent="0.25">
      <c r="A124" s="1">
        <v>44855</v>
      </c>
      <c r="B124" t="s">
        <v>23</v>
      </c>
      <c r="C124" t="s">
        <v>11</v>
      </c>
      <c r="D124" t="s">
        <v>13</v>
      </c>
      <c r="E124">
        <v>743.01</v>
      </c>
      <c r="F124">
        <v>552.95000000000005</v>
      </c>
      <c r="G124">
        <v>6</v>
      </c>
      <c r="H124">
        <f t="shared" si="6"/>
        <v>4458.0599999999995</v>
      </c>
      <c r="I124">
        <f t="shared" si="10"/>
        <v>3317.7000000000003</v>
      </c>
      <c r="J124">
        <f t="shared" si="7"/>
        <v>1140.3599999999992</v>
      </c>
      <c r="K124" s="8">
        <f t="shared" si="8"/>
        <v>0.25579736477301773</v>
      </c>
      <c r="L124" t="str">
        <f t="shared" si="11"/>
        <v>2022-10</v>
      </c>
      <c r="M124">
        <f t="shared" si="9"/>
        <v>1140.3599999999992</v>
      </c>
    </row>
    <row r="125" spans="1:13" x14ac:dyDescent="0.25">
      <c r="A125" s="1">
        <v>45101</v>
      </c>
      <c r="B125" t="s">
        <v>14</v>
      </c>
      <c r="C125" t="s">
        <v>15</v>
      </c>
      <c r="D125" t="s">
        <v>13</v>
      </c>
      <c r="E125">
        <v>1627.89</v>
      </c>
      <c r="F125">
        <v>1082.3699999999999</v>
      </c>
      <c r="G125">
        <v>10</v>
      </c>
      <c r="H125">
        <f t="shared" si="6"/>
        <v>16278.900000000001</v>
      </c>
      <c r="I125">
        <f t="shared" si="10"/>
        <v>10823.699999999999</v>
      </c>
      <c r="J125">
        <f t="shared" si="7"/>
        <v>5455.2000000000025</v>
      </c>
      <c r="K125" s="8">
        <f t="shared" si="8"/>
        <v>0.33510863756150611</v>
      </c>
      <c r="L125" t="str">
        <f t="shared" si="11"/>
        <v>2023-06</v>
      </c>
      <c r="M125">
        <f t="shared" si="9"/>
        <v>5455.2000000000025</v>
      </c>
    </row>
    <row r="126" spans="1:13" x14ac:dyDescent="0.25">
      <c r="A126" s="1">
        <v>45385</v>
      </c>
      <c r="B126" t="s">
        <v>19</v>
      </c>
      <c r="C126" t="s">
        <v>20</v>
      </c>
      <c r="D126" t="s">
        <v>13</v>
      </c>
      <c r="E126">
        <v>1977.65</v>
      </c>
      <c r="F126">
        <v>1668.37</v>
      </c>
      <c r="G126">
        <v>3</v>
      </c>
      <c r="H126">
        <f t="shared" si="6"/>
        <v>5932.9500000000007</v>
      </c>
      <c r="I126">
        <f t="shared" si="10"/>
        <v>5005.1099999999997</v>
      </c>
      <c r="J126">
        <f t="shared" si="7"/>
        <v>927.84000000000106</v>
      </c>
      <c r="K126" s="8">
        <f t="shared" si="8"/>
        <v>0.15638763178519977</v>
      </c>
      <c r="L126" t="str">
        <f t="shared" si="11"/>
        <v>2024-04</v>
      </c>
      <c r="M126">
        <f t="shared" si="9"/>
        <v>927.84000000000106</v>
      </c>
    </row>
    <row r="127" spans="1:13" x14ac:dyDescent="0.25">
      <c r="A127" s="1">
        <v>45432</v>
      </c>
      <c r="B127" t="s">
        <v>19</v>
      </c>
      <c r="C127" t="s">
        <v>20</v>
      </c>
      <c r="D127" t="s">
        <v>17</v>
      </c>
      <c r="E127">
        <v>627.55999999999995</v>
      </c>
      <c r="F127">
        <v>432.46</v>
      </c>
      <c r="G127">
        <v>6</v>
      </c>
      <c r="H127">
        <f t="shared" si="6"/>
        <v>3765.3599999999997</v>
      </c>
      <c r="I127">
        <f t="shared" si="10"/>
        <v>2594.7599999999998</v>
      </c>
      <c r="J127">
        <f t="shared" si="7"/>
        <v>1170.5999999999999</v>
      </c>
      <c r="K127" s="8">
        <f t="shared" si="8"/>
        <v>0.31088660845178151</v>
      </c>
      <c r="L127" t="str">
        <f t="shared" si="11"/>
        <v>2024-05</v>
      </c>
      <c r="M127">
        <f t="shared" si="9"/>
        <v>1170.5999999999999</v>
      </c>
    </row>
    <row r="128" spans="1:13" x14ac:dyDescent="0.25">
      <c r="A128" s="1">
        <v>45143</v>
      </c>
      <c r="B128" t="s">
        <v>23</v>
      </c>
      <c r="C128" t="s">
        <v>11</v>
      </c>
      <c r="D128" t="s">
        <v>17</v>
      </c>
      <c r="E128">
        <v>1633.27</v>
      </c>
      <c r="F128">
        <v>834.25</v>
      </c>
      <c r="G128">
        <v>6</v>
      </c>
      <c r="H128">
        <f t="shared" si="6"/>
        <v>9799.619999999999</v>
      </c>
      <c r="I128">
        <f t="shared" si="10"/>
        <v>5005.5</v>
      </c>
      <c r="J128">
        <f t="shared" si="7"/>
        <v>4794.119999999999</v>
      </c>
      <c r="K128" s="8">
        <f t="shared" si="8"/>
        <v>0.48921488792422557</v>
      </c>
      <c r="L128" t="str">
        <f t="shared" si="11"/>
        <v>2023-08</v>
      </c>
      <c r="M128">
        <f t="shared" si="9"/>
        <v>4794.119999999999</v>
      </c>
    </row>
    <row r="129" spans="1:13" x14ac:dyDescent="0.25">
      <c r="A129" s="1">
        <v>45554</v>
      </c>
      <c r="B129" t="s">
        <v>10</v>
      </c>
      <c r="C129" t="s">
        <v>11</v>
      </c>
      <c r="D129" t="s">
        <v>9</v>
      </c>
      <c r="E129">
        <v>1016.26</v>
      </c>
      <c r="F129">
        <v>518.9</v>
      </c>
      <c r="G129">
        <v>4</v>
      </c>
      <c r="H129">
        <f t="shared" si="6"/>
        <v>4065.04</v>
      </c>
      <c r="I129">
        <f t="shared" si="10"/>
        <v>2075.6</v>
      </c>
      <c r="J129">
        <f t="shared" si="7"/>
        <v>1989.44</v>
      </c>
      <c r="K129" s="8">
        <f t="shared" si="8"/>
        <v>0.48940231830437092</v>
      </c>
      <c r="L129" t="str">
        <f t="shared" si="11"/>
        <v>2024-09</v>
      </c>
      <c r="M129">
        <f t="shared" si="9"/>
        <v>1989.44</v>
      </c>
    </row>
    <row r="130" spans="1:13" x14ac:dyDescent="0.25">
      <c r="A130" s="1">
        <v>45517</v>
      </c>
      <c r="B130" t="s">
        <v>14</v>
      </c>
      <c r="C130" t="s">
        <v>15</v>
      </c>
      <c r="D130" t="s">
        <v>17</v>
      </c>
      <c r="E130">
        <v>718.74</v>
      </c>
      <c r="F130">
        <v>625.47</v>
      </c>
      <c r="G130">
        <v>2</v>
      </c>
      <c r="H130">
        <f t="shared" si="6"/>
        <v>1437.48</v>
      </c>
      <c r="I130">
        <f t="shared" si="10"/>
        <v>1250.94</v>
      </c>
      <c r="J130">
        <f t="shared" si="7"/>
        <v>186.53999999999996</v>
      </c>
      <c r="K130" s="8">
        <f t="shared" si="8"/>
        <v>0.12976876200016693</v>
      </c>
      <c r="L130" t="str">
        <f t="shared" si="11"/>
        <v>2024-08</v>
      </c>
      <c r="M130">
        <f t="shared" si="9"/>
        <v>186.53999999999996</v>
      </c>
    </row>
    <row r="131" spans="1:13" x14ac:dyDescent="0.25">
      <c r="A131" s="1">
        <v>45572</v>
      </c>
      <c r="B131" t="s">
        <v>23</v>
      </c>
      <c r="C131" t="s">
        <v>11</v>
      </c>
      <c r="D131" t="s">
        <v>9</v>
      </c>
      <c r="E131">
        <v>38.93</v>
      </c>
      <c r="F131">
        <v>30.21</v>
      </c>
      <c r="G131">
        <v>8</v>
      </c>
      <c r="H131">
        <f t="shared" ref="H131:H194" si="12">E131*G131</f>
        <v>311.44</v>
      </c>
      <c r="I131">
        <f t="shared" si="10"/>
        <v>241.68</v>
      </c>
      <c r="J131">
        <f t="shared" ref="J131:J194" si="13">H131-I131</f>
        <v>69.759999999999991</v>
      </c>
      <c r="K131" s="8">
        <f t="shared" ref="K131:K194" si="14">(H131-I131)/H131</f>
        <v>0.22399178011816076</v>
      </c>
      <c r="L131" t="str">
        <f t="shared" si="11"/>
        <v>2024-10</v>
      </c>
      <c r="M131">
        <f t="shared" ref="M131:M194" si="15">H131-I131</f>
        <v>69.759999999999991</v>
      </c>
    </row>
    <row r="132" spans="1:13" x14ac:dyDescent="0.25">
      <c r="A132" s="1">
        <v>44642</v>
      </c>
      <c r="B132" t="s">
        <v>22</v>
      </c>
      <c r="C132" t="s">
        <v>8</v>
      </c>
      <c r="D132" t="s">
        <v>17</v>
      </c>
      <c r="E132">
        <v>1997.13</v>
      </c>
      <c r="F132">
        <v>1265.8399999999999</v>
      </c>
      <c r="G132">
        <v>9</v>
      </c>
      <c r="H132">
        <f t="shared" si="12"/>
        <v>17974.170000000002</v>
      </c>
      <c r="I132">
        <f t="shared" ref="I132:I195" si="16">F132*G132</f>
        <v>11392.56</v>
      </c>
      <c r="J132">
        <f t="shared" si="13"/>
        <v>6581.6100000000024</v>
      </c>
      <c r="K132" s="8">
        <f t="shared" si="14"/>
        <v>0.36617045460235448</v>
      </c>
      <c r="L132" t="str">
        <f t="shared" ref="L132:L195" si="17">TEXT(A132,"rrrr-mm")</f>
        <v>2022-03</v>
      </c>
      <c r="M132">
        <f t="shared" si="15"/>
        <v>6581.6100000000024</v>
      </c>
    </row>
    <row r="133" spans="1:13" x14ac:dyDescent="0.25">
      <c r="A133" s="1">
        <v>44720</v>
      </c>
      <c r="B133" t="s">
        <v>21</v>
      </c>
      <c r="C133" t="s">
        <v>20</v>
      </c>
      <c r="D133" t="s">
        <v>17</v>
      </c>
      <c r="E133">
        <v>242.46</v>
      </c>
      <c r="F133">
        <v>125.35</v>
      </c>
      <c r="G133">
        <v>9</v>
      </c>
      <c r="H133">
        <f t="shared" si="12"/>
        <v>2182.14</v>
      </c>
      <c r="I133">
        <f t="shared" si="16"/>
        <v>1128.1499999999999</v>
      </c>
      <c r="J133">
        <f t="shared" si="13"/>
        <v>1053.99</v>
      </c>
      <c r="K133" s="8">
        <f t="shared" si="14"/>
        <v>0.4830075063928071</v>
      </c>
      <c r="L133" t="str">
        <f t="shared" si="17"/>
        <v>2022-06</v>
      </c>
      <c r="M133">
        <f t="shared" si="15"/>
        <v>1053.99</v>
      </c>
    </row>
    <row r="134" spans="1:13" x14ac:dyDescent="0.25">
      <c r="A134" s="1">
        <v>44721</v>
      </c>
      <c r="B134" t="s">
        <v>7</v>
      </c>
      <c r="C134" t="s">
        <v>8</v>
      </c>
      <c r="D134" t="s">
        <v>9</v>
      </c>
      <c r="E134">
        <v>1637.06</v>
      </c>
      <c r="F134">
        <v>1168.48</v>
      </c>
      <c r="G134">
        <v>1</v>
      </c>
      <c r="H134">
        <f t="shared" si="12"/>
        <v>1637.06</v>
      </c>
      <c r="I134">
        <f t="shared" si="16"/>
        <v>1168.48</v>
      </c>
      <c r="J134">
        <f t="shared" si="13"/>
        <v>468.57999999999993</v>
      </c>
      <c r="K134" s="8">
        <f t="shared" si="14"/>
        <v>0.2862326365557768</v>
      </c>
      <c r="L134" t="str">
        <f t="shared" si="17"/>
        <v>2022-06</v>
      </c>
      <c r="M134">
        <f t="shared" si="15"/>
        <v>468.57999999999993</v>
      </c>
    </row>
    <row r="135" spans="1:13" x14ac:dyDescent="0.25">
      <c r="A135" s="1">
        <v>45162</v>
      </c>
      <c r="B135" t="s">
        <v>7</v>
      </c>
      <c r="C135" t="s">
        <v>8</v>
      </c>
      <c r="D135" t="s">
        <v>17</v>
      </c>
      <c r="E135">
        <v>1326.54</v>
      </c>
      <c r="F135">
        <v>852.28</v>
      </c>
      <c r="G135">
        <v>4</v>
      </c>
      <c r="H135">
        <f t="shared" si="12"/>
        <v>5306.16</v>
      </c>
      <c r="I135">
        <f t="shared" si="16"/>
        <v>3409.12</v>
      </c>
      <c r="J135">
        <f t="shared" si="13"/>
        <v>1897.04</v>
      </c>
      <c r="K135" s="8">
        <f t="shared" si="14"/>
        <v>0.35751654680597644</v>
      </c>
      <c r="L135" t="str">
        <f t="shared" si="17"/>
        <v>2023-08</v>
      </c>
      <c r="M135">
        <f t="shared" si="15"/>
        <v>1897.04</v>
      </c>
    </row>
    <row r="136" spans="1:13" x14ac:dyDescent="0.25">
      <c r="A136" s="1">
        <v>44988</v>
      </c>
      <c r="B136" t="s">
        <v>23</v>
      </c>
      <c r="C136" t="s">
        <v>11</v>
      </c>
      <c r="D136" t="s">
        <v>18</v>
      </c>
      <c r="E136">
        <v>20.16</v>
      </c>
      <c r="F136">
        <v>15.14</v>
      </c>
      <c r="G136">
        <v>2</v>
      </c>
      <c r="H136">
        <f t="shared" si="12"/>
        <v>40.32</v>
      </c>
      <c r="I136">
        <f t="shared" si="16"/>
        <v>30.28</v>
      </c>
      <c r="J136">
        <f t="shared" si="13"/>
        <v>10.039999999999999</v>
      </c>
      <c r="K136" s="8">
        <f t="shared" si="14"/>
        <v>0.24900793650793648</v>
      </c>
      <c r="L136" t="str">
        <f t="shared" si="17"/>
        <v>2023-03</v>
      </c>
      <c r="M136">
        <f t="shared" si="15"/>
        <v>10.039999999999999</v>
      </c>
    </row>
    <row r="137" spans="1:13" x14ac:dyDescent="0.25">
      <c r="A137" s="1">
        <v>45170</v>
      </c>
      <c r="B137" t="s">
        <v>7</v>
      </c>
      <c r="C137" t="s">
        <v>8</v>
      </c>
      <c r="D137" t="s">
        <v>13</v>
      </c>
      <c r="E137">
        <v>468.99</v>
      </c>
      <c r="F137">
        <v>353.84</v>
      </c>
      <c r="G137">
        <v>5</v>
      </c>
      <c r="H137">
        <f t="shared" si="12"/>
        <v>2344.9499999999998</v>
      </c>
      <c r="I137">
        <f t="shared" si="16"/>
        <v>1769.1999999999998</v>
      </c>
      <c r="J137">
        <f t="shared" si="13"/>
        <v>575.75</v>
      </c>
      <c r="K137" s="8">
        <f t="shared" si="14"/>
        <v>0.24552762319025995</v>
      </c>
      <c r="L137" t="str">
        <f t="shared" si="17"/>
        <v>2023-09</v>
      </c>
      <c r="M137">
        <f t="shared" si="15"/>
        <v>575.75</v>
      </c>
    </row>
    <row r="138" spans="1:13" x14ac:dyDescent="0.25">
      <c r="A138" s="1">
        <v>45428</v>
      </c>
      <c r="B138" t="s">
        <v>19</v>
      </c>
      <c r="C138" t="s">
        <v>20</v>
      </c>
      <c r="D138" t="s">
        <v>18</v>
      </c>
      <c r="E138">
        <v>1488.48</v>
      </c>
      <c r="F138">
        <v>1049.08</v>
      </c>
      <c r="G138">
        <v>6</v>
      </c>
      <c r="H138">
        <f t="shared" si="12"/>
        <v>8930.880000000001</v>
      </c>
      <c r="I138">
        <f t="shared" si="16"/>
        <v>6294.48</v>
      </c>
      <c r="J138">
        <f t="shared" si="13"/>
        <v>2636.4000000000015</v>
      </c>
      <c r="K138" s="8">
        <f t="shared" si="14"/>
        <v>0.29520047296571011</v>
      </c>
      <c r="L138" t="str">
        <f t="shared" si="17"/>
        <v>2024-05</v>
      </c>
      <c r="M138">
        <f t="shared" si="15"/>
        <v>2636.4000000000015</v>
      </c>
    </row>
    <row r="139" spans="1:13" x14ac:dyDescent="0.25">
      <c r="A139" s="1">
        <v>45367</v>
      </c>
      <c r="B139" t="s">
        <v>10</v>
      </c>
      <c r="C139" t="s">
        <v>11</v>
      </c>
      <c r="D139" t="s">
        <v>17</v>
      </c>
      <c r="E139">
        <v>407.94</v>
      </c>
      <c r="F139">
        <v>342.7</v>
      </c>
      <c r="G139">
        <v>1</v>
      </c>
      <c r="H139">
        <f t="shared" si="12"/>
        <v>407.94</v>
      </c>
      <c r="I139">
        <f t="shared" si="16"/>
        <v>342.7</v>
      </c>
      <c r="J139">
        <f t="shared" si="13"/>
        <v>65.240000000000009</v>
      </c>
      <c r="K139" s="8">
        <f t="shared" si="14"/>
        <v>0.15992547923714273</v>
      </c>
      <c r="L139" t="str">
        <f t="shared" si="17"/>
        <v>2024-03</v>
      </c>
      <c r="M139">
        <f t="shared" si="15"/>
        <v>65.240000000000009</v>
      </c>
    </row>
    <row r="140" spans="1:13" x14ac:dyDescent="0.25">
      <c r="A140" s="1">
        <v>45214</v>
      </c>
      <c r="B140" t="s">
        <v>10</v>
      </c>
      <c r="C140" t="s">
        <v>11</v>
      </c>
      <c r="D140" t="s">
        <v>17</v>
      </c>
      <c r="E140">
        <v>1461.6</v>
      </c>
      <c r="F140">
        <v>1012.72</v>
      </c>
      <c r="G140">
        <v>3</v>
      </c>
      <c r="H140">
        <f t="shared" si="12"/>
        <v>4384.7999999999993</v>
      </c>
      <c r="I140">
        <f t="shared" si="16"/>
        <v>3038.16</v>
      </c>
      <c r="J140">
        <f t="shared" si="13"/>
        <v>1346.6399999999994</v>
      </c>
      <c r="K140" s="8">
        <f t="shared" si="14"/>
        <v>0.30711548987411047</v>
      </c>
      <c r="L140" t="str">
        <f t="shared" si="17"/>
        <v>2023-10</v>
      </c>
      <c r="M140">
        <f t="shared" si="15"/>
        <v>1346.6399999999994</v>
      </c>
    </row>
    <row r="141" spans="1:13" x14ac:dyDescent="0.25">
      <c r="A141" s="1">
        <v>45025</v>
      </c>
      <c r="B141" t="s">
        <v>16</v>
      </c>
      <c r="C141" t="s">
        <v>15</v>
      </c>
      <c r="D141" t="s">
        <v>13</v>
      </c>
      <c r="E141">
        <v>1775.64</v>
      </c>
      <c r="F141">
        <v>1194.9100000000001</v>
      </c>
      <c r="G141">
        <v>4</v>
      </c>
      <c r="H141">
        <f t="shared" si="12"/>
        <v>7102.56</v>
      </c>
      <c r="I141">
        <f t="shared" si="16"/>
        <v>4779.6400000000003</v>
      </c>
      <c r="J141">
        <f t="shared" si="13"/>
        <v>2322.92</v>
      </c>
      <c r="K141" s="8">
        <f t="shared" si="14"/>
        <v>0.32705390732355655</v>
      </c>
      <c r="L141" t="str">
        <f t="shared" si="17"/>
        <v>2023-04</v>
      </c>
      <c r="M141">
        <f t="shared" si="15"/>
        <v>2322.92</v>
      </c>
    </row>
    <row r="142" spans="1:13" x14ac:dyDescent="0.25">
      <c r="A142" s="1">
        <v>45653</v>
      </c>
      <c r="B142" t="s">
        <v>19</v>
      </c>
      <c r="C142" t="s">
        <v>20</v>
      </c>
      <c r="D142" t="s">
        <v>13</v>
      </c>
      <c r="E142">
        <v>1828.24</v>
      </c>
      <c r="F142">
        <v>1294.47</v>
      </c>
      <c r="G142">
        <v>10</v>
      </c>
      <c r="H142">
        <f t="shared" si="12"/>
        <v>18282.400000000001</v>
      </c>
      <c r="I142">
        <f t="shared" si="16"/>
        <v>12944.7</v>
      </c>
      <c r="J142">
        <f t="shared" si="13"/>
        <v>5337.7000000000007</v>
      </c>
      <c r="K142" s="8">
        <f t="shared" si="14"/>
        <v>0.29195838620750014</v>
      </c>
      <c r="L142" t="str">
        <f t="shared" si="17"/>
        <v>2024-12</v>
      </c>
      <c r="M142">
        <f t="shared" si="15"/>
        <v>5337.7000000000007</v>
      </c>
    </row>
    <row r="143" spans="1:13" x14ac:dyDescent="0.25">
      <c r="A143" s="1">
        <v>45103</v>
      </c>
      <c r="B143" t="s">
        <v>23</v>
      </c>
      <c r="C143" t="s">
        <v>11</v>
      </c>
      <c r="D143" t="s">
        <v>9</v>
      </c>
      <c r="E143">
        <v>1264.02</v>
      </c>
      <c r="F143">
        <v>835.07</v>
      </c>
      <c r="G143">
        <v>10</v>
      </c>
      <c r="H143">
        <f t="shared" si="12"/>
        <v>12640.2</v>
      </c>
      <c r="I143">
        <f t="shared" si="16"/>
        <v>8350.7000000000007</v>
      </c>
      <c r="J143">
        <f t="shared" si="13"/>
        <v>4289.5</v>
      </c>
      <c r="K143" s="8">
        <f t="shared" si="14"/>
        <v>0.33935380769291623</v>
      </c>
      <c r="L143" t="str">
        <f t="shared" si="17"/>
        <v>2023-06</v>
      </c>
      <c r="M143">
        <f t="shared" si="15"/>
        <v>4289.5</v>
      </c>
    </row>
    <row r="144" spans="1:13" x14ac:dyDescent="0.25">
      <c r="A144" s="1">
        <v>45099</v>
      </c>
      <c r="B144" t="s">
        <v>23</v>
      </c>
      <c r="C144" t="s">
        <v>11</v>
      </c>
      <c r="D144" t="s">
        <v>17</v>
      </c>
      <c r="E144">
        <v>728.96</v>
      </c>
      <c r="F144">
        <v>492.42</v>
      </c>
      <c r="G144">
        <v>10</v>
      </c>
      <c r="H144">
        <f t="shared" si="12"/>
        <v>7289.6</v>
      </c>
      <c r="I144">
        <f t="shared" si="16"/>
        <v>4924.2</v>
      </c>
      <c r="J144">
        <f t="shared" si="13"/>
        <v>2365.4000000000005</v>
      </c>
      <c r="K144" s="8">
        <f t="shared" si="14"/>
        <v>0.32448968393327488</v>
      </c>
      <c r="L144" t="str">
        <f t="shared" si="17"/>
        <v>2023-06</v>
      </c>
      <c r="M144">
        <f t="shared" si="15"/>
        <v>2365.4000000000005</v>
      </c>
    </row>
    <row r="145" spans="1:13" x14ac:dyDescent="0.25">
      <c r="A145" s="1">
        <v>45159</v>
      </c>
      <c r="B145" t="s">
        <v>19</v>
      </c>
      <c r="C145" t="s">
        <v>20</v>
      </c>
      <c r="D145" t="s">
        <v>18</v>
      </c>
      <c r="E145">
        <v>1623.4</v>
      </c>
      <c r="F145">
        <v>1288.68</v>
      </c>
      <c r="G145">
        <v>2</v>
      </c>
      <c r="H145">
        <f t="shared" si="12"/>
        <v>3246.8</v>
      </c>
      <c r="I145">
        <f t="shared" si="16"/>
        <v>2577.36</v>
      </c>
      <c r="J145">
        <f t="shared" si="13"/>
        <v>669.44</v>
      </c>
      <c r="K145" s="8">
        <f t="shared" si="14"/>
        <v>0.20618455094246643</v>
      </c>
      <c r="L145" t="str">
        <f t="shared" si="17"/>
        <v>2023-08</v>
      </c>
      <c r="M145">
        <f t="shared" si="15"/>
        <v>669.44</v>
      </c>
    </row>
    <row r="146" spans="1:13" x14ac:dyDescent="0.25">
      <c r="A146" s="1">
        <v>44836</v>
      </c>
      <c r="B146" t="s">
        <v>14</v>
      </c>
      <c r="C146" t="s">
        <v>15</v>
      </c>
      <c r="D146" t="s">
        <v>17</v>
      </c>
      <c r="E146">
        <v>1004.21</v>
      </c>
      <c r="F146">
        <v>880.42</v>
      </c>
      <c r="G146">
        <v>7</v>
      </c>
      <c r="H146">
        <f t="shared" si="12"/>
        <v>7029.47</v>
      </c>
      <c r="I146">
        <f t="shared" si="16"/>
        <v>6162.94</v>
      </c>
      <c r="J146">
        <f t="shared" si="13"/>
        <v>866.53000000000065</v>
      </c>
      <c r="K146" s="8">
        <f t="shared" si="14"/>
        <v>0.12327102896804462</v>
      </c>
      <c r="L146" t="str">
        <f t="shared" si="17"/>
        <v>2022-10</v>
      </c>
      <c r="M146">
        <f t="shared" si="15"/>
        <v>866.53000000000065</v>
      </c>
    </row>
    <row r="147" spans="1:13" x14ac:dyDescent="0.25">
      <c r="A147" s="1">
        <v>45049</v>
      </c>
      <c r="B147" t="s">
        <v>25</v>
      </c>
      <c r="C147" t="s">
        <v>15</v>
      </c>
      <c r="D147" t="s">
        <v>18</v>
      </c>
      <c r="E147">
        <v>53.98</v>
      </c>
      <c r="F147">
        <v>37.01</v>
      </c>
      <c r="G147">
        <v>2</v>
      </c>
      <c r="H147">
        <f t="shared" si="12"/>
        <v>107.96</v>
      </c>
      <c r="I147">
        <f t="shared" si="16"/>
        <v>74.02</v>
      </c>
      <c r="J147">
        <f t="shared" si="13"/>
        <v>33.94</v>
      </c>
      <c r="K147" s="8">
        <f t="shared" si="14"/>
        <v>0.31437569470174137</v>
      </c>
      <c r="L147" t="str">
        <f t="shared" si="17"/>
        <v>2023-05</v>
      </c>
      <c r="M147">
        <f t="shared" si="15"/>
        <v>33.94</v>
      </c>
    </row>
    <row r="148" spans="1:13" x14ac:dyDescent="0.25">
      <c r="A148" s="1">
        <v>45327</v>
      </c>
      <c r="B148" t="s">
        <v>25</v>
      </c>
      <c r="C148" t="s">
        <v>15</v>
      </c>
      <c r="D148" t="s">
        <v>13</v>
      </c>
      <c r="E148">
        <v>1168.53</v>
      </c>
      <c r="F148">
        <v>821.13</v>
      </c>
      <c r="G148">
        <v>6</v>
      </c>
      <c r="H148">
        <f t="shared" si="12"/>
        <v>7011.18</v>
      </c>
      <c r="I148">
        <f t="shared" si="16"/>
        <v>4926.78</v>
      </c>
      <c r="J148">
        <f t="shared" si="13"/>
        <v>2084.4000000000005</v>
      </c>
      <c r="K148" s="8">
        <f t="shared" si="14"/>
        <v>0.29729660342481584</v>
      </c>
      <c r="L148" t="str">
        <f t="shared" si="17"/>
        <v>2024-02</v>
      </c>
      <c r="M148">
        <f t="shared" si="15"/>
        <v>2084.4000000000005</v>
      </c>
    </row>
    <row r="149" spans="1:13" x14ac:dyDescent="0.25">
      <c r="A149" s="1">
        <v>44863</v>
      </c>
      <c r="B149" t="s">
        <v>21</v>
      </c>
      <c r="C149" t="s">
        <v>20</v>
      </c>
      <c r="D149" t="s">
        <v>9</v>
      </c>
      <c r="E149">
        <v>1087.94</v>
      </c>
      <c r="F149">
        <v>595.33000000000004</v>
      </c>
      <c r="G149">
        <v>9</v>
      </c>
      <c r="H149">
        <f t="shared" si="12"/>
        <v>9791.4600000000009</v>
      </c>
      <c r="I149">
        <f t="shared" si="16"/>
        <v>5357.97</v>
      </c>
      <c r="J149">
        <f t="shared" si="13"/>
        <v>4433.4900000000007</v>
      </c>
      <c r="K149" s="8">
        <f t="shared" si="14"/>
        <v>0.45279151423791758</v>
      </c>
      <c r="L149" t="str">
        <f t="shared" si="17"/>
        <v>2022-10</v>
      </c>
      <c r="M149">
        <f t="shared" si="15"/>
        <v>4433.4900000000007</v>
      </c>
    </row>
    <row r="150" spans="1:13" x14ac:dyDescent="0.25">
      <c r="A150" s="1">
        <v>44890</v>
      </c>
      <c r="B150" t="s">
        <v>10</v>
      </c>
      <c r="C150" t="s">
        <v>11</v>
      </c>
      <c r="D150" t="s">
        <v>17</v>
      </c>
      <c r="E150">
        <v>1145.57</v>
      </c>
      <c r="F150">
        <v>859.78</v>
      </c>
      <c r="G150">
        <v>2</v>
      </c>
      <c r="H150">
        <f t="shared" si="12"/>
        <v>2291.14</v>
      </c>
      <c r="I150">
        <f t="shared" si="16"/>
        <v>1719.56</v>
      </c>
      <c r="J150">
        <f t="shared" si="13"/>
        <v>571.57999999999993</v>
      </c>
      <c r="K150" s="8">
        <f t="shared" si="14"/>
        <v>0.24947406094782509</v>
      </c>
      <c r="L150" t="str">
        <f t="shared" si="17"/>
        <v>2022-11</v>
      </c>
      <c r="M150">
        <f t="shared" si="15"/>
        <v>571.57999999999993</v>
      </c>
    </row>
    <row r="151" spans="1:13" x14ac:dyDescent="0.25">
      <c r="A151" s="1">
        <v>45486</v>
      </c>
      <c r="B151" t="s">
        <v>16</v>
      </c>
      <c r="C151" t="s">
        <v>15</v>
      </c>
      <c r="D151" t="s">
        <v>13</v>
      </c>
      <c r="E151">
        <v>1816.42</v>
      </c>
      <c r="F151">
        <v>1327.37</v>
      </c>
      <c r="G151">
        <v>5</v>
      </c>
      <c r="H151">
        <f t="shared" si="12"/>
        <v>9082.1</v>
      </c>
      <c r="I151">
        <f t="shared" si="16"/>
        <v>6636.8499999999995</v>
      </c>
      <c r="J151">
        <f t="shared" si="13"/>
        <v>2445.2500000000009</v>
      </c>
      <c r="K151" s="8">
        <f t="shared" si="14"/>
        <v>0.2692383920018499</v>
      </c>
      <c r="L151" t="str">
        <f t="shared" si="17"/>
        <v>2024-07</v>
      </c>
      <c r="M151">
        <f t="shared" si="15"/>
        <v>2445.2500000000009</v>
      </c>
    </row>
    <row r="152" spans="1:13" x14ac:dyDescent="0.25">
      <c r="A152" s="1">
        <v>45006</v>
      </c>
      <c r="B152" t="s">
        <v>25</v>
      </c>
      <c r="C152" t="s">
        <v>15</v>
      </c>
      <c r="D152" t="s">
        <v>9</v>
      </c>
      <c r="E152">
        <v>246.44</v>
      </c>
      <c r="F152">
        <v>200.62</v>
      </c>
      <c r="G152">
        <v>4</v>
      </c>
      <c r="H152">
        <f t="shared" si="12"/>
        <v>985.76</v>
      </c>
      <c r="I152">
        <f t="shared" si="16"/>
        <v>802.48</v>
      </c>
      <c r="J152">
        <f t="shared" si="13"/>
        <v>183.27999999999997</v>
      </c>
      <c r="K152" s="8">
        <f t="shared" si="14"/>
        <v>0.18592760915435802</v>
      </c>
      <c r="L152" t="str">
        <f t="shared" si="17"/>
        <v>2023-03</v>
      </c>
      <c r="M152">
        <f t="shared" si="15"/>
        <v>183.27999999999997</v>
      </c>
    </row>
    <row r="153" spans="1:13" x14ac:dyDescent="0.25">
      <c r="A153" s="1">
        <v>44619</v>
      </c>
      <c r="B153" t="s">
        <v>7</v>
      </c>
      <c r="C153" t="s">
        <v>8</v>
      </c>
      <c r="D153" t="s">
        <v>9</v>
      </c>
      <c r="E153">
        <v>1850.31</v>
      </c>
      <c r="F153">
        <v>1051.01</v>
      </c>
      <c r="G153">
        <v>9</v>
      </c>
      <c r="H153">
        <f t="shared" si="12"/>
        <v>16652.79</v>
      </c>
      <c r="I153">
        <f t="shared" si="16"/>
        <v>9459.09</v>
      </c>
      <c r="J153">
        <f t="shared" si="13"/>
        <v>7193.7000000000007</v>
      </c>
      <c r="K153" s="8">
        <f t="shared" si="14"/>
        <v>0.43198166793672416</v>
      </c>
      <c r="L153" t="str">
        <f t="shared" si="17"/>
        <v>2022-02</v>
      </c>
      <c r="M153">
        <f t="shared" si="15"/>
        <v>7193.7000000000007</v>
      </c>
    </row>
    <row r="154" spans="1:13" x14ac:dyDescent="0.25">
      <c r="A154" s="1">
        <v>44606</v>
      </c>
      <c r="B154" t="s">
        <v>21</v>
      </c>
      <c r="C154" t="s">
        <v>20</v>
      </c>
      <c r="D154" t="s">
        <v>9</v>
      </c>
      <c r="E154">
        <v>767.38</v>
      </c>
      <c r="F154">
        <v>686.49</v>
      </c>
      <c r="G154">
        <v>1</v>
      </c>
      <c r="H154">
        <f t="shared" si="12"/>
        <v>767.38</v>
      </c>
      <c r="I154">
        <f t="shared" si="16"/>
        <v>686.49</v>
      </c>
      <c r="J154">
        <f t="shared" si="13"/>
        <v>80.889999999999986</v>
      </c>
      <c r="K154" s="8">
        <f t="shared" si="14"/>
        <v>0.10541061794677993</v>
      </c>
      <c r="L154" t="str">
        <f t="shared" si="17"/>
        <v>2022-02</v>
      </c>
      <c r="M154">
        <f t="shared" si="15"/>
        <v>80.889999999999986</v>
      </c>
    </row>
    <row r="155" spans="1:13" x14ac:dyDescent="0.25">
      <c r="A155" s="1">
        <v>44714</v>
      </c>
      <c r="B155" t="s">
        <v>12</v>
      </c>
      <c r="C155" t="s">
        <v>8</v>
      </c>
      <c r="D155" t="s">
        <v>9</v>
      </c>
      <c r="E155">
        <v>1609.01</v>
      </c>
      <c r="F155">
        <v>876.8</v>
      </c>
      <c r="G155">
        <v>5</v>
      </c>
      <c r="H155">
        <f t="shared" si="12"/>
        <v>8045.05</v>
      </c>
      <c r="I155">
        <f t="shared" si="16"/>
        <v>4384</v>
      </c>
      <c r="J155">
        <f t="shared" si="13"/>
        <v>3661.05</v>
      </c>
      <c r="K155" s="8">
        <f t="shared" si="14"/>
        <v>0.45506864469456376</v>
      </c>
      <c r="L155" t="str">
        <f t="shared" si="17"/>
        <v>2022-06</v>
      </c>
      <c r="M155">
        <f t="shared" si="15"/>
        <v>3661.05</v>
      </c>
    </row>
    <row r="156" spans="1:13" x14ac:dyDescent="0.25">
      <c r="A156" s="1">
        <v>45373</v>
      </c>
      <c r="B156" t="s">
        <v>16</v>
      </c>
      <c r="C156" t="s">
        <v>15</v>
      </c>
      <c r="D156" t="s">
        <v>18</v>
      </c>
      <c r="E156">
        <v>1359.99</v>
      </c>
      <c r="F156">
        <v>870.28</v>
      </c>
      <c r="G156">
        <v>5</v>
      </c>
      <c r="H156">
        <f t="shared" si="12"/>
        <v>6799.95</v>
      </c>
      <c r="I156">
        <f t="shared" si="16"/>
        <v>4351.3999999999996</v>
      </c>
      <c r="J156">
        <f t="shared" si="13"/>
        <v>2448.5500000000002</v>
      </c>
      <c r="K156" s="8">
        <f t="shared" si="14"/>
        <v>0.36008353002595611</v>
      </c>
      <c r="L156" t="str">
        <f t="shared" si="17"/>
        <v>2024-03</v>
      </c>
      <c r="M156">
        <f t="shared" si="15"/>
        <v>2448.5500000000002</v>
      </c>
    </row>
    <row r="157" spans="1:13" x14ac:dyDescent="0.25">
      <c r="A157" s="1">
        <v>45311</v>
      </c>
      <c r="B157" t="s">
        <v>7</v>
      </c>
      <c r="C157" t="s">
        <v>8</v>
      </c>
      <c r="D157" t="s">
        <v>13</v>
      </c>
      <c r="E157">
        <v>1587.06</v>
      </c>
      <c r="F157">
        <v>1013.15</v>
      </c>
      <c r="G157">
        <v>4</v>
      </c>
      <c r="H157">
        <f t="shared" si="12"/>
        <v>6348.24</v>
      </c>
      <c r="I157">
        <f t="shared" si="16"/>
        <v>4052.6</v>
      </c>
      <c r="J157">
        <f t="shared" si="13"/>
        <v>2295.64</v>
      </c>
      <c r="K157" s="8">
        <f t="shared" si="14"/>
        <v>0.36161833831109091</v>
      </c>
      <c r="L157" t="str">
        <f t="shared" si="17"/>
        <v>2024-01</v>
      </c>
      <c r="M157">
        <f t="shared" si="15"/>
        <v>2295.64</v>
      </c>
    </row>
    <row r="158" spans="1:13" x14ac:dyDescent="0.25">
      <c r="A158" s="1">
        <v>45638</v>
      </c>
      <c r="B158" t="s">
        <v>22</v>
      </c>
      <c r="C158" t="s">
        <v>8</v>
      </c>
      <c r="D158" t="s">
        <v>13</v>
      </c>
      <c r="E158">
        <v>323.14</v>
      </c>
      <c r="F158">
        <v>195.79</v>
      </c>
      <c r="G158">
        <v>4</v>
      </c>
      <c r="H158">
        <f t="shared" si="12"/>
        <v>1292.56</v>
      </c>
      <c r="I158">
        <f t="shared" si="16"/>
        <v>783.16</v>
      </c>
      <c r="J158">
        <f t="shared" si="13"/>
        <v>509.4</v>
      </c>
      <c r="K158" s="8">
        <f t="shared" si="14"/>
        <v>0.3941016277774339</v>
      </c>
      <c r="L158" t="str">
        <f t="shared" si="17"/>
        <v>2024-12</v>
      </c>
      <c r="M158">
        <f t="shared" si="15"/>
        <v>509.4</v>
      </c>
    </row>
    <row r="159" spans="1:13" x14ac:dyDescent="0.25">
      <c r="A159" s="1">
        <v>44577</v>
      </c>
      <c r="B159" t="s">
        <v>14</v>
      </c>
      <c r="C159" t="s">
        <v>15</v>
      </c>
      <c r="D159" t="s">
        <v>17</v>
      </c>
      <c r="E159">
        <v>836.38</v>
      </c>
      <c r="F159">
        <v>711.18</v>
      </c>
      <c r="G159">
        <v>8</v>
      </c>
      <c r="H159">
        <f t="shared" si="12"/>
        <v>6691.04</v>
      </c>
      <c r="I159">
        <f t="shared" si="16"/>
        <v>5689.44</v>
      </c>
      <c r="J159">
        <f t="shared" si="13"/>
        <v>1001.6000000000004</v>
      </c>
      <c r="K159" s="8">
        <f t="shared" si="14"/>
        <v>0.14969272340323783</v>
      </c>
      <c r="L159" t="str">
        <f t="shared" si="17"/>
        <v>2022-01</v>
      </c>
      <c r="M159">
        <f t="shared" si="15"/>
        <v>1001.6000000000004</v>
      </c>
    </row>
    <row r="160" spans="1:13" x14ac:dyDescent="0.25">
      <c r="A160" s="1">
        <v>44596</v>
      </c>
      <c r="B160" t="s">
        <v>12</v>
      </c>
      <c r="C160" t="s">
        <v>8</v>
      </c>
      <c r="D160" t="s">
        <v>18</v>
      </c>
      <c r="E160">
        <v>833.51</v>
      </c>
      <c r="F160">
        <v>677.38</v>
      </c>
      <c r="G160">
        <v>8</v>
      </c>
      <c r="H160">
        <f t="shared" si="12"/>
        <v>6668.08</v>
      </c>
      <c r="I160">
        <f t="shared" si="16"/>
        <v>5419.04</v>
      </c>
      <c r="J160">
        <f t="shared" si="13"/>
        <v>1249.04</v>
      </c>
      <c r="K160" s="8">
        <f t="shared" si="14"/>
        <v>0.18731628894674329</v>
      </c>
      <c r="L160" t="str">
        <f t="shared" si="17"/>
        <v>2022-02</v>
      </c>
      <c r="M160">
        <f t="shared" si="15"/>
        <v>1249.04</v>
      </c>
    </row>
    <row r="161" spans="1:13" x14ac:dyDescent="0.25">
      <c r="A161" s="1">
        <v>45198</v>
      </c>
      <c r="B161" t="s">
        <v>19</v>
      </c>
      <c r="C161" t="s">
        <v>20</v>
      </c>
      <c r="D161" t="s">
        <v>13</v>
      </c>
      <c r="E161">
        <v>1400.09</v>
      </c>
      <c r="F161">
        <v>936.45</v>
      </c>
      <c r="G161">
        <v>3</v>
      </c>
      <c r="H161">
        <f t="shared" si="12"/>
        <v>4200.2699999999995</v>
      </c>
      <c r="I161">
        <f t="shared" si="16"/>
        <v>2809.3500000000004</v>
      </c>
      <c r="J161">
        <f t="shared" si="13"/>
        <v>1390.9199999999992</v>
      </c>
      <c r="K161" s="8">
        <f t="shared" si="14"/>
        <v>0.33115014034812029</v>
      </c>
      <c r="L161" t="str">
        <f t="shared" si="17"/>
        <v>2023-09</v>
      </c>
      <c r="M161">
        <f t="shared" si="15"/>
        <v>1390.9199999999992</v>
      </c>
    </row>
    <row r="162" spans="1:13" x14ac:dyDescent="0.25">
      <c r="A162" s="1">
        <v>45128</v>
      </c>
      <c r="B162" t="s">
        <v>12</v>
      </c>
      <c r="C162" t="s">
        <v>8</v>
      </c>
      <c r="D162" t="s">
        <v>9</v>
      </c>
      <c r="E162">
        <v>229.43</v>
      </c>
      <c r="F162">
        <v>181.19</v>
      </c>
      <c r="G162">
        <v>7</v>
      </c>
      <c r="H162">
        <f t="shared" si="12"/>
        <v>1606.01</v>
      </c>
      <c r="I162">
        <f t="shared" si="16"/>
        <v>1268.33</v>
      </c>
      <c r="J162">
        <f t="shared" si="13"/>
        <v>337.68000000000006</v>
      </c>
      <c r="K162" s="8">
        <f t="shared" si="14"/>
        <v>0.21026021008586501</v>
      </c>
      <c r="L162" t="str">
        <f t="shared" si="17"/>
        <v>2023-07</v>
      </c>
      <c r="M162">
        <f t="shared" si="15"/>
        <v>337.68000000000006</v>
      </c>
    </row>
    <row r="163" spans="1:13" x14ac:dyDescent="0.25">
      <c r="A163" s="1">
        <v>45082</v>
      </c>
      <c r="B163" t="s">
        <v>25</v>
      </c>
      <c r="C163" t="s">
        <v>15</v>
      </c>
      <c r="D163" t="s">
        <v>9</v>
      </c>
      <c r="E163">
        <v>223.07</v>
      </c>
      <c r="F163">
        <v>156.33000000000001</v>
      </c>
      <c r="G163">
        <v>5</v>
      </c>
      <c r="H163">
        <f t="shared" si="12"/>
        <v>1115.3499999999999</v>
      </c>
      <c r="I163">
        <f t="shared" si="16"/>
        <v>781.65000000000009</v>
      </c>
      <c r="J163">
        <f t="shared" si="13"/>
        <v>333.69999999999982</v>
      </c>
      <c r="K163" s="8">
        <f t="shared" si="14"/>
        <v>0.29918859550813631</v>
      </c>
      <c r="L163" t="str">
        <f t="shared" si="17"/>
        <v>2023-06</v>
      </c>
      <c r="M163">
        <f t="shared" si="15"/>
        <v>333.69999999999982</v>
      </c>
    </row>
    <row r="164" spans="1:13" x14ac:dyDescent="0.25">
      <c r="A164" s="1">
        <v>45450</v>
      </c>
      <c r="B164" t="s">
        <v>14</v>
      </c>
      <c r="C164" t="s">
        <v>15</v>
      </c>
      <c r="D164" t="s">
        <v>9</v>
      </c>
      <c r="E164">
        <v>781.48</v>
      </c>
      <c r="F164">
        <v>466.27</v>
      </c>
      <c r="G164">
        <v>2</v>
      </c>
      <c r="H164">
        <f t="shared" si="12"/>
        <v>1562.96</v>
      </c>
      <c r="I164">
        <f t="shared" si="16"/>
        <v>932.54</v>
      </c>
      <c r="J164">
        <f t="shared" si="13"/>
        <v>630.42000000000007</v>
      </c>
      <c r="K164" s="8">
        <f t="shared" si="14"/>
        <v>0.40335005374417776</v>
      </c>
      <c r="L164" t="str">
        <f t="shared" si="17"/>
        <v>2024-06</v>
      </c>
      <c r="M164">
        <f t="shared" si="15"/>
        <v>630.42000000000007</v>
      </c>
    </row>
    <row r="165" spans="1:13" x14ac:dyDescent="0.25">
      <c r="A165" s="1">
        <v>44692</v>
      </c>
      <c r="B165" t="s">
        <v>16</v>
      </c>
      <c r="C165" t="s">
        <v>15</v>
      </c>
      <c r="D165" t="s">
        <v>17</v>
      </c>
      <c r="E165">
        <v>919.09</v>
      </c>
      <c r="F165">
        <v>748.71</v>
      </c>
      <c r="G165">
        <v>5</v>
      </c>
      <c r="H165">
        <f t="shared" si="12"/>
        <v>4595.45</v>
      </c>
      <c r="I165">
        <f t="shared" si="16"/>
        <v>3743.55</v>
      </c>
      <c r="J165">
        <f t="shared" si="13"/>
        <v>851.89999999999964</v>
      </c>
      <c r="K165" s="8">
        <f t="shared" si="14"/>
        <v>0.18537901620080724</v>
      </c>
      <c r="L165" t="str">
        <f t="shared" si="17"/>
        <v>2022-05</v>
      </c>
      <c r="M165">
        <f t="shared" si="15"/>
        <v>851.89999999999964</v>
      </c>
    </row>
    <row r="166" spans="1:13" x14ac:dyDescent="0.25">
      <c r="A166" s="1">
        <v>44789</v>
      </c>
      <c r="B166" t="s">
        <v>7</v>
      </c>
      <c r="C166" t="s">
        <v>8</v>
      </c>
      <c r="D166" t="s">
        <v>9</v>
      </c>
      <c r="E166">
        <v>488.72</v>
      </c>
      <c r="F166">
        <v>383.17</v>
      </c>
      <c r="G166">
        <v>7</v>
      </c>
      <c r="H166">
        <f t="shared" si="12"/>
        <v>3421.04</v>
      </c>
      <c r="I166">
        <f t="shared" si="16"/>
        <v>2682.19</v>
      </c>
      <c r="J166">
        <f t="shared" si="13"/>
        <v>738.84999999999991</v>
      </c>
      <c r="K166" s="8">
        <f t="shared" si="14"/>
        <v>0.21597233589785561</v>
      </c>
      <c r="L166" t="str">
        <f t="shared" si="17"/>
        <v>2022-08</v>
      </c>
      <c r="M166">
        <f t="shared" si="15"/>
        <v>738.84999999999991</v>
      </c>
    </row>
    <row r="167" spans="1:13" x14ac:dyDescent="0.25">
      <c r="A167" s="1">
        <v>45557</v>
      </c>
      <c r="B167" t="s">
        <v>21</v>
      </c>
      <c r="C167" t="s">
        <v>20</v>
      </c>
      <c r="D167" t="s">
        <v>18</v>
      </c>
      <c r="E167">
        <v>1296.6500000000001</v>
      </c>
      <c r="F167">
        <v>875.06</v>
      </c>
      <c r="G167">
        <v>1</v>
      </c>
      <c r="H167">
        <f t="shared" si="12"/>
        <v>1296.6500000000001</v>
      </c>
      <c r="I167">
        <f t="shared" si="16"/>
        <v>875.06</v>
      </c>
      <c r="J167">
        <f t="shared" si="13"/>
        <v>421.59000000000015</v>
      </c>
      <c r="K167" s="8">
        <f t="shared" si="14"/>
        <v>0.32513785524235539</v>
      </c>
      <c r="L167" t="str">
        <f t="shared" si="17"/>
        <v>2024-09</v>
      </c>
      <c r="M167">
        <f t="shared" si="15"/>
        <v>421.59000000000015</v>
      </c>
    </row>
    <row r="168" spans="1:13" x14ac:dyDescent="0.25">
      <c r="A168" s="1">
        <v>44937</v>
      </c>
      <c r="B168" t="s">
        <v>23</v>
      </c>
      <c r="C168" t="s">
        <v>11</v>
      </c>
      <c r="D168" t="s">
        <v>9</v>
      </c>
      <c r="E168">
        <v>1444.32</v>
      </c>
      <c r="F168">
        <v>858.77</v>
      </c>
      <c r="G168">
        <v>9</v>
      </c>
      <c r="H168">
        <f t="shared" si="12"/>
        <v>12998.88</v>
      </c>
      <c r="I168">
        <f t="shared" si="16"/>
        <v>7728.93</v>
      </c>
      <c r="J168">
        <f t="shared" si="13"/>
        <v>5269.9499999999989</v>
      </c>
      <c r="K168" s="8">
        <f t="shared" si="14"/>
        <v>0.40541569735238725</v>
      </c>
      <c r="L168" t="str">
        <f t="shared" si="17"/>
        <v>2023-01</v>
      </c>
      <c r="M168">
        <f t="shared" si="15"/>
        <v>5269.9499999999989</v>
      </c>
    </row>
    <row r="169" spans="1:13" x14ac:dyDescent="0.25">
      <c r="A169" s="1">
        <v>44855</v>
      </c>
      <c r="B169" t="s">
        <v>22</v>
      </c>
      <c r="C169" t="s">
        <v>8</v>
      </c>
      <c r="D169" t="s">
        <v>9</v>
      </c>
      <c r="E169">
        <v>1169.72</v>
      </c>
      <c r="F169">
        <v>745.92</v>
      </c>
      <c r="G169">
        <v>3</v>
      </c>
      <c r="H169">
        <f t="shared" si="12"/>
        <v>3509.16</v>
      </c>
      <c r="I169">
        <f t="shared" si="16"/>
        <v>2237.7599999999998</v>
      </c>
      <c r="J169">
        <f t="shared" si="13"/>
        <v>1271.4000000000001</v>
      </c>
      <c r="K169" s="8">
        <f t="shared" si="14"/>
        <v>0.36230892863249331</v>
      </c>
      <c r="L169" t="str">
        <f t="shared" si="17"/>
        <v>2022-10</v>
      </c>
      <c r="M169">
        <f t="shared" si="15"/>
        <v>1271.4000000000001</v>
      </c>
    </row>
    <row r="170" spans="1:13" x14ac:dyDescent="0.25">
      <c r="A170" s="1">
        <v>45495</v>
      </c>
      <c r="B170" t="s">
        <v>22</v>
      </c>
      <c r="C170" t="s">
        <v>8</v>
      </c>
      <c r="D170" t="s">
        <v>17</v>
      </c>
      <c r="E170">
        <v>270.57</v>
      </c>
      <c r="F170">
        <v>220.12</v>
      </c>
      <c r="G170">
        <v>7</v>
      </c>
      <c r="H170">
        <f t="shared" si="12"/>
        <v>1893.99</v>
      </c>
      <c r="I170">
        <f t="shared" si="16"/>
        <v>1540.8400000000001</v>
      </c>
      <c r="J170">
        <f t="shared" si="13"/>
        <v>353.14999999999986</v>
      </c>
      <c r="K170" s="8">
        <f t="shared" si="14"/>
        <v>0.18645821783641933</v>
      </c>
      <c r="L170" t="str">
        <f t="shared" si="17"/>
        <v>2024-07</v>
      </c>
      <c r="M170">
        <f t="shared" si="15"/>
        <v>353.14999999999986</v>
      </c>
    </row>
    <row r="171" spans="1:13" x14ac:dyDescent="0.25">
      <c r="A171" s="1">
        <v>44916</v>
      </c>
      <c r="B171" t="s">
        <v>24</v>
      </c>
      <c r="C171" t="s">
        <v>20</v>
      </c>
      <c r="D171" t="s">
        <v>9</v>
      </c>
      <c r="E171">
        <v>478.59</v>
      </c>
      <c r="F171">
        <v>352.02</v>
      </c>
      <c r="G171">
        <v>4</v>
      </c>
      <c r="H171">
        <f t="shared" si="12"/>
        <v>1914.36</v>
      </c>
      <c r="I171">
        <f t="shared" si="16"/>
        <v>1408.08</v>
      </c>
      <c r="J171">
        <f t="shared" si="13"/>
        <v>506.28</v>
      </c>
      <c r="K171" s="8">
        <f t="shared" si="14"/>
        <v>0.26446436406945401</v>
      </c>
      <c r="L171" t="str">
        <f t="shared" si="17"/>
        <v>2022-12</v>
      </c>
      <c r="M171">
        <f t="shared" si="15"/>
        <v>506.28</v>
      </c>
    </row>
    <row r="172" spans="1:13" x14ac:dyDescent="0.25">
      <c r="A172" s="1">
        <v>45220</v>
      </c>
      <c r="B172" t="s">
        <v>14</v>
      </c>
      <c r="C172" t="s">
        <v>15</v>
      </c>
      <c r="D172" t="s">
        <v>18</v>
      </c>
      <c r="E172">
        <v>213.32</v>
      </c>
      <c r="F172">
        <v>131</v>
      </c>
      <c r="G172">
        <v>1</v>
      </c>
      <c r="H172">
        <f t="shared" si="12"/>
        <v>213.32</v>
      </c>
      <c r="I172">
        <f t="shared" si="16"/>
        <v>131</v>
      </c>
      <c r="J172">
        <f t="shared" si="13"/>
        <v>82.32</v>
      </c>
      <c r="K172" s="8">
        <f t="shared" si="14"/>
        <v>0.38589911869491839</v>
      </c>
      <c r="L172" t="str">
        <f t="shared" si="17"/>
        <v>2023-10</v>
      </c>
      <c r="M172">
        <f t="shared" si="15"/>
        <v>82.32</v>
      </c>
    </row>
    <row r="173" spans="1:13" x14ac:dyDescent="0.25">
      <c r="A173" s="1">
        <v>45451</v>
      </c>
      <c r="B173" t="s">
        <v>23</v>
      </c>
      <c r="C173" t="s">
        <v>11</v>
      </c>
      <c r="D173" t="s">
        <v>9</v>
      </c>
      <c r="E173">
        <v>900.7</v>
      </c>
      <c r="F173">
        <v>766.79</v>
      </c>
      <c r="G173">
        <v>10</v>
      </c>
      <c r="H173">
        <f t="shared" si="12"/>
        <v>9007</v>
      </c>
      <c r="I173">
        <f t="shared" si="16"/>
        <v>7667.9</v>
      </c>
      <c r="J173">
        <f t="shared" si="13"/>
        <v>1339.1000000000004</v>
      </c>
      <c r="K173" s="8">
        <f t="shared" si="14"/>
        <v>0.14867325413567228</v>
      </c>
      <c r="L173" t="str">
        <f t="shared" si="17"/>
        <v>2024-06</v>
      </c>
      <c r="M173">
        <f t="shared" si="15"/>
        <v>1339.1000000000004</v>
      </c>
    </row>
    <row r="174" spans="1:13" x14ac:dyDescent="0.25">
      <c r="A174" s="1">
        <v>45319</v>
      </c>
      <c r="B174" t="s">
        <v>25</v>
      </c>
      <c r="C174" t="s">
        <v>15</v>
      </c>
      <c r="D174" t="s">
        <v>17</v>
      </c>
      <c r="E174">
        <v>1043.31</v>
      </c>
      <c r="F174">
        <v>782.35</v>
      </c>
      <c r="G174">
        <v>6</v>
      </c>
      <c r="H174">
        <f t="shared" si="12"/>
        <v>6259.86</v>
      </c>
      <c r="I174">
        <f t="shared" si="16"/>
        <v>4694.1000000000004</v>
      </c>
      <c r="J174">
        <f t="shared" si="13"/>
        <v>1565.7599999999993</v>
      </c>
      <c r="K174" s="8">
        <f t="shared" si="14"/>
        <v>0.25012699964535939</v>
      </c>
      <c r="L174" t="str">
        <f t="shared" si="17"/>
        <v>2024-01</v>
      </c>
      <c r="M174">
        <f t="shared" si="15"/>
        <v>1565.7599999999993</v>
      </c>
    </row>
    <row r="175" spans="1:13" x14ac:dyDescent="0.25">
      <c r="A175" s="1">
        <v>45292</v>
      </c>
      <c r="B175" t="s">
        <v>19</v>
      </c>
      <c r="C175" t="s">
        <v>20</v>
      </c>
      <c r="D175" t="s">
        <v>17</v>
      </c>
      <c r="E175">
        <v>1202.71</v>
      </c>
      <c r="F175">
        <v>963.89</v>
      </c>
      <c r="G175">
        <v>8</v>
      </c>
      <c r="H175">
        <f t="shared" si="12"/>
        <v>9621.68</v>
      </c>
      <c r="I175">
        <f t="shared" si="16"/>
        <v>7711.12</v>
      </c>
      <c r="J175">
        <f t="shared" si="13"/>
        <v>1910.5600000000004</v>
      </c>
      <c r="K175" s="8">
        <f t="shared" si="14"/>
        <v>0.19856823340622431</v>
      </c>
      <c r="L175" t="str">
        <f t="shared" si="17"/>
        <v>2024-01</v>
      </c>
      <c r="M175">
        <f t="shared" si="15"/>
        <v>1910.5600000000004</v>
      </c>
    </row>
    <row r="176" spans="1:13" x14ac:dyDescent="0.25">
      <c r="A176" s="1">
        <v>45633</v>
      </c>
      <c r="B176" t="s">
        <v>23</v>
      </c>
      <c r="C176" t="s">
        <v>11</v>
      </c>
      <c r="D176" t="s">
        <v>9</v>
      </c>
      <c r="E176">
        <v>1984.5</v>
      </c>
      <c r="F176">
        <v>1502.91</v>
      </c>
      <c r="G176">
        <v>10</v>
      </c>
      <c r="H176">
        <f t="shared" si="12"/>
        <v>19845</v>
      </c>
      <c r="I176">
        <f t="shared" si="16"/>
        <v>15029.1</v>
      </c>
      <c r="J176">
        <f t="shared" si="13"/>
        <v>4815.8999999999996</v>
      </c>
      <c r="K176" s="8">
        <f t="shared" si="14"/>
        <v>0.24267573696145123</v>
      </c>
      <c r="L176" t="str">
        <f t="shared" si="17"/>
        <v>2024-12</v>
      </c>
      <c r="M176">
        <f t="shared" si="15"/>
        <v>4815.8999999999996</v>
      </c>
    </row>
    <row r="177" spans="1:13" x14ac:dyDescent="0.25">
      <c r="A177" s="1">
        <v>45390</v>
      </c>
      <c r="B177" t="s">
        <v>12</v>
      </c>
      <c r="C177" t="s">
        <v>8</v>
      </c>
      <c r="D177" t="s">
        <v>9</v>
      </c>
      <c r="E177">
        <v>338.37</v>
      </c>
      <c r="F177">
        <v>256.51</v>
      </c>
      <c r="G177">
        <v>9</v>
      </c>
      <c r="H177">
        <f t="shared" si="12"/>
        <v>3045.33</v>
      </c>
      <c r="I177">
        <f t="shared" si="16"/>
        <v>2308.59</v>
      </c>
      <c r="J177">
        <f t="shared" si="13"/>
        <v>736.73999999999978</v>
      </c>
      <c r="K177" s="8">
        <f t="shared" si="14"/>
        <v>0.24192452049531571</v>
      </c>
      <c r="L177" t="str">
        <f t="shared" si="17"/>
        <v>2024-04</v>
      </c>
      <c r="M177">
        <f t="shared" si="15"/>
        <v>736.73999999999978</v>
      </c>
    </row>
    <row r="178" spans="1:13" x14ac:dyDescent="0.25">
      <c r="A178" s="1">
        <v>45005</v>
      </c>
      <c r="B178" t="s">
        <v>21</v>
      </c>
      <c r="C178" t="s">
        <v>20</v>
      </c>
      <c r="D178" t="s">
        <v>17</v>
      </c>
      <c r="E178">
        <v>816.6</v>
      </c>
      <c r="F178">
        <v>655.71</v>
      </c>
      <c r="G178">
        <v>2</v>
      </c>
      <c r="H178">
        <f t="shared" si="12"/>
        <v>1633.2</v>
      </c>
      <c r="I178">
        <f t="shared" si="16"/>
        <v>1311.42</v>
      </c>
      <c r="J178">
        <f t="shared" si="13"/>
        <v>321.77999999999997</v>
      </c>
      <c r="K178" s="8">
        <f t="shared" si="14"/>
        <v>0.19702424687729608</v>
      </c>
      <c r="L178" t="str">
        <f t="shared" si="17"/>
        <v>2023-03</v>
      </c>
      <c r="M178">
        <f t="shared" si="15"/>
        <v>321.77999999999997</v>
      </c>
    </row>
    <row r="179" spans="1:13" x14ac:dyDescent="0.25">
      <c r="A179" s="1">
        <v>45026</v>
      </c>
      <c r="B179" t="s">
        <v>16</v>
      </c>
      <c r="C179" t="s">
        <v>15</v>
      </c>
      <c r="D179" t="s">
        <v>17</v>
      </c>
      <c r="E179">
        <v>518.04</v>
      </c>
      <c r="F179">
        <v>295.93</v>
      </c>
      <c r="G179">
        <v>7</v>
      </c>
      <c r="H179">
        <f t="shared" si="12"/>
        <v>3626.2799999999997</v>
      </c>
      <c r="I179">
        <f t="shared" si="16"/>
        <v>2071.5100000000002</v>
      </c>
      <c r="J179">
        <f t="shared" si="13"/>
        <v>1554.7699999999995</v>
      </c>
      <c r="K179" s="8">
        <f t="shared" si="14"/>
        <v>0.42875067562350389</v>
      </c>
      <c r="L179" t="str">
        <f t="shared" si="17"/>
        <v>2023-04</v>
      </c>
      <c r="M179">
        <f t="shared" si="15"/>
        <v>1554.7699999999995</v>
      </c>
    </row>
    <row r="180" spans="1:13" x14ac:dyDescent="0.25">
      <c r="A180" s="1">
        <v>44881</v>
      </c>
      <c r="B180" t="s">
        <v>12</v>
      </c>
      <c r="C180" t="s">
        <v>8</v>
      </c>
      <c r="D180" t="s">
        <v>9</v>
      </c>
      <c r="E180">
        <v>669.66</v>
      </c>
      <c r="F180">
        <v>372.09</v>
      </c>
      <c r="G180">
        <v>1</v>
      </c>
      <c r="H180">
        <f t="shared" si="12"/>
        <v>669.66</v>
      </c>
      <c r="I180">
        <f t="shared" si="16"/>
        <v>372.09</v>
      </c>
      <c r="J180">
        <f t="shared" si="13"/>
        <v>297.57</v>
      </c>
      <c r="K180" s="8">
        <f t="shared" si="14"/>
        <v>0.44435982438849564</v>
      </c>
      <c r="L180" t="str">
        <f t="shared" si="17"/>
        <v>2022-11</v>
      </c>
      <c r="M180">
        <f t="shared" si="15"/>
        <v>297.57</v>
      </c>
    </row>
    <row r="181" spans="1:13" x14ac:dyDescent="0.25">
      <c r="A181" s="1">
        <v>45044</v>
      </c>
      <c r="B181" t="s">
        <v>16</v>
      </c>
      <c r="C181" t="s">
        <v>15</v>
      </c>
      <c r="D181" t="s">
        <v>17</v>
      </c>
      <c r="E181">
        <v>438.29</v>
      </c>
      <c r="F181">
        <v>267.8</v>
      </c>
      <c r="G181">
        <v>7</v>
      </c>
      <c r="H181">
        <f t="shared" si="12"/>
        <v>3068.03</v>
      </c>
      <c r="I181">
        <f t="shared" si="16"/>
        <v>1874.6000000000001</v>
      </c>
      <c r="J181">
        <f t="shared" si="13"/>
        <v>1193.43</v>
      </c>
      <c r="K181" s="8">
        <f t="shared" si="14"/>
        <v>0.38898902553104109</v>
      </c>
      <c r="L181" t="str">
        <f t="shared" si="17"/>
        <v>2023-04</v>
      </c>
      <c r="M181">
        <f t="shared" si="15"/>
        <v>1193.43</v>
      </c>
    </row>
    <row r="182" spans="1:13" x14ac:dyDescent="0.25">
      <c r="A182" s="1">
        <v>45061</v>
      </c>
      <c r="B182" t="s">
        <v>10</v>
      </c>
      <c r="C182" t="s">
        <v>11</v>
      </c>
      <c r="D182" t="s">
        <v>18</v>
      </c>
      <c r="E182">
        <v>1644.83</v>
      </c>
      <c r="F182">
        <v>982.43</v>
      </c>
      <c r="G182">
        <v>8</v>
      </c>
      <c r="H182">
        <f t="shared" si="12"/>
        <v>13158.64</v>
      </c>
      <c r="I182">
        <f t="shared" si="16"/>
        <v>7859.44</v>
      </c>
      <c r="J182">
        <f t="shared" si="13"/>
        <v>5299.2</v>
      </c>
      <c r="K182" s="8">
        <f t="shared" si="14"/>
        <v>0.40271639014366228</v>
      </c>
      <c r="L182" t="str">
        <f t="shared" si="17"/>
        <v>2023-05</v>
      </c>
      <c r="M182">
        <f t="shared" si="15"/>
        <v>5299.2</v>
      </c>
    </row>
    <row r="183" spans="1:13" x14ac:dyDescent="0.25">
      <c r="A183" s="1">
        <v>45558</v>
      </c>
      <c r="B183" t="s">
        <v>10</v>
      </c>
      <c r="C183" t="s">
        <v>11</v>
      </c>
      <c r="D183" t="s">
        <v>13</v>
      </c>
      <c r="E183">
        <v>1178.71</v>
      </c>
      <c r="F183">
        <v>913.41</v>
      </c>
      <c r="G183">
        <v>9</v>
      </c>
      <c r="H183">
        <f t="shared" si="12"/>
        <v>10608.39</v>
      </c>
      <c r="I183">
        <f t="shared" si="16"/>
        <v>8220.69</v>
      </c>
      <c r="J183">
        <f t="shared" si="13"/>
        <v>2387.6999999999989</v>
      </c>
      <c r="K183" s="8">
        <f t="shared" si="14"/>
        <v>0.22507656675518142</v>
      </c>
      <c r="L183" t="str">
        <f t="shared" si="17"/>
        <v>2024-09</v>
      </c>
      <c r="M183">
        <f t="shared" si="15"/>
        <v>2387.6999999999989</v>
      </c>
    </row>
    <row r="184" spans="1:13" x14ac:dyDescent="0.25">
      <c r="A184" s="1">
        <v>45078</v>
      </c>
      <c r="B184" t="s">
        <v>24</v>
      </c>
      <c r="C184" t="s">
        <v>20</v>
      </c>
      <c r="D184" t="s">
        <v>9</v>
      </c>
      <c r="E184">
        <v>26.14</v>
      </c>
      <c r="F184">
        <v>17.63</v>
      </c>
      <c r="G184">
        <v>9</v>
      </c>
      <c r="H184">
        <f t="shared" si="12"/>
        <v>235.26</v>
      </c>
      <c r="I184">
        <f t="shared" si="16"/>
        <v>158.66999999999999</v>
      </c>
      <c r="J184">
        <f t="shared" si="13"/>
        <v>76.59</v>
      </c>
      <c r="K184" s="8">
        <f t="shared" si="14"/>
        <v>0.32555470543228771</v>
      </c>
      <c r="L184" t="str">
        <f t="shared" si="17"/>
        <v>2023-06</v>
      </c>
      <c r="M184">
        <f t="shared" si="15"/>
        <v>76.59</v>
      </c>
    </row>
    <row r="185" spans="1:13" x14ac:dyDescent="0.25">
      <c r="A185" s="1">
        <v>45220</v>
      </c>
      <c r="B185" t="s">
        <v>14</v>
      </c>
      <c r="C185" t="s">
        <v>15</v>
      </c>
      <c r="D185" t="s">
        <v>13</v>
      </c>
      <c r="E185">
        <v>207.2</v>
      </c>
      <c r="F185">
        <v>162.25</v>
      </c>
      <c r="G185">
        <v>2</v>
      </c>
      <c r="H185">
        <f t="shared" si="12"/>
        <v>414.4</v>
      </c>
      <c r="I185">
        <f t="shared" si="16"/>
        <v>324.5</v>
      </c>
      <c r="J185">
        <f t="shared" si="13"/>
        <v>89.899999999999977</v>
      </c>
      <c r="K185" s="8">
        <f t="shared" si="14"/>
        <v>0.21694015444015441</v>
      </c>
      <c r="L185" t="str">
        <f t="shared" si="17"/>
        <v>2023-10</v>
      </c>
      <c r="M185">
        <f t="shared" si="15"/>
        <v>89.899999999999977</v>
      </c>
    </row>
    <row r="186" spans="1:13" x14ac:dyDescent="0.25">
      <c r="A186" s="1">
        <v>44595</v>
      </c>
      <c r="B186" t="s">
        <v>10</v>
      </c>
      <c r="C186" t="s">
        <v>11</v>
      </c>
      <c r="D186" t="s">
        <v>17</v>
      </c>
      <c r="E186">
        <v>553.69000000000005</v>
      </c>
      <c r="F186">
        <v>291.12</v>
      </c>
      <c r="G186">
        <v>6</v>
      </c>
      <c r="H186">
        <f t="shared" si="12"/>
        <v>3322.1400000000003</v>
      </c>
      <c r="I186">
        <f t="shared" si="16"/>
        <v>1746.72</v>
      </c>
      <c r="J186">
        <f t="shared" si="13"/>
        <v>1575.4200000000003</v>
      </c>
      <c r="K186" s="8">
        <f t="shared" si="14"/>
        <v>0.47421842547273751</v>
      </c>
      <c r="L186" t="str">
        <f t="shared" si="17"/>
        <v>2022-02</v>
      </c>
      <c r="M186">
        <f t="shared" si="15"/>
        <v>1575.4200000000003</v>
      </c>
    </row>
    <row r="187" spans="1:13" x14ac:dyDescent="0.25">
      <c r="A187" s="1">
        <v>44715</v>
      </c>
      <c r="B187" t="s">
        <v>14</v>
      </c>
      <c r="C187" t="s">
        <v>15</v>
      </c>
      <c r="D187" t="s">
        <v>18</v>
      </c>
      <c r="E187">
        <v>101.62</v>
      </c>
      <c r="F187">
        <v>80.680000000000007</v>
      </c>
      <c r="G187">
        <v>10</v>
      </c>
      <c r="H187">
        <f t="shared" si="12"/>
        <v>1016.2</v>
      </c>
      <c r="I187">
        <f t="shared" si="16"/>
        <v>806.80000000000007</v>
      </c>
      <c r="J187">
        <f t="shared" si="13"/>
        <v>209.39999999999998</v>
      </c>
      <c r="K187" s="8">
        <f t="shared" si="14"/>
        <v>0.20606179885849238</v>
      </c>
      <c r="L187" t="str">
        <f t="shared" si="17"/>
        <v>2022-06</v>
      </c>
      <c r="M187">
        <f t="shared" si="15"/>
        <v>209.39999999999998</v>
      </c>
    </row>
    <row r="188" spans="1:13" x14ac:dyDescent="0.25">
      <c r="A188" s="1">
        <v>45524</v>
      </c>
      <c r="B188" t="s">
        <v>23</v>
      </c>
      <c r="C188" t="s">
        <v>11</v>
      </c>
      <c r="D188" t="s">
        <v>9</v>
      </c>
      <c r="E188">
        <v>705.69</v>
      </c>
      <c r="F188">
        <v>586.69000000000005</v>
      </c>
      <c r="G188">
        <v>4</v>
      </c>
      <c r="H188">
        <f t="shared" si="12"/>
        <v>2822.76</v>
      </c>
      <c r="I188">
        <f t="shared" si="16"/>
        <v>2346.7600000000002</v>
      </c>
      <c r="J188">
        <f t="shared" si="13"/>
        <v>476</v>
      </c>
      <c r="K188" s="8">
        <f t="shared" si="14"/>
        <v>0.168629284813445</v>
      </c>
      <c r="L188" t="str">
        <f t="shared" si="17"/>
        <v>2024-08</v>
      </c>
      <c r="M188">
        <f t="shared" si="15"/>
        <v>476</v>
      </c>
    </row>
    <row r="189" spans="1:13" x14ac:dyDescent="0.25">
      <c r="A189" s="1">
        <v>44671</v>
      </c>
      <c r="B189" t="s">
        <v>10</v>
      </c>
      <c r="C189" t="s">
        <v>11</v>
      </c>
      <c r="D189" t="s">
        <v>17</v>
      </c>
      <c r="E189">
        <v>295.49</v>
      </c>
      <c r="F189">
        <v>157.51</v>
      </c>
      <c r="G189">
        <v>2</v>
      </c>
      <c r="H189">
        <f t="shared" si="12"/>
        <v>590.98</v>
      </c>
      <c r="I189">
        <f t="shared" si="16"/>
        <v>315.02</v>
      </c>
      <c r="J189">
        <f t="shared" si="13"/>
        <v>275.96000000000004</v>
      </c>
      <c r="K189" s="8">
        <f t="shared" si="14"/>
        <v>0.46695319638566452</v>
      </c>
      <c r="L189" t="str">
        <f t="shared" si="17"/>
        <v>2022-04</v>
      </c>
      <c r="M189">
        <f t="shared" si="15"/>
        <v>275.96000000000004</v>
      </c>
    </row>
    <row r="190" spans="1:13" x14ac:dyDescent="0.25">
      <c r="A190" s="1">
        <v>44965</v>
      </c>
      <c r="B190" t="s">
        <v>7</v>
      </c>
      <c r="C190" t="s">
        <v>8</v>
      </c>
      <c r="D190" t="s">
        <v>17</v>
      </c>
      <c r="E190">
        <v>1269.52</v>
      </c>
      <c r="F190">
        <v>936.16</v>
      </c>
      <c r="G190">
        <v>1</v>
      </c>
      <c r="H190">
        <f t="shared" si="12"/>
        <v>1269.52</v>
      </c>
      <c r="I190">
        <f t="shared" si="16"/>
        <v>936.16</v>
      </c>
      <c r="J190">
        <f t="shared" si="13"/>
        <v>333.36</v>
      </c>
      <c r="K190" s="8">
        <f t="shared" si="14"/>
        <v>0.26258743462095913</v>
      </c>
      <c r="L190" t="str">
        <f t="shared" si="17"/>
        <v>2023-02</v>
      </c>
      <c r="M190">
        <f t="shared" si="15"/>
        <v>333.36</v>
      </c>
    </row>
    <row r="191" spans="1:13" x14ac:dyDescent="0.25">
      <c r="A191" s="1">
        <v>44725</v>
      </c>
      <c r="B191" t="s">
        <v>19</v>
      </c>
      <c r="C191" t="s">
        <v>20</v>
      </c>
      <c r="D191" t="s">
        <v>13</v>
      </c>
      <c r="E191">
        <v>375.07</v>
      </c>
      <c r="F191">
        <v>191.48</v>
      </c>
      <c r="G191">
        <v>2</v>
      </c>
      <c r="H191">
        <f t="shared" si="12"/>
        <v>750.14</v>
      </c>
      <c r="I191">
        <f t="shared" si="16"/>
        <v>382.96</v>
      </c>
      <c r="J191">
        <f t="shared" si="13"/>
        <v>367.18</v>
      </c>
      <c r="K191" s="8">
        <f t="shared" si="14"/>
        <v>0.48948196336683819</v>
      </c>
      <c r="L191" t="str">
        <f t="shared" si="17"/>
        <v>2022-06</v>
      </c>
      <c r="M191">
        <f t="shared" si="15"/>
        <v>367.18</v>
      </c>
    </row>
    <row r="192" spans="1:13" x14ac:dyDescent="0.25">
      <c r="A192" s="1">
        <v>45532</v>
      </c>
      <c r="B192" t="s">
        <v>16</v>
      </c>
      <c r="C192" t="s">
        <v>15</v>
      </c>
      <c r="D192" t="s">
        <v>18</v>
      </c>
      <c r="E192">
        <v>546.9</v>
      </c>
      <c r="F192">
        <v>468.55</v>
      </c>
      <c r="G192">
        <v>5</v>
      </c>
      <c r="H192">
        <f t="shared" si="12"/>
        <v>2734.5</v>
      </c>
      <c r="I192">
        <f t="shared" si="16"/>
        <v>2342.75</v>
      </c>
      <c r="J192">
        <f t="shared" si="13"/>
        <v>391.75</v>
      </c>
      <c r="K192" s="8">
        <f t="shared" si="14"/>
        <v>0.14326202230755167</v>
      </c>
      <c r="L192" t="str">
        <f t="shared" si="17"/>
        <v>2024-08</v>
      </c>
      <c r="M192">
        <f t="shared" si="15"/>
        <v>391.75</v>
      </c>
    </row>
    <row r="193" spans="1:13" x14ac:dyDescent="0.25">
      <c r="A193" s="1">
        <v>44684</v>
      </c>
      <c r="B193" t="s">
        <v>24</v>
      </c>
      <c r="C193" t="s">
        <v>20</v>
      </c>
      <c r="D193" t="s">
        <v>9</v>
      </c>
      <c r="E193">
        <v>606.52</v>
      </c>
      <c r="F193">
        <v>516.75</v>
      </c>
      <c r="G193">
        <v>10</v>
      </c>
      <c r="H193">
        <f t="shared" si="12"/>
        <v>6065.2</v>
      </c>
      <c r="I193">
        <f t="shared" si="16"/>
        <v>5167.5</v>
      </c>
      <c r="J193">
        <f t="shared" si="13"/>
        <v>897.69999999999982</v>
      </c>
      <c r="K193" s="8">
        <f t="shared" si="14"/>
        <v>0.14800830970124643</v>
      </c>
      <c r="L193" t="str">
        <f t="shared" si="17"/>
        <v>2022-05</v>
      </c>
      <c r="M193">
        <f t="shared" si="15"/>
        <v>897.69999999999982</v>
      </c>
    </row>
    <row r="194" spans="1:13" x14ac:dyDescent="0.25">
      <c r="A194" s="1">
        <v>45285</v>
      </c>
      <c r="B194" t="s">
        <v>24</v>
      </c>
      <c r="C194" t="s">
        <v>20</v>
      </c>
      <c r="D194" t="s">
        <v>13</v>
      </c>
      <c r="E194">
        <v>466.48</v>
      </c>
      <c r="F194">
        <v>304.44</v>
      </c>
      <c r="G194">
        <v>5</v>
      </c>
      <c r="H194">
        <f t="shared" si="12"/>
        <v>2332.4</v>
      </c>
      <c r="I194">
        <f t="shared" si="16"/>
        <v>1522.2</v>
      </c>
      <c r="J194">
        <f t="shared" si="13"/>
        <v>810.2</v>
      </c>
      <c r="K194" s="8">
        <f t="shared" si="14"/>
        <v>0.34736751843594582</v>
      </c>
      <c r="L194" t="str">
        <f t="shared" si="17"/>
        <v>2023-12</v>
      </c>
      <c r="M194">
        <f t="shared" si="15"/>
        <v>810.2</v>
      </c>
    </row>
    <row r="195" spans="1:13" x14ac:dyDescent="0.25">
      <c r="A195" s="1">
        <v>45453</v>
      </c>
      <c r="B195" t="s">
        <v>7</v>
      </c>
      <c r="C195" t="s">
        <v>8</v>
      </c>
      <c r="D195" t="s">
        <v>9</v>
      </c>
      <c r="E195">
        <v>969.55</v>
      </c>
      <c r="F195">
        <v>701.33</v>
      </c>
      <c r="G195">
        <v>9</v>
      </c>
      <c r="H195">
        <f t="shared" ref="H195:H258" si="18">E195*G195</f>
        <v>8725.9499999999989</v>
      </c>
      <c r="I195">
        <f t="shared" si="16"/>
        <v>6311.97</v>
      </c>
      <c r="J195">
        <f t="shared" ref="J195:J258" si="19">H195-I195</f>
        <v>2413.9799999999987</v>
      </c>
      <c r="K195" s="8">
        <f t="shared" ref="K195:K258" si="20">(H195-I195)/H195</f>
        <v>0.27664380382651732</v>
      </c>
      <c r="L195" t="str">
        <f t="shared" si="17"/>
        <v>2024-06</v>
      </c>
      <c r="M195">
        <f t="shared" ref="M195:M258" si="21">H195-I195</f>
        <v>2413.9799999999987</v>
      </c>
    </row>
    <row r="196" spans="1:13" x14ac:dyDescent="0.25">
      <c r="A196" s="1">
        <v>44718</v>
      </c>
      <c r="B196" t="s">
        <v>7</v>
      </c>
      <c r="C196" t="s">
        <v>8</v>
      </c>
      <c r="D196" t="s">
        <v>17</v>
      </c>
      <c r="E196">
        <v>698.11</v>
      </c>
      <c r="F196">
        <v>440.57</v>
      </c>
      <c r="G196">
        <v>8</v>
      </c>
      <c r="H196">
        <f t="shared" si="18"/>
        <v>5584.88</v>
      </c>
      <c r="I196">
        <f t="shared" ref="I196:I259" si="22">F196*G196</f>
        <v>3524.56</v>
      </c>
      <c r="J196">
        <f t="shared" si="19"/>
        <v>2060.3200000000002</v>
      </c>
      <c r="K196" s="8">
        <f t="shared" si="20"/>
        <v>0.36891034364211944</v>
      </c>
      <c r="L196" t="str">
        <f t="shared" ref="L196:L259" si="23">TEXT(A196,"rrrr-mm")</f>
        <v>2022-06</v>
      </c>
      <c r="M196">
        <f t="shared" si="21"/>
        <v>2060.3200000000002</v>
      </c>
    </row>
    <row r="197" spans="1:13" x14ac:dyDescent="0.25">
      <c r="A197" s="1">
        <v>45068</v>
      </c>
      <c r="B197" t="s">
        <v>23</v>
      </c>
      <c r="C197" t="s">
        <v>11</v>
      </c>
      <c r="D197" t="s">
        <v>17</v>
      </c>
      <c r="E197">
        <v>930.51</v>
      </c>
      <c r="F197">
        <v>645.79999999999995</v>
      </c>
      <c r="G197">
        <v>1</v>
      </c>
      <c r="H197">
        <f t="shared" si="18"/>
        <v>930.51</v>
      </c>
      <c r="I197">
        <f t="shared" si="22"/>
        <v>645.79999999999995</v>
      </c>
      <c r="J197">
        <f t="shared" si="19"/>
        <v>284.71000000000004</v>
      </c>
      <c r="K197" s="8">
        <f t="shared" si="20"/>
        <v>0.30597199385283341</v>
      </c>
      <c r="L197" t="str">
        <f t="shared" si="23"/>
        <v>2023-05</v>
      </c>
      <c r="M197">
        <f t="shared" si="21"/>
        <v>284.71000000000004</v>
      </c>
    </row>
    <row r="198" spans="1:13" x14ac:dyDescent="0.25">
      <c r="A198" s="1">
        <v>44584</v>
      </c>
      <c r="B198" t="s">
        <v>7</v>
      </c>
      <c r="C198" t="s">
        <v>8</v>
      </c>
      <c r="D198" t="s">
        <v>17</v>
      </c>
      <c r="E198">
        <v>483.41</v>
      </c>
      <c r="F198">
        <v>422.1</v>
      </c>
      <c r="G198">
        <v>8</v>
      </c>
      <c r="H198">
        <f t="shared" si="18"/>
        <v>3867.28</v>
      </c>
      <c r="I198">
        <f t="shared" si="22"/>
        <v>3376.8</v>
      </c>
      <c r="J198">
        <f t="shared" si="19"/>
        <v>490.48</v>
      </c>
      <c r="K198" s="8">
        <f t="shared" si="20"/>
        <v>0.12682815829213298</v>
      </c>
      <c r="L198" t="str">
        <f t="shared" si="23"/>
        <v>2022-01</v>
      </c>
      <c r="M198">
        <f t="shared" si="21"/>
        <v>490.48</v>
      </c>
    </row>
    <row r="199" spans="1:13" x14ac:dyDescent="0.25">
      <c r="A199" s="1">
        <v>45022</v>
      </c>
      <c r="B199" t="s">
        <v>19</v>
      </c>
      <c r="C199" t="s">
        <v>20</v>
      </c>
      <c r="D199" t="s">
        <v>9</v>
      </c>
      <c r="E199">
        <v>536.24</v>
      </c>
      <c r="F199">
        <v>398.75</v>
      </c>
      <c r="G199">
        <v>2</v>
      </c>
      <c r="H199">
        <f t="shared" si="18"/>
        <v>1072.48</v>
      </c>
      <c r="I199">
        <f t="shared" si="22"/>
        <v>797.5</v>
      </c>
      <c r="J199">
        <f t="shared" si="19"/>
        <v>274.98</v>
      </c>
      <c r="K199" s="8">
        <f t="shared" si="20"/>
        <v>0.25639638967626438</v>
      </c>
      <c r="L199" t="str">
        <f t="shared" si="23"/>
        <v>2023-04</v>
      </c>
      <c r="M199">
        <f t="shared" si="21"/>
        <v>274.98</v>
      </c>
    </row>
    <row r="200" spans="1:13" x14ac:dyDescent="0.25">
      <c r="A200" s="1">
        <v>44758</v>
      </c>
      <c r="B200" t="s">
        <v>7</v>
      </c>
      <c r="C200" t="s">
        <v>8</v>
      </c>
      <c r="D200" t="s">
        <v>13</v>
      </c>
      <c r="E200">
        <v>430.42</v>
      </c>
      <c r="F200">
        <v>280.32</v>
      </c>
      <c r="G200">
        <v>5</v>
      </c>
      <c r="H200">
        <f t="shared" si="18"/>
        <v>2152.1</v>
      </c>
      <c r="I200">
        <f t="shared" si="22"/>
        <v>1401.6</v>
      </c>
      <c r="J200">
        <f t="shared" si="19"/>
        <v>750.5</v>
      </c>
      <c r="K200" s="8">
        <f t="shared" si="20"/>
        <v>0.3487291482737791</v>
      </c>
      <c r="L200" t="str">
        <f t="shared" si="23"/>
        <v>2022-07</v>
      </c>
      <c r="M200">
        <f t="shared" si="21"/>
        <v>750.5</v>
      </c>
    </row>
    <row r="201" spans="1:13" x14ac:dyDescent="0.25">
      <c r="A201" s="1">
        <v>44683</v>
      </c>
      <c r="B201" t="s">
        <v>24</v>
      </c>
      <c r="C201" t="s">
        <v>20</v>
      </c>
      <c r="D201" t="s">
        <v>17</v>
      </c>
      <c r="E201">
        <v>258.92</v>
      </c>
      <c r="F201">
        <v>135.03</v>
      </c>
      <c r="G201">
        <v>3</v>
      </c>
      <c r="H201">
        <f t="shared" si="18"/>
        <v>776.76</v>
      </c>
      <c r="I201">
        <f t="shared" si="22"/>
        <v>405.09000000000003</v>
      </c>
      <c r="J201">
        <f t="shared" si="19"/>
        <v>371.66999999999996</v>
      </c>
      <c r="K201" s="8">
        <f t="shared" si="20"/>
        <v>0.47848756372624746</v>
      </c>
      <c r="L201" t="str">
        <f t="shared" si="23"/>
        <v>2022-05</v>
      </c>
      <c r="M201">
        <f t="shared" si="21"/>
        <v>371.66999999999996</v>
      </c>
    </row>
    <row r="202" spans="1:13" x14ac:dyDescent="0.25">
      <c r="A202" s="1">
        <v>45225</v>
      </c>
      <c r="B202" t="s">
        <v>23</v>
      </c>
      <c r="C202" t="s">
        <v>11</v>
      </c>
      <c r="D202" t="s">
        <v>9</v>
      </c>
      <c r="E202">
        <v>1807.92</v>
      </c>
      <c r="F202">
        <v>1349.5</v>
      </c>
      <c r="G202">
        <v>7</v>
      </c>
      <c r="H202">
        <f t="shared" si="18"/>
        <v>12655.44</v>
      </c>
      <c r="I202">
        <f t="shared" si="22"/>
        <v>9446.5</v>
      </c>
      <c r="J202">
        <f t="shared" si="19"/>
        <v>3208.9400000000005</v>
      </c>
      <c r="K202" s="8">
        <f t="shared" si="20"/>
        <v>0.25356210451789907</v>
      </c>
      <c r="L202" t="str">
        <f t="shared" si="23"/>
        <v>2023-10</v>
      </c>
      <c r="M202">
        <f t="shared" si="21"/>
        <v>3208.9400000000005</v>
      </c>
    </row>
    <row r="203" spans="1:13" x14ac:dyDescent="0.25">
      <c r="A203" s="1">
        <v>45566</v>
      </c>
      <c r="B203" t="s">
        <v>16</v>
      </c>
      <c r="C203" t="s">
        <v>15</v>
      </c>
      <c r="D203" t="s">
        <v>17</v>
      </c>
      <c r="E203">
        <v>806.93</v>
      </c>
      <c r="F203">
        <v>649.66999999999996</v>
      </c>
      <c r="G203">
        <v>5</v>
      </c>
      <c r="H203">
        <f t="shared" si="18"/>
        <v>4034.6499999999996</v>
      </c>
      <c r="I203">
        <f t="shared" si="22"/>
        <v>3248.35</v>
      </c>
      <c r="J203">
        <f t="shared" si="19"/>
        <v>786.29999999999973</v>
      </c>
      <c r="K203" s="8">
        <f t="shared" si="20"/>
        <v>0.19488679315430082</v>
      </c>
      <c r="L203" t="str">
        <f t="shared" si="23"/>
        <v>2024-10</v>
      </c>
      <c r="M203">
        <f t="shared" si="21"/>
        <v>786.29999999999973</v>
      </c>
    </row>
    <row r="204" spans="1:13" x14ac:dyDescent="0.25">
      <c r="A204" s="1">
        <v>44656</v>
      </c>
      <c r="B204" t="s">
        <v>7</v>
      </c>
      <c r="C204" t="s">
        <v>8</v>
      </c>
      <c r="D204" t="s">
        <v>18</v>
      </c>
      <c r="E204">
        <v>220.8</v>
      </c>
      <c r="F204">
        <v>111.76</v>
      </c>
      <c r="G204">
        <v>9</v>
      </c>
      <c r="H204">
        <f t="shared" si="18"/>
        <v>1987.2</v>
      </c>
      <c r="I204">
        <f t="shared" si="22"/>
        <v>1005.84</v>
      </c>
      <c r="J204">
        <f t="shared" si="19"/>
        <v>981.36</v>
      </c>
      <c r="K204" s="8">
        <f t="shared" si="20"/>
        <v>0.49384057971014494</v>
      </c>
      <c r="L204" t="str">
        <f t="shared" si="23"/>
        <v>2022-04</v>
      </c>
      <c r="M204">
        <f t="shared" si="21"/>
        <v>981.36</v>
      </c>
    </row>
    <row r="205" spans="1:13" x14ac:dyDescent="0.25">
      <c r="A205" s="1">
        <v>45455</v>
      </c>
      <c r="B205" t="s">
        <v>25</v>
      </c>
      <c r="C205" t="s">
        <v>15</v>
      </c>
      <c r="D205" t="s">
        <v>17</v>
      </c>
      <c r="E205">
        <v>687.86</v>
      </c>
      <c r="F205">
        <v>497.41</v>
      </c>
      <c r="G205">
        <v>4</v>
      </c>
      <c r="H205">
        <f t="shared" si="18"/>
        <v>2751.44</v>
      </c>
      <c r="I205">
        <f t="shared" si="22"/>
        <v>1989.64</v>
      </c>
      <c r="J205">
        <f t="shared" si="19"/>
        <v>761.8</v>
      </c>
      <c r="K205" s="8">
        <f t="shared" si="20"/>
        <v>0.27687320094205214</v>
      </c>
      <c r="L205" t="str">
        <f t="shared" si="23"/>
        <v>2024-06</v>
      </c>
      <c r="M205">
        <f t="shared" si="21"/>
        <v>761.8</v>
      </c>
    </row>
    <row r="206" spans="1:13" x14ac:dyDescent="0.25">
      <c r="A206" s="1">
        <v>44609</v>
      </c>
      <c r="B206" t="s">
        <v>10</v>
      </c>
      <c r="C206" t="s">
        <v>11</v>
      </c>
      <c r="D206" t="s">
        <v>17</v>
      </c>
      <c r="E206">
        <v>393.79</v>
      </c>
      <c r="F206">
        <v>258.57</v>
      </c>
      <c r="G206">
        <v>5</v>
      </c>
      <c r="H206">
        <f t="shared" si="18"/>
        <v>1968.95</v>
      </c>
      <c r="I206">
        <f t="shared" si="22"/>
        <v>1292.8499999999999</v>
      </c>
      <c r="J206">
        <f t="shared" si="19"/>
        <v>676.10000000000014</v>
      </c>
      <c r="K206" s="8">
        <f t="shared" si="20"/>
        <v>0.34338098986769605</v>
      </c>
      <c r="L206" t="str">
        <f t="shared" si="23"/>
        <v>2022-02</v>
      </c>
      <c r="M206">
        <f t="shared" si="21"/>
        <v>676.10000000000014</v>
      </c>
    </row>
    <row r="207" spans="1:13" x14ac:dyDescent="0.25">
      <c r="A207" s="1">
        <v>45235</v>
      </c>
      <c r="B207" t="s">
        <v>12</v>
      </c>
      <c r="C207" t="s">
        <v>8</v>
      </c>
      <c r="D207" t="s">
        <v>17</v>
      </c>
      <c r="E207">
        <v>1584.13</v>
      </c>
      <c r="F207">
        <v>1386.01</v>
      </c>
      <c r="G207">
        <v>7</v>
      </c>
      <c r="H207">
        <f t="shared" si="18"/>
        <v>11088.91</v>
      </c>
      <c r="I207">
        <f t="shared" si="22"/>
        <v>9702.07</v>
      </c>
      <c r="J207">
        <f t="shared" si="19"/>
        <v>1386.8400000000001</v>
      </c>
      <c r="K207" s="8">
        <f t="shared" si="20"/>
        <v>0.1250654933622872</v>
      </c>
      <c r="L207" t="str">
        <f t="shared" si="23"/>
        <v>2023-11</v>
      </c>
      <c r="M207">
        <f t="shared" si="21"/>
        <v>1386.8400000000001</v>
      </c>
    </row>
    <row r="208" spans="1:13" x14ac:dyDescent="0.25">
      <c r="A208" s="1">
        <v>44654</v>
      </c>
      <c r="B208" t="s">
        <v>23</v>
      </c>
      <c r="C208" t="s">
        <v>11</v>
      </c>
      <c r="D208" t="s">
        <v>13</v>
      </c>
      <c r="E208">
        <v>375.7</v>
      </c>
      <c r="F208">
        <v>287.77</v>
      </c>
      <c r="G208">
        <v>3</v>
      </c>
      <c r="H208">
        <f t="shared" si="18"/>
        <v>1127.0999999999999</v>
      </c>
      <c r="I208">
        <f t="shared" si="22"/>
        <v>863.31</v>
      </c>
      <c r="J208">
        <f t="shared" si="19"/>
        <v>263.78999999999996</v>
      </c>
      <c r="K208" s="8">
        <f t="shared" si="20"/>
        <v>0.23404311951024753</v>
      </c>
      <c r="L208" t="str">
        <f t="shared" si="23"/>
        <v>2022-04</v>
      </c>
      <c r="M208">
        <f t="shared" si="21"/>
        <v>263.78999999999996</v>
      </c>
    </row>
    <row r="209" spans="1:13" x14ac:dyDescent="0.25">
      <c r="A209" s="1">
        <v>44795</v>
      </c>
      <c r="B209" t="s">
        <v>25</v>
      </c>
      <c r="C209" t="s">
        <v>15</v>
      </c>
      <c r="D209" t="s">
        <v>18</v>
      </c>
      <c r="E209">
        <v>340.24</v>
      </c>
      <c r="F209">
        <v>209.44</v>
      </c>
      <c r="G209">
        <v>3</v>
      </c>
      <c r="H209">
        <f t="shared" si="18"/>
        <v>1020.72</v>
      </c>
      <c r="I209">
        <f t="shared" si="22"/>
        <v>628.31999999999994</v>
      </c>
      <c r="J209">
        <f t="shared" si="19"/>
        <v>392.40000000000009</v>
      </c>
      <c r="K209" s="8">
        <f t="shared" si="20"/>
        <v>0.38443451681166241</v>
      </c>
      <c r="L209" t="str">
        <f t="shared" si="23"/>
        <v>2022-08</v>
      </c>
      <c r="M209">
        <f t="shared" si="21"/>
        <v>392.40000000000009</v>
      </c>
    </row>
    <row r="210" spans="1:13" x14ac:dyDescent="0.25">
      <c r="A210" s="1">
        <v>45000</v>
      </c>
      <c r="B210" t="s">
        <v>23</v>
      </c>
      <c r="C210" t="s">
        <v>11</v>
      </c>
      <c r="D210" t="s">
        <v>13</v>
      </c>
      <c r="E210">
        <v>1780.59</v>
      </c>
      <c r="F210">
        <v>936.63</v>
      </c>
      <c r="G210">
        <v>1</v>
      </c>
      <c r="H210">
        <f t="shared" si="18"/>
        <v>1780.59</v>
      </c>
      <c r="I210">
        <f t="shared" si="22"/>
        <v>936.63</v>
      </c>
      <c r="J210">
        <f t="shared" si="19"/>
        <v>843.95999999999992</v>
      </c>
      <c r="K210" s="8">
        <f t="shared" si="20"/>
        <v>0.47397772648391823</v>
      </c>
      <c r="L210" t="str">
        <f t="shared" si="23"/>
        <v>2023-03</v>
      </c>
      <c r="M210">
        <f t="shared" si="21"/>
        <v>843.95999999999992</v>
      </c>
    </row>
    <row r="211" spans="1:13" x14ac:dyDescent="0.25">
      <c r="A211" s="1">
        <v>44973</v>
      </c>
      <c r="B211" t="s">
        <v>23</v>
      </c>
      <c r="C211" t="s">
        <v>11</v>
      </c>
      <c r="D211" t="s">
        <v>9</v>
      </c>
      <c r="E211">
        <v>1206.44</v>
      </c>
      <c r="F211">
        <v>849.26</v>
      </c>
      <c r="G211">
        <v>1</v>
      </c>
      <c r="H211">
        <f t="shared" si="18"/>
        <v>1206.44</v>
      </c>
      <c r="I211">
        <f t="shared" si="22"/>
        <v>849.26</v>
      </c>
      <c r="J211">
        <f t="shared" si="19"/>
        <v>357.18000000000006</v>
      </c>
      <c r="K211" s="8">
        <f t="shared" si="20"/>
        <v>0.29606113855641397</v>
      </c>
      <c r="L211" t="str">
        <f t="shared" si="23"/>
        <v>2023-02</v>
      </c>
      <c r="M211">
        <f t="shared" si="21"/>
        <v>357.18000000000006</v>
      </c>
    </row>
    <row r="212" spans="1:13" x14ac:dyDescent="0.25">
      <c r="A212" s="1">
        <v>45228</v>
      </c>
      <c r="B212" t="s">
        <v>16</v>
      </c>
      <c r="C212" t="s">
        <v>15</v>
      </c>
      <c r="D212" t="s">
        <v>13</v>
      </c>
      <c r="E212">
        <v>933.22</v>
      </c>
      <c r="F212">
        <v>519.69000000000005</v>
      </c>
      <c r="G212">
        <v>2</v>
      </c>
      <c r="H212">
        <f t="shared" si="18"/>
        <v>1866.44</v>
      </c>
      <c r="I212">
        <f t="shared" si="22"/>
        <v>1039.3800000000001</v>
      </c>
      <c r="J212">
        <f t="shared" si="19"/>
        <v>827.06</v>
      </c>
      <c r="K212" s="8">
        <f t="shared" si="20"/>
        <v>0.44312166477357962</v>
      </c>
      <c r="L212" t="str">
        <f t="shared" si="23"/>
        <v>2023-10</v>
      </c>
      <c r="M212">
        <f t="shared" si="21"/>
        <v>827.06</v>
      </c>
    </row>
    <row r="213" spans="1:13" x14ac:dyDescent="0.25">
      <c r="A213" s="1">
        <v>45379</v>
      </c>
      <c r="B213" t="s">
        <v>7</v>
      </c>
      <c r="C213" t="s">
        <v>8</v>
      </c>
      <c r="D213" t="s">
        <v>13</v>
      </c>
      <c r="E213">
        <v>615.29999999999995</v>
      </c>
      <c r="F213">
        <v>535.69000000000005</v>
      </c>
      <c r="G213">
        <v>8</v>
      </c>
      <c r="H213">
        <f t="shared" si="18"/>
        <v>4922.3999999999996</v>
      </c>
      <c r="I213">
        <f t="shared" si="22"/>
        <v>4285.5200000000004</v>
      </c>
      <c r="J213">
        <f t="shared" si="19"/>
        <v>636.8799999999992</v>
      </c>
      <c r="K213" s="8">
        <f t="shared" si="20"/>
        <v>0.12938404030554185</v>
      </c>
      <c r="L213" t="str">
        <f t="shared" si="23"/>
        <v>2024-03</v>
      </c>
      <c r="M213">
        <f t="shared" si="21"/>
        <v>636.8799999999992</v>
      </c>
    </row>
    <row r="214" spans="1:13" x14ac:dyDescent="0.25">
      <c r="A214" s="1">
        <v>44611</v>
      </c>
      <c r="B214" t="s">
        <v>19</v>
      </c>
      <c r="C214" t="s">
        <v>20</v>
      </c>
      <c r="D214" t="s">
        <v>13</v>
      </c>
      <c r="E214">
        <v>1068.22</v>
      </c>
      <c r="F214">
        <v>596.02</v>
      </c>
      <c r="G214">
        <v>9</v>
      </c>
      <c r="H214">
        <f t="shared" si="18"/>
        <v>9613.98</v>
      </c>
      <c r="I214">
        <f t="shared" si="22"/>
        <v>5364.18</v>
      </c>
      <c r="J214">
        <f t="shared" si="19"/>
        <v>4249.7999999999993</v>
      </c>
      <c r="K214" s="8">
        <f t="shared" si="20"/>
        <v>0.44204377375447002</v>
      </c>
      <c r="L214" t="str">
        <f t="shared" si="23"/>
        <v>2022-02</v>
      </c>
      <c r="M214">
        <f t="shared" si="21"/>
        <v>4249.7999999999993</v>
      </c>
    </row>
    <row r="215" spans="1:13" x14ac:dyDescent="0.25">
      <c r="A215" s="1">
        <v>44597</v>
      </c>
      <c r="B215" t="s">
        <v>10</v>
      </c>
      <c r="C215" t="s">
        <v>11</v>
      </c>
      <c r="D215" t="s">
        <v>9</v>
      </c>
      <c r="E215">
        <v>1101.6099999999999</v>
      </c>
      <c r="F215">
        <v>709.71</v>
      </c>
      <c r="G215">
        <v>3</v>
      </c>
      <c r="H215">
        <f t="shared" si="18"/>
        <v>3304.83</v>
      </c>
      <c r="I215">
        <f t="shared" si="22"/>
        <v>2129.13</v>
      </c>
      <c r="J215">
        <f t="shared" si="19"/>
        <v>1175.6999999999998</v>
      </c>
      <c r="K215" s="8">
        <f t="shared" si="20"/>
        <v>0.35575203565690211</v>
      </c>
      <c r="L215" t="str">
        <f t="shared" si="23"/>
        <v>2022-02</v>
      </c>
      <c r="M215">
        <f t="shared" si="21"/>
        <v>1175.6999999999998</v>
      </c>
    </row>
    <row r="216" spans="1:13" x14ac:dyDescent="0.25">
      <c r="A216" s="1">
        <v>45080</v>
      </c>
      <c r="B216" t="s">
        <v>16</v>
      </c>
      <c r="C216" t="s">
        <v>15</v>
      </c>
      <c r="D216" t="s">
        <v>17</v>
      </c>
      <c r="E216">
        <v>1996.5</v>
      </c>
      <c r="F216">
        <v>1316.44</v>
      </c>
      <c r="G216">
        <v>1</v>
      </c>
      <c r="H216">
        <f t="shared" si="18"/>
        <v>1996.5</v>
      </c>
      <c r="I216">
        <f t="shared" si="22"/>
        <v>1316.44</v>
      </c>
      <c r="J216">
        <f t="shared" si="19"/>
        <v>680.06</v>
      </c>
      <c r="K216" s="8">
        <f t="shared" si="20"/>
        <v>0.34062609566741797</v>
      </c>
      <c r="L216" t="str">
        <f t="shared" si="23"/>
        <v>2023-06</v>
      </c>
      <c r="M216">
        <f t="shared" si="21"/>
        <v>680.06</v>
      </c>
    </row>
    <row r="217" spans="1:13" x14ac:dyDescent="0.25">
      <c r="A217" s="1">
        <v>45357</v>
      </c>
      <c r="B217" t="s">
        <v>24</v>
      </c>
      <c r="C217" t="s">
        <v>20</v>
      </c>
      <c r="D217" t="s">
        <v>17</v>
      </c>
      <c r="E217">
        <v>1036.9100000000001</v>
      </c>
      <c r="F217">
        <v>833.58</v>
      </c>
      <c r="G217">
        <v>9</v>
      </c>
      <c r="H217">
        <f t="shared" si="18"/>
        <v>9332.19</v>
      </c>
      <c r="I217">
        <f t="shared" si="22"/>
        <v>7502.22</v>
      </c>
      <c r="J217">
        <f t="shared" si="19"/>
        <v>1829.9700000000003</v>
      </c>
      <c r="K217" s="8">
        <f t="shared" si="20"/>
        <v>0.19609223558457342</v>
      </c>
      <c r="L217" t="str">
        <f t="shared" si="23"/>
        <v>2024-03</v>
      </c>
      <c r="M217">
        <f t="shared" si="21"/>
        <v>1829.9700000000003</v>
      </c>
    </row>
    <row r="218" spans="1:13" x14ac:dyDescent="0.25">
      <c r="A218" s="1">
        <v>44834</v>
      </c>
      <c r="B218" t="s">
        <v>14</v>
      </c>
      <c r="C218" t="s">
        <v>15</v>
      </c>
      <c r="D218" t="s">
        <v>18</v>
      </c>
      <c r="E218">
        <v>174.32</v>
      </c>
      <c r="F218">
        <v>129.71</v>
      </c>
      <c r="G218">
        <v>1</v>
      </c>
      <c r="H218">
        <f t="shared" si="18"/>
        <v>174.32</v>
      </c>
      <c r="I218">
        <f t="shared" si="22"/>
        <v>129.71</v>
      </c>
      <c r="J218">
        <f t="shared" si="19"/>
        <v>44.609999999999985</v>
      </c>
      <c r="K218" s="8">
        <f t="shared" si="20"/>
        <v>0.25590867370353365</v>
      </c>
      <c r="L218" t="str">
        <f t="shared" si="23"/>
        <v>2022-09</v>
      </c>
      <c r="M218">
        <f t="shared" si="21"/>
        <v>44.609999999999985</v>
      </c>
    </row>
    <row r="219" spans="1:13" x14ac:dyDescent="0.25">
      <c r="A219" s="1">
        <v>44940</v>
      </c>
      <c r="B219" t="s">
        <v>19</v>
      </c>
      <c r="C219" t="s">
        <v>20</v>
      </c>
      <c r="D219" t="s">
        <v>9</v>
      </c>
      <c r="E219">
        <v>392.82</v>
      </c>
      <c r="F219">
        <v>315.66000000000003</v>
      </c>
      <c r="G219">
        <v>2</v>
      </c>
      <c r="H219">
        <f t="shared" si="18"/>
        <v>785.64</v>
      </c>
      <c r="I219">
        <f t="shared" si="22"/>
        <v>631.32000000000005</v>
      </c>
      <c r="J219">
        <f t="shared" si="19"/>
        <v>154.31999999999994</v>
      </c>
      <c r="K219" s="8">
        <f t="shared" si="20"/>
        <v>0.19642584389796847</v>
      </c>
      <c r="L219" t="str">
        <f t="shared" si="23"/>
        <v>2023-01</v>
      </c>
      <c r="M219">
        <f t="shared" si="21"/>
        <v>154.31999999999994</v>
      </c>
    </row>
    <row r="220" spans="1:13" x14ac:dyDescent="0.25">
      <c r="A220" s="1">
        <v>45204</v>
      </c>
      <c r="B220" t="s">
        <v>21</v>
      </c>
      <c r="C220" t="s">
        <v>20</v>
      </c>
      <c r="D220" t="s">
        <v>17</v>
      </c>
      <c r="E220">
        <v>37.32</v>
      </c>
      <c r="F220">
        <v>18.93</v>
      </c>
      <c r="G220">
        <v>6</v>
      </c>
      <c r="H220">
        <f t="shared" si="18"/>
        <v>223.92000000000002</v>
      </c>
      <c r="I220">
        <f t="shared" si="22"/>
        <v>113.58</v>
      </c>
      <c r="J220">
        <f t="shared" si="19"/>
        <v>110.34000000000002</v>
      </c>
      <c r="K220" s="8">
        <f t="shared" si="20"/>
        <v>0.49276527331189712</v>
      </c>
      <c r="L220" t="str">
        <f t="shared" si="23"/>
        <v>2023-10</v>
      </c>
      <c r="M220">
        <f t="shared" si="21"/>
        <v>110.34000000000002</v>
      </c>
    </row>
    <row r="221" spans="1:13" x14ac:dyDescent="0.25">
      <c r="A221" s="1">
        <v>45369</v>
      </c>
      <c r="B221" t="s">
        <v>7</v>
      </c>
      <c r="C221" t="s">
        <v>8</v>
      </c>
      <c r="D221" t="s">
        <v>9</v>
      </c>
      <c r="E221">
        <v>1298.6199999999999</v>
      </c>
      <c r="F221">
        <v>985.55</v>
      </c>
      <c r="G221">
        <v>9</v>
      </c>
      <c r="H221">
        <f t="shared" si="18"/>
        <v>11687.579999999998</v>
      </c>
      <c r="I221">
        <f t="shared" si="22"/>
        <v>8869.9499999999989</v>
      </c>
      <c r="J221">
        <f t="shared" si="19"/>
        <v>2817.6299999999992</v>
      </c>
      <c r="K221" s="8">
        <f t="shared" si="20"/>
        <v>0.24107899154487067</v>
      </c>
      <c r="L221" t="str">
        <f t="shared" si="23"/>
        <v>2024-03</v>
      </c>
      <c r="M221">
        <f t="shared" si="21"/>
        <v>2817.6299999999992</v>
      </c>
    </row>
    <row r="222" spans="1:13" x14ac:dyDescent="0.25">
      <c r="A222" s="1">
        <v>44961</v>
      </c>
      <c r="B222" t="s">
        <v>10</v>
      </c>
      <c r="C222" t="s">
        <v>11</v>
      </c>
      <c r="D222" t="s">
        <v>17</v>
      </c>
      <c r="E222">
        <v>1059.53</v>
      </c>
      <c r="F222">
        <v>650.86</v>
      </c>
      <c r="G222">
        <v>5</v>
      </c>
      <c r="H222">
        <f t="shared" si="18"/>
        <v>5297.65</v>
      </c>
      <c r="I222">
        <f t="shared" si="22"/>
        <v>3254.3</v>
      </c>
      <c r="J222">
        <f t="shared" si="19"/>
        <v>2043.3499999999995</v>
      </c>
      <c r="K222" s="8">
        <f t="shared" si="20"/>
        <v>0.38570875765669677</v>
      </c>
      <c r="L222" t="str">
        <f t="shared" si="23"/>
        <v>2023-02</v>
      </c>
      <c r="M222">
        <f t="shared" si="21"/>
        <v>2043.3499999999995</v>
      </c>
    </row>
    <row r="223" spans="1:13" x14ac:dyDescent="0.25">
      <c r="A223" s="1">
        <v>45010</v>
      </c>
      <c r="B223" t="s">
        <v>22</v>
      </c>
      <c r="C223" t="s">
        <v>8</v>
      </c>
      <c r="D223" t="s">
        <v>17</v>
      </c>
      <c r="E223">
        <v>1231.0999999999999</v>
      </c>
      <c r="F223">
        <v>1037.94</v>
      </c>
      <c r="G223">
        <v>5</v>
      </c>
      <c r="H223">
        <f t="shared" si="18"/>
        <v>6155.5</v>
      </c>
      <c r="I223">
        <f t="shared" si="22"/>
        <v>5189.7000000000007</v>
      </c>
      <c r="J223">
        <f t="shared" si="19"/>
        <v>965.79999999999927</v>
      </c>
      <c r="K223" s="8">
        <f t="shared" si="20"/>
        <v>0.15690033303549658</v>
      </c>
      <c r="L223" t="str">
        <f t="shared" si="23"/>
        <v>2023-03</v>
      </c>
      <c r="M223">
        <f t="shared" si="21"/>
        <v>965.79999999999927</v>
      </c>
    </row>
    <row r="224" spans="1:13" x14ac:dyDescent="0.25">
      <c r="A224" s="1">
        <v>45592</v>
      </c>
      <c r="B224" t="s">
        <v>16</v>
      </c>
      <c r="C224" t="s">
        <v>15</v>
      </c>
      <c r="D224" t="s">
        <v>9</v>
      </c>
      <c r="E224">
        <v>1223.23</v>
      </c>
      <c r="F224">
        <v>775.71</v>
      </c>
      <c r="G224">
        <v>7</v>
      </c>
      <c r="H224">
        <f t="shared" si="18"/>
        <v>8562.61</v>
      </c>
      <c r="I224">
        <f t="shared" si="22"/>
        <v>5429.97</v>
      </c>
      <c r="J224">
        <f t="shared" si="19"/>
        <v>3132.6400000000003</v>
      </c>
      <c r="K224" s="8">
        <f t="shared" si="20"/>
        <v>0.36585106643885451</v>
      </c>
      <c r="L224" t="str">
        <f t="shared" si="23"/>
        <v>2024-10</v>
      </c>
      <c r="M224">
        <f t="shared" si="21"/>
        <v>3132.6400000000003</v>
      </c>
    </row>
    <row r="225" spans="1:13" x14ac:dyDescent="0.25">
      <c r="A225" s="1">
        <v>45290</v>
      </c>
      <c r="B225" t="s">
        <v>10</v>
      </c>
      <c r="C225" t="s">
        <v>11</v>
      </c>
      <c r="D225" t="s">
        <v>18</v>
      </c>
      <c r="E225">
        <v>1353.25</v>
      </c>
      <c r="F225">
        <v>734.68</v>
      </c>
      <c r="G225">
        <v>10</v>
      </c>
      <c r="H225">
        <f t="shared" si="18"/>
        <v>13532.5</v>
      </c>
      <c r="I225">
        <f t="shared" si="22"/>
        <v>7346.7999999999993</v>
      </c>
      <c r="J225">
        <f t="shared" si="19"/>
        <v>6185.7000000000007</v>
      </c>
      <c r="K225" s="8">
        <f t="shared" si="20"/>
        <v>0.45709957509698879</v>
      </c>
      <c r="L225" t="str">
        <f t="shared" si="23"/>
        <v>2023-12</v>
      </c>
      <c r="M225">
        <f t="shared" si="21"/>
        <v>6185.7000000000007</v>
      </c>
    </row>
    <row r="226" spans="1:13" x14ac:dyDescent="0.25">
      <c r="A226" s="1">
        <v>45316</v>
      </c>
      <c r="B226" t="s">
        <v>7</v>
      </c>
      <c r="C226" t="s">
        <v>8</v>
      </c>
      <c r="D226" t="s">
        <v>9</v>
      </c>
      <c r="E226">
        <v>513.22</v>
      </c>
      <c r="F226">
        <v>407.52</v>
      </c>
      <c r="G226">
        <v>1</v>
      </c>
      <c r="H226">
        <f t="shared" si="18"/>
        <v>513.22</v>
      </c>
      <c r="I226">
        <f t="shared" si="22"/>
        <v>407.52</v>
      </c>
      <c r="J226">
        <f t="shared" si="19"/>
        <v>105.70000000000005</v>
      </c>
      <c r="K226" s="8">
        <f t="shared" si="20"/>
        <v>0.20595456139667206</v>
      </c>
      <c r="L226" t="str">
        <f t="shared" si="23"/>
        <v>2024-01</v>
      </c>
      <c r="M226">
        <f t="shared" si="21"/>
        <v>105.70000000000005</v>
      </c>
    </row>
    <row r="227" spans="1:13" x14ac:dyDescent="0.25">
      <c r="A227" s="1">
        <v>45131</v>
      </c>
      <c r="B227" t="s">
        <v>19</v>
      </c>
      <c r="C227" t="s">
        <v>20</v>
      </c>
      <c r="D227" t="s">
        <v>18</v>
      </c>
      <c r="E227">
        <v>613.99</v>
      </c>
      <c r="F227">
        <v>391.21</v>
      </c>
      <c r="G227">
        <v>2</v>
      </c>
      <c r="H227">
        <f t="shared" si="18"/>
        <v>1227.98</v>
      </c>
      <c r="I227">
        <f t="shared" si="22"/>
        <v>782.42</v>
      </c>
      <c r="J227">
        <f t="shared" si="19"/>
        <v>445.56000000000006</v>
      </c>
      <c r="K227" s="8">
        <f t="shared" si="20"/>
        <v>0.36283978566426167</v>
      </c>
      <c r="L227" t="str">
        <f t="shared" si="23"/>
        <v>2023-07</v>
      </c>
      <c r="M227">
        <f t="shared" si="21"/>
        <v>445.56000000000006</v>
      </c>
    </row>
    <row r="228" spans="1:13" x14ac:dyDescent="0.25">
      <c r="A228" s="1">
        <v>45509</v>
      </c>
      <c r="B228" t="s">
        <v>16</v>
      </c>
      <c r="C228" t="s">
        <v>15</v>
      </c>
      <c r="D228" t="s">
        <v>13</v>
      </c>
      <c r="E228">
        <v>1519.58</v>
      </c>
      <c r="F228">
        <v>1324.12</v>
      </c>
      <c r="G228">
        <v>1</v>
      </c>
      <c r="H228">
        <f t="shared" si="18"/>
        <v>1519.58</v>
      </c>
      <c r="I228">
        <f t="shared" si="22"/>
        <v>1324.12</v>
      </c>
      <c r="J228">
        <f t="shared" si="19"/>
        <v>195.46000000000004</v>
      </c>
      <c r="K228" s="8">
        <f t="shared" si="20"/>
        <v>0.12862764711301811</v>
      </c>
      <c r="L228" t="str">
        <f t="shared" si="23"/>
        <v>2024-08</v>
      </c>
      <c r="M228">
        <f t="shared" si="21"/>
        <v>195.46000000000004</v>
      </c>
    </row>
    <row r="229" spans="1:13" x14ac:dyDescent="0.25">
      <c r="A229" s="1">
        <v>44924</v>
      </c>
      <c r="B229" t="s">
        <v>14</v>
      </c>
      <c r="C229" t="s">
        <v>15</v>
      </c>
      <c r="D229" t="s">
        <v>13</v>
      </c>
      <c r="E229">
        <v>773.53</v>
      </c>
      <c r="F229">
        <v>664.12</v>
      </c>
      <c r="G229">
        <v>7</v>
      </c>
      <c r="H229">
        <f t="shared" si="18"/>
        <v>5414.71</v>
      </c>
      <c r="I229">
        <f t="shared" si="22"/>
        <v>4648.84</v>
      </c>
      <c r="J229">
        <f t="shared" si="19"/>
        <v>765.86999999999989</v>
      </c>
      <c r="K229" s="8">
        <f t="shared" si="20"/>
        <v>0.14144247799051102</v>
      </c>
      <c r="L229" t="str">
        <f t="shared" si="23"/>
        <v>2022-12</v>
      </c>
      <c r="M229">
        <f t="shared" si="21"/>
        <v>765.86999999999989</v>
      </c>
    </row>
    <row r="230" spans="1:13" x14ac:dyDescent="0.25">
      <c r="A230" s="1">
        <v>44794</v>
      </c>
      <c r="B230" t="s">
        <v>16</v>
      </c>
      <c r="C230" t="s">
        <v>15</v>
      </c>
      <c r="D230" t="s">
        <v>9</v>
      </c>
      <c r="E230">
        <v>674.43</v>
      </c>
      <c r="F230">
        <v>587.04999999999995</v>
      </c>
      <c r="G230">
        <v>8</v>
      </c>
      <c r="H230">
        <f t="shared" si="18"/>
        <v>5395.44</v>
      </c>
      <c r="I230">
        <f t="shared" si="22"/>
        <v>4696.3999999999996</v>
      </c>
      <c r="J230">
        <f t="shared" si="19"/>
        <v>699.04</v>
      </c>
      <c r="K230" s="8">
        <f t="shared" si="20"/>
        <v>0.12956125913734562</v>
      </c>
      <c r="L230" t="str">
        <f t="shared" si="23"/>
        <v>2022-08</v>
      </c>
      <c r="M230">
        <f t="shared" si="21"/>
        <v>699.04</v>
      </c>
    </row>
    <row r="231" spans="1:13" x14ac:dyDescent="0.25">
      <c r="A231" s="1">
        <v>44842</v>
      </c>
      <c r="B231" t="s">
        <v>24</v>
      </c>
      <c r="C231" t="s">
        <v>20</v>
      </c>
      <c r="D231" t="s">
        <v>18</v>
      </c>
      <c r="E231">
        <v>505.99</v>
      </c>
      <c r="F231">
        <v>443.67</v>
      </c>
      <c r="G231">
        <v>9</v>
      </c>
      <c r="H231">
        <f t="shared" si="18"/>
        <v>4553.91</v>
      </c>
      <c r="I231">
        <f t="shared" si="22"/>
        <v>3993.03</v>
      </c>
      <c r="J231">
        <f t="shared" si="19"/>
        <v>560.87999999999965</v>
      </c>
      <c r="K231" s="8">
        <f t="shared" si="20"/>
        <v>0.12316448941678682</v>
      </c>
      <c r="L231" t="str">
        <f t="shared" si="23"/>
        <v>2022-10</v>
      </c>
      <c r="M231">
        <f t="shared" si="21"/>
        <v>560.87999999999965</v>
      </c>
    </row>
    <row r="232" spans="1:13" x14ac:dyDescent="0.25">
      <c r="A232" s="1">
        <v>45636</v>
      </c>
      <c r="B232" t="s">
        <v>10</v>
      </c>
      <c r="C232" t="s">
        <v>11</v>
      </c>
      <c r="D232" t="s">
        <v>18</v>
      </c>
      <c r="E232">
        <v>1217.94</v>
      </c>
      <c r="F232">
        <v>1003.58</v>
      </c>
      <c r="G232">
        <v>3</v>
      </c>
      <c r="H232">
        <f t="shared" si="18"/>
        <v>3653.82</v>
      </c>
      <c r="I232">
        <f t="shared" si="22"/>
        <v>3010.7400000000002</v>
      </c>
      <c r="J232">
        <f t="shared" si="19"/>
        <v>643.07999999999993</v>
      </c>
      <c r="K232" s="8">
        <f t="shared" si="20"/>
        <v>0.17600210190978208</v>
      </c>
      <c r="L232" t="str">
        <f t="shared" si="23"/>
        <v>2024-12</v>
      </c>
      <c r="M232">
        <f t="shared" si="21"/>
        <v>643.07999999999993</v>
      </c>
    </row>
    <row r="233" spans="1:13" x14ac:dyDescent="0.25">
      <c r="A233" s="1">
        <v>45102</v>
      </c>
      <c r="B233" t="s">
        <v>25</v>
      </c>
      <c r="C233" t="s">
        <v>15</v>
      </c>
      <c r="D233" t="s">
        <v>18</v>
      </c>
      <c r="E233">
        <v>1537.39</v>
      </c>
      <c r="F233">
        <v>985.22</v>
      </c>
      <c r="G233">
        <v>10</v>
      </c>
      <c r="H233">
        <f t="shared" si="18"/>
        <v>15373.900000000001</v>
      </c>
      <c r="I233">
        <f t="shared" si="22"/>
        <v>9852.2000000000007</v>
      </c>
      <c r="J233">
        <f t="shared" si="19"/>
        <v>5521.7000000000007</v>
      </c>
      <c r="K233" s="8">
        <f t="shared" si="20"/>
        <v>0.35916065539648367</v>
      </c>
      <c r="L233" t="str">
        <f t="shared" si="23"/>
        <v>2023-06</v>
      </c>
      <c r="M233">
        <f t="shared" si="21"/>
        <v>5521.7000000000007</v>
      </c>
    </row>
    <row r="234" spans="1:13" x14ac:dyDescent="0.25">
      <c r="A234" s="1">
        <v>45382</v>
      </c>
      <c r="B234" t="s">
        <v>12</v>
      </c>
      <c r="C234" t="s">
        <v>8</v>
      </c>
      <c r="D234" t="s">
        <v>17</v>
      </c>
      <c r="E234">
        <v>687.08</v>
      </c>
      <c r="F234">
        <v>581.41999999999996</v>
      </c>
      <c r="G234">
        <v>7</v>
      </c>
      <c r="H234">
        <f t="shared" si="18"/>
        <v>4809.5600000000004</v>
      </c>
      <c r="I234">
        <f t="shared" si="22"/>
        <v>4069.9399999999996</v>
      </c>
      <c r="J234">
        <f t="shared" si="19"/>
        <v>739.6200000000008</v>
      </c>
      <c r="K234" s="8">
        <f t="shared" si="20"/>
        <v>0.15378121907201506</v>
      </c>
      <c r="L234" t="str">
        <f t="shared" si="23"/>
        <v>2024-03</v>
      </c>
      <c r="M234">
        <f t="shared" si="21"/>
        <v>739.6200000000008</v>
      </c>
    </row>
    <row r="235" spans="1:13" x14ac:dyDescent="0.25">
      <c r="A235" s="1">
        <v>45184</v>
      </c>
      <c r="B235" t="s">
        <v>23</v>
      </c>
      <c r="C235" t="s">
        <v>11</v>
      </c>
      <c r="D235" t="s">
        <v>9</v>
      </c>
      <c r="E235">
        <v>454.09</v>
      </c>
      <c r="F235">
        <v>245.2</v>
      </c>
      <c r="G235">
        <v>3</v>
      </c>
      <c r="H235">
        <f t="shared" si="18"/>
        <v>1362.27</v>
      </c>
      <c r="I235">
        <f t="shared" si="22"/>
        <v>735.59999999999991</v>
      </c>
      <c r="J235">
        <f t="shared" si="19"/>
        <v>626.67000000000007</v>
      </c>
      <c r="K235" s="8">
        <f t="shared" si="20"/>
        <v>0.46001893897685486</v>
      </c>
      <c r="L235" t="str">
        <f t="shared" si="23"/>
        <v>2023-09</v>
      </c>
      <c r="M235">
        <f t="shared" si="21"/>
        <v>626.67000000000007</v>
      </c>
    </row>
    <row r="236" spans="1:13" x14ac:dyDescent="0.25">
      <c r="A236" s="1">
        <v>44772</v>
      </c>
      <c r="B236" t="s">
        <v>16</v>
      </c>
      <c r="C236" t="s">
        <v>15</v>
      </c>
      <c r="D236" t="s">
        <v>13</v>
      </c>
      <c r="E236">
        <v>1753.52</v>
      </c>
      <c r="F236">
        <v>904.66</v>
      </c>
      <c r="G236">
        <v>2</v>
      </c>
      <c r="H236">
        <f t="shared" si="18"/>
        <v>3507.04</v>
      </c>
      <c r="I236">
        <f t="shared" si="22"/>
        <v>1809.32</v>
      </c>
      <c r="J236">
        <f t="shared" si="19"/>
        <v>1697.72</v>
      </c>
      <c r="K236" s="8">
        <f t="shared" si="20"/>
        <v>0.48408914640266437</v>
      </c>
      <c r="L236" t="str">
        <f t="shared" si="23"/>
        <v>2022-07</v>
      </c>
      <c r="M236">
        <f t="shared" si="21"/>
        <v>1697.72</v>
      </c>
    </row>
    <row r="237" spans="1:13" x14ac:dyDescent="0.25">
      <c r="A237" s="1">
        <v>45432</v>
      </c>
      <c r="B237" t="s">
        <v>23</v>
      </c>
      <c r="C237" t="s">
        <v>11</v>
      </c>
      <c r="D237" t="s">
        <v>9</v>
      </c>
      <c r="E237">
        <v>1775.96</v>
      </c>
      <c r="F237">
        <v>1410.66</v>
      </c>
      <c r="G237">
        <v>2</v>
      </c>
      <c r="H237">
        <f t="shared" si="18"/>
        <v>3551.92</v>
      </c>
      <c r="I237">
        <f t="shared" si="22"/>
        <v>2821.32</v>
      </c>
      <c r="J237">
        <f t="shared" si="19"/>
        <v>730.59999999999991</v>
      </c>
      <c r="K237" s="8">
        <f t="shared" si="20"/>
        <v>0.20569156962994659</v>
      </c>
      <c r="L237" t="str">
        <f t="shared" si="23"/>
        <v>2024-05</v>
      </c>
      <c r="M237">
        <f t="shared" si="21"/>
        <v>730.59999999999991</v>
      </c>
    </row>
    <row r="238" spans="1:13" x14ac:dyDescent="0.25">
      <c r="A238" s="1">
        <v>45090</v>
      </c>
      <c r="B238" t="s">
        <v>24</v>
      </c>
      <c r="C238" t="s">
        <v>20</v>
      </c>
      <c r="D238" t="s">
        <v>13</v>
      </c>
      <c r="E238">
        <v>316.76</v>
      </c>
      <c r="F238">
        <v>244.22</v>
      </c>
      <c r="G238">
        <v>10</v>
      </c>
      <c r="H238">
        <f t="shared" si="18"/>
        <v>3167.6</v>
      </c>
      <c r="I238">
        <f t="shared" si="22"/>
        <v>2442.1999999999998</v>
      </c>
      <c r="J238">
        <f t="shared" si="19"/>
        <v>725.40000000000009</v>
      </c>
      <c r="K238" s="8">
        <f t="shared" si="20"/>
        <v>0.22900618764995584</v>
      </c>
      <c r="L238" t="str">
        <f t="shared" si="23"/>
        <v>2023-06</v>
      </c>
      <c r="M238">
        <f t="shared" si="21"/>
        <v>725.40000000000009</v>
      </c>
    </row>
    <row r="239" spans="1:13" x14ac:dyDescent="0.25">
      <c r="A239" s="1">
        <v>45456</v>
      </c>
      <c r="B239" t="s">
        <v>25</v>
      </c>
      <c r="C239" t="s">
        <v>15</v>
      </c>
      <c r="D239" t="s">
        <v>13</v>
      </c>
      <c r="E239">
        <v>1251.4100000000001</v>
      </c>
      <c r="F239">
        <v>979.32</v>
      </c>
      <c r="G239">
        <v>6</v>
      </c>
      <c r="H239">
        <f t="shared" si="18"/>
        <v>7508.4600000000009</v>
      </c>
      <c r="I239">
        <f t="shared" si="22"/>
        <v>5875.92</v>
      </c>
      <c r="J239">
        <f t="shared" si="19"/>
        <v>1632.5400000000009</v>
      </c>
      <c r="K239" s="8">
        <f t="shared" si="20"/>
        <v>0.21742674263430858</v>
      </c>
      <c r="L239" t="str">
        <f t="shared" si="23"/>
        <v>2024-06</v>
      </c>
      <c r="M239">
        <f t="shared" si="21"/>
        <v>1632.5400000000009</v>
      </c>
    </row>
    <row r="240" spans="1:13" x14ac:dyDescent="0.25">
      <c r="A240" s="1">
        <v>45050</v>
      </c>
      <c r="B240" t="s">
        <v>21</v>
      </c>
      <c r="C240" t="s">
        <v>20</v>
      </c>
      <c r="D240" t="s">
        <v>13</v>
      </c>
      <c r="E240">
        <v>1127.17</v>
      </c>
      <c r="F240">
        <v>709.73</v>
      </c>
      <c r="G240">
        <v>1</v>
      </c>
      <c r="H240">
        <f t="shared" si="18"/>
        <v>1127.17</v>
      </c>
      <c r="I240">
        <f t="shared" si="22"/>
        <v>709.73</v>
      </c>
      <c r="J240">
        <f t="shared" si="19"/>
        <v>417.44000000000005</v>
      </c>
      <c r="K240" s="8">
        <f t="shared" si="20"/>
        <v>0.37034342645741108</v>
      </c>
      <c r="L240" t="str">
        <f t="shared" si="23"/>
        <v>2023-05</v>
      </c>
      <c r="M240">
        <f t="shared" si="21"/>
        <v>417.44000000000005</v>
      </c>
    </row>
    <row r="241" spans="1:13" x14ac:dyDescent="0.25">
      <c r="A241" s="1">
        <v>45570</v>
      </c>
      <c r="B241" t="s">
        <v>23</v>
      </c>
      <c r="C241" t="s">
        <v>11</v>
      </c>
      <c r="D241" t="s">
        <v>18</v>
      </c>
      <c r="E241">
        <v>1479.83</v>
      </c>
      <c r="F241">
        <v>1164.98</v>
      </c>
      <c r="G241">
        <v>3</v>
      </c>
      <c r="H241">
        <f t="shared" si="18"/>
        <v>4439.49</v>
      </c>
      <c r="I241">
        <f t="shared" si="22"/>
        <v>3494.94</v>
      </c>
      <c r="J241">
        <f t="shared" si="19"/>
        <v>944.54999999999973</v>
      </c>
      <c r="K241" s="8">
        <f t="shared" si="20"/>
        <v>0.21276092524141282</v>
      </c>
      <c r="L241" t="str">
        <f t="shared" si="23"/>
        <v>2024-10</v>
      </c>
      <c r="M241">
        <f t="shared" si="21"/>
        <v>944.54999999999973</v>
      </c>
    </row>
    <row r="242" spans="1:13" x14ac:dyDescent="0.25">
      <c r="A242" s="1">
        <v>45120</v>
      </c>
      <c r="B242" t="s">
        <v>22</v>
      </c>
      <c r="C242" t="s">
        <v>8</v>
      </c>
      <c r="D242" t="s">
        <v>17</v>
      </c>
      <c r="E242">
        <v>1510.45</v>
      </c>
      <c r="F242">
        <v>979.05</v>
      </c>
      <c r="G242">
        <v>4</v>
      </c>
      <c r="H242">
        <f t="shared" si="18"/>
        <v>6041.8</v>
      </c>
      <c r="I242">
        <f t="shared" si="22"/>
        <v>3916.2</v>
      </c>
      <c r="J242">
        <f t="shared" si="19"/>
        <v>2125.6000000000004</v>
      </c>
      <c r="K242" s="8">
        <f t="shared" si="20"/>
        <v>0.351815684067662</v>
      </c>
      <c r="L242" t="str">
        <f t="shared" si="23"/>
        <v>2023-07</v>
      </c>
      <c r="M242">
        <f t="shared" si="21"/>
        <v>2125.6000000000004</v>
      </c>
    </row>
    <row r="243" spans="1:13" x14ac:dyDescent="0.25">
      <c r="A243" s="1">
        <v>44984</v>
      </c>
      <c r="B243" t="s">
        <v>19</v>
      </c>
      <c r="C243" t="s">
        <v>20</v>
      </c>
      <c r="D243" t="s">
        <v>17</v>
      </c>
      <c r="E243">
        <v>1668.47</v>
      </c>
      <c r="F243">
        <v>1248.26</v>
      </c>
      <c r="G243">
        <v>2</v>
      </c>
      <c r="H243">
        <f t="shared" si="18"/>
        <v>3336.94</v>
      </c>
      <c r="I243">
        <f t="shared" si="22"/>
        <v>2496.52</v>
      </c>
      <c r="J243">
        <f t="shared" si="19"/>
        <v>840.42000000000007</v>
      </c>
      <c r="K243" s="8">
        <f t="shared" si="20"/>
        <v>0.25185349451893052</v>
      </c>
      <c r="L243" t="str">
        <f t="shared" si="23"/>
        <v>2023-02</v>
      </c>
      <c r="M243">
        <f t="shared" si="21"/>
        <v>840.42000000000007</v>
      </c>
    </row>
    <row r="244" spans="1:13" x14ac:dyDescent="0.25">
      <c r="A244" s="1">
        <v>45003</v>
      </c>
      <c r="B244" t="s">
        <v>24</v>
      </c>
      <c r="C244" t="s">
        <v>20</v>
      </c>
      <c r="D244" t="s">
        <v>13</v>
      </c>
      <c r="E244">
        <v>917.07</v>
      </c>
      <c r="F244">
        <v>749.73</v>
      </c>
      <c r="G244">
        <v>9</v>
      </c>
      <c r="H244">
        <f t="shared" si="18"/>
        <v>8253.630000000001</v>
      </c>
      <c r="I244">
        <f t="shared" si="22"/>
        <v>6747.57</v>
      </c>
      <c r="J244">
        <f t="shared" si="19"/>
        <v>1506.0600000000013</v>
      </c>
      <c r="K244" s="8">
        <f t="shared" si="20"/>
        <v>0.18247243939939167</v>
      </c>
      <c r="L244" t="str">
        <f t="shared" si="23"/>
        <v>2023-03</v>
      </c>
      <c r="M244">
        <f t="shared" si="21"/>
        <v>1506.0600000000013</v>
      </c>
    </row>
    <row r="245" spans="1:13" x14ac:dyDescent="0.25">
      <c r="A245" s="1">
        <v>44929</v>
      </c>
      <c r="B245" t="s">
        <v>21</v>
      </c>
      <c r="C245" t="s">
        <v>20</v>
      </c>
      <c r="D245" t="s">
        <v>17</v>
      </c>
      <c r="E245">
        <v>122.47</v>
      </c>
      <c r="F245">
        <v>110.03</v>
      </c>
      <c r="G245">
        <v>5</v>
      </c>
      <c r="H245">
        <f t="shared" si="18"/>
        <v>612.35</v>
      </c>
      <c r="I245">
        <f t="shared" si="22"/>
        <v>550.15</v>
      </c>
      <c r="J245">
        <f t="shared" si="19"/>
        <v>62.200000000000045</v>
      </c>
      <c r="K245" s="8">
        <f t="shared" si="20"/>
        <v>0.10157589613782975</v>
      </c>
      <c r="L245" t="str">
        <f t="shared" si="23"/>
        <v>2023-01</v>
      </c>
      <c r="M245">
        <f t="shared" si="21"/>
        <v>62.200000000000045</v>
      </c>
    </row>
    <row r="246" spans="1:13" x14ac:dyDescent="0.25">
      <c r="A246" s="1">
        <v>45455</v>
      </c>
      <c r="B246" t="s">
        <v>12</v>
      </c>
      <c r="C246" t="s">
        <v>8</v>
      </c>
      <c r="D246" t="s">
        <v>13</v>
      </c>
      <c r="E246">
        <v>1563.81</v>
      </c>
      <c r="F246">
        <v>1136.6199999999999</v>
      </c>
      <c r="G246">
        <v>4</v>
      </c>
      <c r="H246">
        <f t="shared" si="18"/>
        <v>6255.24</v>
      </c>
      <c r="I246">
        <f t="shared" si="22"/>
        <v>4546.4799999999996</v>
      </c>
      <c r="J246">
        <f t="shared" si="19"/>
        <v>1708.7600000000002</v>
      </c>
      <c r="K246" s="8">
        <f t="shared" si="20"/>
        <v>0.27317257211553836</v>
      </c>
      <c r="L246" t="str">
        <f t="shared" si="23"/>
        <v>2024-06</v>
      </c>
      <c r="M246">
        <f t="shared" si="21"/>
        <v>1708.7600000000002</v>
      </c>
    </row>
    <row r="247" spans="1:13" x14ac:dyDescent="0.25">
      <c r="A247" s="1">
        <v>45501</v>
      </c>
      <c r="B247" t="s">
        <v>21</v>
      </c>
      <c r="C247" t="s">
        <v>20</v>
      </c>
      <c r="D247" t="s">
        <v>18</v>
      </c>
      <c r="E247">
        <v>291.2</v>
      </c>
      <c r="F247">
        <v>232.39</v>
      </c>
      <c r="G247">
        <v>2</v>
      </c>
      <c r="H247">
        <f t="shared" si="18"/>
        <v>582.4</v>
      </c>
      <c r="I247">
        <f t="shared" si="22"/>
        <v>464.78</v>
      </c>
      <c r="J247">
        <f t="shared" si="19"/>
        <v>117.62</v>
      </c>
      <c r="K247" s="8">
        <f t="shared" si="20"/>
        <v>0.20195741758241759</v>
      </c>
      <c r="L247" t="str">
        <f t="shared" si="23"/>
        <v>2024-07</v>
      </c>
      <c r="M247">
        <f t="shared" si="21"/>
        <v>117.62</v>
      </c>
    </row>
    <row r="248" spans="1:13" x14ac:dyDescent="0.25">
      <c r="A248" s="1">
        <v>45393</v>
      </c>
      <c r="B248" t="s">
        <v>16</v>
      </c>
      <c r="C248" t="s">
        <v>15</v>
      </c>
      <c r="D248" t="s">
        <v>17</v>
      </c>
      <c r="E248">
        <v>861.26</v>
      </c>
      <c r="F248">
        <v>602.86</v>
      </c>
      <c r="G248">
        <v>4</v>
      </c>
      <c r="H248">
        <f t="shared" si="18"/>
        <v>3445.04</v>
      </c>
      <c r="I248">
        <f t="shared" si="22"/>
        <v>2411.44</v>
      </c>
      <c r="J248">
        <f t="shared" si="19"/>
        <v>1033.5999999999999</v>
      </c>
      <c r="K248" s="8">
        <f t="shared" si="20"/>
        <v>0.30002554397046188</v>
      </c>
      <c r="L248" t="str">
        <f t="shared" si="23"/>
        <v>2024-04</v>
      </c>
      <c r="M248">
        <f t="shared" si="21"/>
        <v>1033.5999999999999</v>
      </c>
    </row>
    <row r="249" spans="1:13" x14ac:dyDescent="0.25">
      <c r="A249" s="1">
        <v>44636</v>
      </c>
      <c r="B249" t="s">
        <v>7</v>
      </c>
      <c r="C249" t="s">
        <v>8</v>
      </c>
      <c r="D249" t="s">
        <v>13</v>
      </c>
      <c r="E249">
        <v>642.29</v>
      </c>
      <c r="F249">
        <v>329.56</v>
      </c>
      <c r="G249">
        <v>5</v>
      </c>
      <c r="H249">
        <f t="shared" si="18"/>
        <v>3211.45</v>
      </c>
      <c r="I249">
        <f t="shared" si="22"/>
        <v>1647.8</v>
      </c>
      <c r="J249">
        <f t="shared" si="19"/>
        <v>1563.6499999999999</v>
      </c>
      <c r="K249" s="8">
        <f t="shared" si="20"/>
        <v>0.48689844151395784</v>
      </c>
      <c r="L249" t="str">
        <f t="shared" si="23"/>
        <v>2022-03</v>
      </c>
      <c r="M249">
        <f t="shared" si="21"/>
        <v>1563.6499999999999</v>
      </c>
    </row>
    <row r="250" spans="1:13" x14ac:dyDescent="0.25">
      <c r="A250" s="1">
        <v>45634</v>
      </c>
      <c r="B250" t="s">
        <v>22</v>
      </c>
      <c r="C250" t="s">
        <v>8</v>
      </c>
      <c r="D250" t="s">
        <v>17</v>
      </c>
      <c r="E250">
        <v>839.19</v>
      </c>
      <c r="F250">
        <v>548.07000000000005</v>
      </c>
      <c r="G250">
        <v>1</v>
      </c>
      <c r="H250">
        <f t="shared" si="18"/>
        <v>839.19</v>
      </c>
      <c r="I250">
        <f t="shared" si="22"/>
        <v>548.07000000000005</v>
      </c>
      <c r="J250">
        <f t="shared" si="19"/>
        <v>291.12</v>
      </c>
      <c r="K250" s="8">
        <f t="shared" si="20"/>
        <v>0.3469059450184106</v>
      </c>
      <c r="L250" t="str">
        <f t="shared" si="23"/>
        <v>2024-12</v>
      </c>
      <c r="M250">
        <f t="shared" si="21"/>
        <v>291.12</v>
      </c>
    </row>
    <row r="251" spans="1:13" x14ac:dyDescent="0.25">
      <c r="A251" s="1">
        <v>45356</v>
      </c>
      <c r="B251" t="s">
        <v>22</v>
      </c>
      <c r="C251" t="s">
        <v>8</v>
      </c>
      <c r="D251" t="s">
        <v>9</v>
      </c>
      <c r="E251">
        <v>1536.57</v>
      </c>
      <c r="F251">
        <v>1286.1199999999999</v>
      </c>
      <c r="G251">
        <v>2</v>
      </c>
      <c r="H251">
        <f t="shared" si="18"/>
        <v>3073.14</v>
      </c>
      <c r="I251">
        <f t="shared" si="22"/>
        <v>2572.2399999999998</v>
      </c>
      <c r="J251">
        <f t="shared" si="19"/>
        <v>500.90000000000009</v>
      </c>
      <c r="K251" s="8">
        <f t="shared" si="20"/>
        <v>0.16299289977026757</v>
      </c>
      <c r="L251" t="str">
        <f t="shared" si="23"/>
        <v>2024-03</v>
      </c>
      <c r="M251">
        <f t="shared" si="21"/>
        <v>500.90000000000009</v>
      </c>
    </row>
    <row r="252" spans="1:13" x14ac:dyDescent="0.25">
      <c r="A252" s="1">
        <v>45277</v>
      </c>
      <c r="B252" t="s">
        <v>25</v>
      </c>
      <c r="C252" t="s">
        <v>15</v>
      </c>
      <c r="D252" t="s">
        <v>13</v>
      </c>
      <c r="E252">
        <v>203.61</v>
      </c>
      <c r="F252">
        <v>153.1</v>
      </c>
      <c r="G252">
        <v>7</v>
      </c>
      <c r="H252">
        <f t="shared" si="18"/>
        <v>1425.27</v>
      </c>
      <c r="I252">
        <f t="shared" si="22"/>
        <v>1071.7</v>
      </c>
      <c r="J252">
        <f t="shared" si="19"/>
        <v>353.56999999999994</v>
      </c>
      <c r="K252" s="8">
        <f t="shared" si="20"/>
        <v>0.24807229507391579</v>
      </c>
      <c r="L252" t="str">
        <f t="shared" si="23"/>
        <v>2023-12</v>
      </c>
      <c r="M252">
        <f t="shared" si="21"/>
        <v>353.56999999999994</v>
      </c>
    </row>
    <row r="253" spans="1:13" x14ac:dyDescent="0.25">
      <c r="A253" s="1">
        <v>45532</v>
      </c>
      <c r="B253" t="s">
        <v>14</v>
      </c>
      <c r="C253" t="s">
        <v>15</v>
      </c>
      <c r="D253" t="s">
        <v>9</v>
      </c>
      <c r="E253">
        <v>1036.1099999999999</v>
      </c>
      <c r="F253">
        <v>880.1</v>
      </c>
      <c r="G253">
        <v>7</v>
      </c>
      <c r="H253">
        <f t="shared" si="18"/>
        <v>7252.7699999999995</v>
      </c>
      <c r="I253">
        <f t="shared" si="22"/>
        <v>6160.7</v>
      </c>
      <c r="J253">
        <f t="shared" si="19"/>
        <v>1092.0699999999997</v>
      </c>
      <c r="K253" s="8">
        <f t="shared" si="20"/>
        <v>0.15057281562768429</v>
      </c>
      <c r="L253" t="str">
        <f t="shared" si="23"/>
        <v>2024-08</v>
      </c>
      <c r="M253">
        <f t="shared" si="21"/>
        <v>1092.0699999999997</v>
      </c>
    </row>
    <row r="254" spans="1:13" x14ac:dyDescent="0.25">
      <c r="A254" s="1">
        <v>45033</v>
      </c>
      <c r="B254" t="s">
        <v>22</v>
      </c>
      <c r="C254" t="s">
        <v>8</v>
      </c>
      <c r="D254" t="s">
        <v>13</v>
      </c>
      <c r="E254">
        <v>1087.93</v>
      </c>
      <c r="F254">
        <v>681.79</v>
      </c>
      <c r="G254">
        <v>4</v>
      </c>
      <c r="H254">
        <f t="shared" si="18"/>
        <v>4351.72</v>
      </c>
      <c r="I254">
        <f t="shared" si="22"/>
        <v>2727.16</v>
      </c>
      <c r="J254">
        <f t="shared" si="19"/>
        <v>1624.5600000000004</v>
      </c>
      <c r="K254" s="8">
        <f t="shared" si="20"/>
        <v>0.37331445957000919</v>
      </c>
      <c r="L254" t="str">
        <f t="shared" si="23"/>
        <v>2023-04</v>
      </c>
      <c r="M254">
        <f t="shared" si="21"/>
        <v>1624.5600000000004</v>
      </c>
    </row>
    <row r="255" spans="1:13" x14ac:dyDescent="0.25">
      <c r="A255" s="1">
        <v>44996</v>
      </c>
      <c r="B255" t="s">
        <v>24</v>
      </c>
      <c r="C255" t="s">
        <v>20</v>
      </c>
      <c r="D255" t="s">
        <v>17</v>
      </c>
      <c r="E255">
        <v>1021.92</v>
      </c>
      <c r="F255">
        <v>851.05</v>
      </c>
      <c r="G255">
        <v>4</v>
      </c>
      <c r="H255">
        <f t="shared" si="18"/>
        <v>4087.68</v>
      </c>
      <c r="I255">
        <f t="shared" si="22"/>
        <v>3404.2</v>
      </c>
      <c r="J255">
        <f t="shared" si="19"/>
        <v>683.48</v>
      </c>
      <c r="K255" s="8">
        <f t="shared" si="20"/>
        <v>0.16720486926569594</v>
      </c>
      <c r="L255" t="str">
        <f t="shared" si="23"/>
        <v>2023-03</v>
      </c>
      <c r="M255">
        <f t="shared" si="21"/>
        <v>683.48</v>
      </c>
    </row>
    <row r="256" spans="1:13" x14ac:dyDescent="0.25">
      <c r="A256" s="1">
        <v>45359</v>
      </c>
      <c r="B256" t="s">
        <v>12</v>
      </c>
      <c r="C256" t="s">
        <v>8</v>
      </c>
      <c r="D256" t="s">
        <v>18</v>
      </c>
      <c r="E256">
        <v>452.35</v>
      </c>
      <c r="F256">
        <v>283.48</v>
      </c>
      <c r="G256">
        <v>7</v>
      </c>
      <c r="H256">
        <f t="shared" si="18"/>
        <v>3166.4500000000003</v>
      </c>
      <c r="I256">
        <f t="shared" si="22"/>
        <v>1984.3600000000001</v>
      </c>
      <c r="J256">
        <f t="shared" si="19"/>
        <v>1182.0900000000001</v>
      </c>
      <c r="K256" s="8">
        <f t="shared" si="20"/>
        <v>0.3733171216978004</v>
      </c>
      <c r="L256" t="str">
        <f t="shared" si="23"/>
        <v>2024-03</v>
      </c>
      <c r="M256">
        <f t="shared" si="21"/>
        <v>1182.0900000000001</v>
      </c>
    </row>
    <row r="257" spans="1:13" x14ac:dyDescent="0.25">
      <c r="A257" s="1">
        <v>44935</v>
      </c>
      <c r="B257" t="s">
        <v>7</v>
      </c>
      <c r="C257" t="s">
        <v>8</v>
      </c>
      <c r="D257" t="s">
        <v>9</v>
      </c>
      <c r="E257">
        <v>930.13</v>
      </c>
      <c r="F257">
        <v>578.79999999999995</v>
      </c>
      <c r="G257">
        <v>3</v>
      </c>
      <c r="H257">
        <f t="shared" si="18"/>
        <v>2790.39</v>
      </c>
      <c r="I257">
        <f t="shared" si="22"/>
        <v>1736.3999999999999</v>
      </c>
      <c r="J257">
        <f t="shared" si="19"/>
        <v>1053.99</v>
      </c>
      <c r="K257" s="8">
        <f t="shared" si="20"/>
        <v>0.37772139378366465</v>
      </c>
      <c r="L257" t="str">
        <f t="shared" si="23"/>
        <v>2023-01</v>
      </c>
      <c r="M257">
        <f t="shared" si="21"/>
        <v>1053.99</v>
      </c>
    </row>
    <row r="258" spans="1:13" x14ac:dyDescent="0.25">
      <c r="A258" s="1">
        <v>45543</v>
      </c>
      <c r="B258" t="s">
        <v>16</v>
      </c>
      <c r="C258" t="s">
        <v>15</v>
      </c>
      <c r="D258" t="s">
        <v>9</v>
      </c>
      <c r="E258">
        <v>1037.3599999999999</v>
      </c>
      <c r="F258">
        <v>782.92</v>
      </c>
      <c r="G258">
        <v>1</v>
      </c>
      <c r="H258">
        <f t="shared" si="18"/>
        <v>1037.3599999999999</v>
      </c>
      <c r="I258">
        <f t="shared" si="22"/>
        <v>782.92</v>
      </c>
      <c r="J258">
        <f t="shared" si="19"/>
        <v>254.43999999999994</v>
      </c>
      <c r="K258" s="8">
        <f t="shared" si="20"/>
        <v>0.2452764710418755</v>
      </c>
      <c r="L258" t="str">
        <f t="shared" si="23"/>
        <v>2024-09</v>
      </c>
      <c r="M258">
        <f t="shared" si="21"/>
        <v>254.43999999999994</v>
      </c>
    </row>
    <row r="259" spans="1:13" x14ac:dyDescent="0.25">
      <c r="A259" s="1">
        <v>44726</v>
      </c>
      <c r="B259" t="s">
        <v>10</v>
      </c>
      <c r="C259" t="s">
        <v>11</v>
      </c>
      <c r="D259" t="s">
        <v>17</v>
      </c>
      <c r="E259">
        <v>1004.02</v>
      </c>
      <c r="F259">
        <v>562.16999999999996</v>
      </c>
      <c r="G259">
        <v>10</v>
      </c>
      <c r="H259">
        <f t="shared" ref="H259:H322" si="24">E259*G259</f>
        <v>10040.200000000001</v>
      </c>
      <c r="I259">
        <f t="shared" si="22"/>
        <v>5621.7</v>
      </c>
      <c r="J259">
        <f t="shared" ref="J259:J322" si="25">H259-I259</f>
        <v>4418.5000000000009</v>
      </c>
      <c r="K259" s="8">
        <f t="shared" ref="K259:K322" si="26">(H259-I259)/H259</f>
        <v>0.44008087488297054</v>
      </c>
      <c r="L259" t="str">
        <f t="shared" si="23"/>
        <v>2022-06</v>
      </c>
      <c r="M259">
        <f t="shared" ref="M259:M322" si="27">H259-I259</f>
        <v>4418.5000000000009</v>
      </c>
    </row>
    <row r="260" spans="1:13" x14ac:dyDescent="0.25">
      <c r="A260" s="1">
        <v>44661</v>
      </c>
      <c r="B260" t="s">
        <v>12</v>
      </c>
      <c r="C260" t="s">
        <v>8</v>
      </c>
      <c r="D260" t="s">
        <v>9</v>
      </c>
      <c r="E260">
        <v>850.12</v>
      </c>
      <c r="F260">
        <v>430.11</v>
      </c>
      <c r="G260">
        <v>6</v>
      </c>
      <c r="H260">
        <f t="shared" si="24"/>
        <v>5100.72</v>
      </c>
      <c r="I260">
        <f t="shared" ref="I260:I323" si="28">F260*G260</f>
        <v>2580.66</v>
      </c>
      <c r="J260">
        <f t="shared" si="25"/>
        <v>2520.0600000000004</v>
      </c>
      <c r="K260" s="8">
        <f t="shared" si="26"/>
        <v>0.49405966216534142</v>
      </c>
      <c r="L260" t="str">
        <f t="shared" ref="L260:L323" si="29">TEXT(A260,"rrrr-mm")</f>
        <v>2022-04</v>
      </c>
      <c r="M260">
        <f t="shared" si="27"/>
        <v>2520.0600000000004</v>
      </c>
    </row>
    <row r="261" spans="1:13" x14ac:dyDescent="0.25">
      <c r="A261" s="1">
        <v>44747</v>
      </c>
      <c r="B261" t="s">
        <v>12</v>
      </c>
      <c r="C261" t="s">
        <v>8</v>
      </c>
      <c r="D261" t="s">
        <v>9</v>
      </c>
      <c r="E261">
        <v>941.83</v>
      </c>
      <c r="F261">
        <v>788.77</v>
      </c>
      <c r="G261">
        <v>10</v>
      </c>
      <c r="H261">
        <f t="shared" si="24"/>
        <v>9418.3000000000011</v>
      </c>
      <c r="I261">
        <f t="shared" si="28"/>
        <v>7887.7</v>
      </c>
      <c r="J261">
        <f t="shared" si="25"/>
        <v>1530.6000000000013</v>
      </c>
      <c r="K261" s="8">
        <f t="shared" si="26"/>
        <v>0.16251340475457365</v>
      </c>
      <c r="L261" t="str">
        <f t="shared" si="29"/>
        <v>2022-07</v>
      </c>
      <c r="M261">
        <f t="shared" si="27"/>
        <v>1530.6000000000013</v>
      </c>
    </row>
    <row r="262" spans="1:13" x14ac:dyDescent="0.25">
      <c r="A262" s="1">
        <v>45501</v>
      </c>
      <c r="B262" t="s">
        <v>22</v>
      </c>
      <c r="C262" t="s">
        <v>8</v>
      </c>
      <c r="D262" t="s">
        <v>17</v>
      </c>
      <c r="E262">
        <v>579.30999999999995</v>
      </c>
      <c r="F262">
        <v>425.66</v>
      </c>
      <c r="G262">
        <v>2</v>
      </c>
      <c r="H262">
        <f t="shared" si="24"/>
        <v>1158.6199999999999</v>
      </c>
      <c r="I262">
        <f t="shared" si="28"/>
        <v>851.32</v>
      </c>
      <c r="J262">
        <f t="shared" si="25"/>
        <v>307.29999999999984</v>
      </c>
      <c r="K262" s="8">
        <f t="shared" si="26"/>
        <v>0.26522932454126452</v>
      </c>
      <c r="L262" t="str">
        <f t="shared" si="29"/>
        <v>2024-07</v>
      </c>
      <c r="M262">
        <f t="shared" si="27"/>
        <v>307.29999999999984</v>
      </c>
    </row>
    <row r="263" spans="1:13" x14ac:dyDescent="0.25">
      <c r="A263" s="1">
        <v>45284</v>
      </c>
      <c r="B263" t="s">
        <v>16</v>
      </c>
      <c r="C263" t="s">
        <v>15</v>
      </c>
      <c r="D263" t="s">
        <v>9</v>
      </c>
      <c r="E263">
        <v>748.18</v>
      </c>
      <c r="F263">
        <v>503.44</v>
      </c>
      <c r="G263">
        <v>7</v>
      </c>
      <c r="H263">
        <f t="shared" si="24"/>
        <v>5237.2599999999993</v>
      </c>
      <c r="I263">
        <f t="shared" si="28"/>
        <v>3524.08</v>
      </c>
      <c r="J263">
        <f t="shared" si="25"/>
        <v>1713.1799999999994</v>
      </c>
      <c r="K263" s="8">
        <f t="shared" si="26"/>
        <v>0.32711379614531255</v>
      </c>
      <c r="L263" t="str">
        <f t="shared" si="29"/>
        <v>2023-12</v>
      </c>
      <c r="M263">
        <f t="shared" si="27"/>
        <v>1713.1799999999994</v>
      </c>
    </row>
    <row r="264" spans="1:13" x14ac:dyDescent="0.25">
      <c r="A264" s="1">
        <v>44895</v>
      </c>
      <c r="B264" t="s">
        <v>22</v>
      </c>
      <c r="C264" t="s">
        <v>8</v>
      </c>
      <c r="D264" t="s">
        <v>17</v>
      </c>
      <c r="E264">
        <v>1231.9000000000001</v>
      </c>
      <c r="F264">
        <v>848.89</v>
      </c>
      <c r="G264">
        <v>6</v>
      </c>
      <c r="H264">
        <f t="shared" si="24"/>
        <v>7391.4000000000005</v>
      </c>
      <c r="I264">
        <f t="shared" si="28"/>
        <v>5093.34</v>
      </c>
      <c r="J264">
        <f t="shared" si="25"/>
        <v>2298.0600000000004</v>
      </c>
      <c r="K264" s="8">
        <f t="shared" si="26"/>
        <v>0.31090997645912821</v>
      </c>
      <c r="L264" t="str">
        <f t="shared" si="29"/>
        <v>2022-11</v>
      </c>
      <c r="M264">
        <f t="shared" si="27"/>
        <v>2298.0600000000004</v>
      </c>
    </row>
    <row r="265" spans="1:13" x14ac:dyDescent="0.25">
      <c r="A265" s="1">
        <v>44590</v>
      </c>
      <c r="B265" t="s">
        <v>24</v>
      </c>
      <c r="C265" t="s">
        <v>20</v>
      </c>
      <c r="D265" t="s">
        <v>9</v>
      </c>
      <c r="E265">
        <v>220.72</v>
      </c>
      <c r="F265">
        <v>183.12</v>
      </c>
      <c r="G265">
        <v>8</v>
      </c>
      <c r="H265">
        <f t="shared" si="24"/>
        <v>1765.76</v>
      </c>
      <c r="I265">
        <f t="shared" si="28"/>
        <v>1464.96</v>
      </c>
      <c r="J265">
        <f t="shared" si="25"/>
        <v>300.79999999999995</v>
      </c>
      <c r="K265" s="8">
        <f t="shared" si="26"/>
        <v>0.17035157665820946</v>
      </c>
      <c r="L265" t="str">
        <f t="shared" si="29"/>
        <v>2022-01</v>
      </c>
      <c r="M265">
        <f t="shared" si="27"/>
        <v>300.79999999999995</v>
      </c>
    </row>
    <row r="266" spans="1:13" x14ac:dyDescent="0.25">
      <c r="A266" s="1">
        <v>45245</v>
      </c>
      <c r="B266" t="s">
        <v>22</v>
      </c>
      <c r="C266" t="s">
        <v>8</v>
      </c>
      <c r="D266" t="s">
        <v>18</v>
      </c>
      <c r="E266">
        <v>1980.28</v>
      </c>
      <c r="F266">
        <v>1116.54</v>
      </c>
      <c r="G266">
        <v>1</v>
      </c>
      <c r="H266">
        <f t="shared" si="24"/>
        <v>1980.28</v>
      </c>
      <c r="I266">
        <f t="shared" si="28"/>
        <v>1116.54</v>
      </c>
      <c r="J266">
        <f t="shared" si="25"/>
        <v>863.74</v>
      </c>
      <c r="K266" s="8">
        <f t="shared" si="26"/>
        <v>0.43617064253539906</v>
      </c>
      <c r="L266" t="str">
        <f t="shared" si="29"/>
        <v>2023-11</v>
      </c>
      <c r="M266">
        <f t="shared" si="27"/>
        <v>863.74</v>
      </c>
    </row>
    <row r="267" spans="1:13" x14ac:dyDescent="0.25">
      <c r="A267" s="1">
        <v>45210</v>
      </c>
      <c r="B267" t="s">
        <v>22</v>
      </c>
      <c r="C267" t="s">
        <v>8</v>
      </c>
      <c r="D267" t="s">
        <v>13</v>
      </c>
      <c r="E267">
        <v>301.11</v>
      </c>
      <c r="F267">
        <v>195.36</v>
      </c>
      <c r="G267">
        <v>3</v>
      </c>
      <c r="H267">
        <f t="shared" si="24"/>
        <v>903.33</v>
      </c>
      <c r="I267">
        <f t="shared" si="28"/>
        <v>586.08000000000004</v>
      </c>
      <c r="J267">
        <f t="shared" si="25"/>
        <v>317.25</v>
      </c>
      <c r="K267" s="8">
        <f t="shared" si="26"/>
        <v>0.35120055793563815</v>
      </c>
      <c r="L267" t="str">
        <f t="shared" si="29"/>
        <v>2023-10</v>
      </c>
      <c r="M267">
        <f t="shared" si="27"/>
        <v>317.25</v>
      </c>
    </row>
    <row r="268" spans="1:13" x14ac:dyDescent="0.25">
      <c r="A268" s="1">
        <v>45362</v>
      </c>
      <c r="B268" t="s">
        <v>22</v>
      </c>
      <c r="C268" t="s">
        <v>8</v>
      </c>
      <c r="D268" t="s">
        <v>17</v>
      </c>
      <c r="E268">
        <v>961.03</v>
      </c>
      <c r="F268">
        <v>737.61</v>
      </c>
      <c r="G268">
        <v>4</v>
      </c>
      <c r="H268">
        <f t="shared" si="24"/>
        <v>3844.12</v>
      </c>
      <c r="I268">
        <f t="shared" si="28"/>
        <v>2950.44</v>
      </c>
      <c r="J268">
        <f t="shared" si="25"/>
        <v>893.67999999999984</v>
      </c>
      <c r="K268" s="8">
        <f t="shared" si="26"/>
        <v>0.23247973528401816</v>
      </c>
      <c r="L268" t="str">
        <f t="shared" si="29"/>
        <v>2024-03</v>
      </c>
      <c r="M268">
        <f t="shared" si="27"/>
        <v>893.67999999999984</v>
      </c>
    </row>
    <row r="269" spans="1:13" x14ac:dyDescent="0.25">
      <c r="A269" s="1">
        <v>44787</v>
      </c>
      <c r="B269" t="s">
        <v>25</v>
      </c>
      <c r="C269" t="s">
        <v>15</v>
      </c>
      <c r="D269" t="s">
        <v>17</v>
      </c>
      <c r="E269">
        <v>974.61</v>
      </c>
      <c r="F269">
        <v>729.76</v>
      </c>
      <c r="G269">
        <v>7</v>
      </c>
      <c r="H269">
        <f t="shared" si="24"/>
        <v>6822.27</v>
      </c>
      <c r="I269">
        <f t="shared" si="28"/>
        <v>5108.32</v>
      </c>
      <c r="J269">
        <f t="shared" si="25"/>
        <v>1713.9500000000007</v>
      </c>
      <c r="K269" s="8">
        <f t="shared" si="26"/>
        <v>0.25122869660684793</v>
      </c>
      <c r="L269" t="str">
        <f t="shared" si="29"/>
        <v>2022-08</v>
      </c>
      <c r="M269">
        <f t="shared" si="27"/>
        <v>1713.9500000000007</v>
      </c>
    </row>
    <row r="270" spans="1:13" x14ac:dyDescent="0.25">
      <c r="A270" s="1">
        <v>45591</v>
      </c>
      <c r="B270" t="s">
        <v>23</v>
      </c>
      <c r="C270" t="s">
        <v>11</v>
      </c>
      <c r="D270" t="s">
        <v>9</v>
      </c>
      <c r="E270">
        <v>1576.88</v>
      </c>
      <c r="F270">
        <v>921.51</v>
      </c>
      <c r="G270">
        <v>5</v>
      </c>
      <c r="H270">
        <f t="shared" si="24"/>
        <v>7884.4000000000005</v>
      </c>
      <c r="I270">
        <f t="shared" si="28"/>
        <v>4607.55</v>
      </c>
      <c r="J270">
        <f t="shared" si="25"/>
        <v>3276.8500000000004</v>
      </c>
      <c r="K270" s="8">
        <f t="shared" si="26"/>
        <v>0.41561184110395211</v>
      </c>
      <c r="L270" t="str">
        <f t="shared" si="29"/>
        <v>2024-10</v>
      </c>
      <c r="M270">
        <f t="shared" si="27"/>
        <v>3276.8500000000004</v>
      </c>
    </row>
    <row r="271" spans="1:13" x14ac:dyDescent="0.25">
      <c r="A271" s="1">
        <v>44999</v>
      </c>
      <c r="B271" t="s">
        <v>19</v>
      </c>
      <c r="C271" t="s">
        <v>20</v>
      </c>
      <c r="D271" t="s">
        <v>17</v>
      </c>
      <c r="E271">
        <v>1765.81</v>
      </c>
      <c r="F271">
        <v>1399.9</v>
      </c>
      <c r="G271">
        <v>5</v>
      </c>
      <c r="H271">
        <f t="shared" si="24"/>
        <v>8829.0499999999993</v>
      </c>
      <c r="I271">
        <f t="shared" si="28"/>
        <v>6999.5</v>
      </c>
      <c r="J271">
        <f t="shared" si="25"/>
        <v>1829.5499999999993</v>
      </c>
      <c r="K271" s="8">
        <f t="shared" si="26"/>
        <v>0.20721934976016665</v>
      </c>
      <c r="L271" t="str">
        <f t="shared" si="29"/>
        <v>2023-03</v>
      </c>
      <c r="M271">
        <f t="shared" si="27"/>
        <v>1829.5499999999993</v>
      </c>
    </row>
    <row r="272" spans="1:13" x14ac:dyDescent="0.25">
      <c r="A272" s="1">
        <v>44826</v>
      </c>
      <c r="B272" t="s">
        <v>16</v>
      </c>
      <c r="C272" t="s">
        <v>15</v>
      </c>
      <c r="D272" t="s">
        <v>17</v>
      </c>
      <c r="E272">
        <v>832.64</v>
      </c>
      <c r="F272">
        <v>694.02</v>
      </c>
      <c r="G272">
        <v>1</v>
      </c>
      <c r="H272">
        <f t="shared" si="24"/>
        <v>832.64</v>
      </c>
      <c r="I272">
        <f t="shared" si="28"/>
        <v>694.02</v>
      </c>
      <c r="J272">
        <f t="shared" si="25"/>
        <v>138.62</v>
      </c>
      <c r="K272" s="8">
        <f t="shared" si="26"/>
        <v>0.16648251345119139</v>
      </c>
      <c r="L272" t="str">
        <f t="shared" si="29"/>
        <v>2022-09</v>
      </c>
      <c r="M272">
        <f t="shared" si="27"/>
        <v>138.62</v>
      </c>
    </row>
    <row r="273" spans="1:13" x14ac:dyDescent="0.25">
      <c r="A273" s="1">
        <v>45219</v>
      </c>
      <c r="B273" t="s">
        <v>21</v>
      </c>
      <c r="C273" t="s">
        <v>20</v>
      </c>
      <c r="D273" t="s">
        <v>13</v>
      </c>
      <c r="E273">
        <v>602.16</v>
      </c>
      <c r="F273">
        <v>331.55</v>
      </c>
      <c r="G273">
        <v>9</v>
      </c>
      <c r="H273">
        <f t="shared" si="24"/>
        <v>5419.44</v>
      </c>
      <c r="I273">
        <f t="shared" si="28"/>
        <v>2983.9500000000003</v>
      </c>
      <c r="J273">
        <f t="shared" si="25"/>
        <v>2435.4899999999993</v>
      </c>
      <c r="K273" s="8">
        <f t="shared" si="26"/>
        <v>0.44939883087551474</v>
      </c>
      <c r="L273" t="str">
        <f t="shared" si="29"/>
        <v>2023-10</v>
      </c>
      <c r="M273">
        <f t="shared" si="27"/>
        <v>2435.4899999999993</v>
      </c>
    </row>
    <row r="274" spans="1:13" x14ac:dyDescent="0.25">
      <c r="A274" s="1">
        <v>45498</v>
      </c>
      <c r="B274" t="s">
        <v>24</v>
      </c>
      <c r="C274" t="s">
        <v>20</v>
      </c>
      <c r="D274" t="s">
        <v>17</v>
      </c>
      <c r="E274">
        <v>220.81</v>
      </c>
      <c r="F274">
        <v>161.33000000000001</v>
      </c>
      <c r="G274">
        <v>7</v>
      </c>
      <c r="H274">
        <f t="shared" si="24"/>
        <v>1545.67</v>
      </c>
      <c r="I274">
        <f t="shared" si="28"/>
        <v>1129.3100000000002</v>
      </c>
      <c r="J274">
        <f t="shared" si="25"/>
        <v>416.3599999999999</v>
      </c>
      <c r="K274" s="8">
        <f t="shared" si="26"/>
        <v>0.26937185815859782</v>
      </c>
      <c r="L274" t="str">
        <f t="shared" si="29"/>
        <v>2024-07</v>
      </c>
      <c r="M274">
        <f t="shared" si="27"/>
        <v>416.3599999999999</v>
      </c>
    </row>
    <row r="275" spans="1:13" x14ac:dyDescent="0.25">
      <c r="A275" s="1">
        <v>44843</v>
      </c>
      <c r="B275" t="s">
        <v>23</v>
      </c>
      <c r="C275" t="s">
        <v>11</v>
      </c>
      <c r="D275" t="s">
        <v>17</v>
      </c>
      <c r="E275">
        <v>148.4</v>
      </c>
      <c r="F275">
        <v>113.29</v>
      </c>
      <c r="G275">
        <v>6</v>
      </c>
      <c r="H275">
        <f t="shared" si="24"/>
        <v>890.40000000000009</v>
      </c>
      <c r="I275">
        <f t="shared" si="28"/>
        <v>679.74</v>
      </c>
      <c r="J275">
        <f t="shared" si="25"/>
        <v>210.66000000000008</v>
      </c>
      <c r="K275" s="8">
        <f t="shared" si="26"/>
        <v>0.23659029649595695</v>
      </c>
      <c r="L275" t="str">
        <f t="shared" si="29"/>
        <v>2022-10</v>
      </c>
      <c r="M275">
        <f t="shared" si="27"/>
        <v>210.66000000000008</v>
      </c>
    </row>
    <row r="276" spans="1:13" x14ac:dyDescent="0.25">
      <c r="A276" s="1">
        <v>45120</v>
      </c>
      <c r="B276" t="s">
        <v>16</v>
      </c>
      <c r="C276" t="s">
        <v>15</v>
      </c>
      <c r="D276" t="s">
        <v>13</v>
      </c>
      <c r="E276">
        <v>1512.31</v>
      </c>
      <c r="F276">
        <v>1112.19</v>
      </c>
      <c r="G276">
        <v>8</v>
      </c>
      <c r="H276">
        <f t="shared" si="24"/>
        <v>12098.48</v>
      </c>
      <c r="I276">
        <f t="shared" si="28"/>
        <v>8897.52</v>
      </c>
      <c r="J276">
        <f t="shared" si="25"/>
        <v>3200.9599999999991</v>
      </c>
      <c r="K276" s="8">
        <f t="shared" si="26"/>
        <v>0.26457538467642211</v>
      </c>
      <c r="L276" t="str">
        <f t="shared" si="29"/>
        <v>2023-07</v>
      </c>
      <c r="M276">
        <f t="shared" si="27"/>
        <v>3200.9599999999991</v>
      </c>
    </row>
    <row r="277" spans="1:13" x14ac:dyDescent="0.25">
      <c r="A277" s="1">
        <v>45489</v>
      </c>
      <c r="B277" t="s">
        <v>7</v>
      </c>
      <c r="C277" t="s">
        <v>8</v>
      </c>
      <c r="D277" t="s">
        <v>17</v>
      </c>
      <c r="E277">
        <v>803.03</v>
      </c>
      <c r="F277">
        <v>488.87</v>
      </c>
      <c r="G277">
        <v>10</v>
      </c>
      <c r="H277">
        <f t="shared" si="24"/>
        <v>8030.2999999999993</v>
      </c>
      <c r="I277">
        <f t="shared" si="28"/>
        <v>4888.7</v>
      </c>
      <c r="J277">
        <f t="shared" si="25"/>
        <v>3141.5999999999995</v>
      </c>
      <c r="K277" s="8">
        <f t="shared" si="26"/>
        <v>0.3912182608370795</v>
      </c>
      <c r="L277" t="str">
        <f t="shared" si="29"/>
        <v>2024-07</v>
      </c>
      <c r="M277">
        <f t="shared" si="27"/>
        <v>3141.5999999999995</v>
      </c>
    </row>
    <row r="278" spans="1:13" x14ac:dyDescent="0.25">
      <c r="A278" s="1">
        <v>45063</v>
      </c>
      <c r="B278" t="s">
        <v>19</v>
      </c>
      <c r="C278" t="s">
        <v>20</v>
      </c>
      <c r="D278" t="s">
        <v>18</v>
      </c>
      <c r="E278">
        <v>1951.27</v>
      </c>
      <c r="F278">
        <v>1024.83</v>
      </c>
      <c r="G278">
        <v>1</v>
      </c>
      <c r="H278">
        <f t="shared" si="24"/>
        <v>1951.27</v>
      </c>
      <c r="I278">
        <f t="shared" si="28"/>
        <v>1024.83</v>
      </c>
      <c r="J278">
        <f t="shared" si="25"/>
        <v>926.44</v>
      </c>
      <c r="K278" s="8">
        <f t="shared" si="26"/>
        <v>0.47478821485494066</v>
      </c>
      <c r="L278" t="str">
        <f t="shared" si="29"/>
        <v>2023-05</v>
      </c>
      <c r="M278">
        <f t="shared" si="27"/>
        <v>926.44</v>
      </c>
    </row>
    <row r="279" spans="1:13" x14ac:dyDescent="0.25">
      <c r="A279" s="1">
        <v>45151</v>
      </c>
      <c r="B279" t="s">
        <v>25</v>
      </c>
      <c r="C279" t="s">
        <v>15</v>
      </c>
      <c r="D279" t="s">
        <v>13</v>
      </c>
      <c r="E279">
        <v>787.99</v>
      </c>
      <c r="F279">
        <v>593.78</v>
      </c>
      <c r="G279">
        <v>7</v>
      </c>
      <c r="H279">
        <f t="shared" si="24"/>
        <v>5515.93</v>
      </c>
      <c r="I279">
        <f t="shared" si="28"/>
        <v>4156.46</v>
      </c>
      <c r="J279">
        <f t="shared" si="25"/>
        <v>1359.4700000000003</v>
      </c>
      <c r="K279" s="8">
        <f t="shared" si="26"/>
        <v>0.24646251855988024</v>
      </c>
      <c r="L279" t="str">
        <f t="shared" si="29"/>
        <v>2023-08</v>
      </c>
      <c r="M279">
        <f t="shared" si="27"/>
        <v>1359.4700000000003</v>
      </c>
    </row>
    <row r="280" spans="1:13" x14ac:dyDescent="0.25">
      <c r="A280" s="1">
        <v>45517</v>
      </c>
      <c r="B280" t="s">
        <v>7</v>
      </c>
      <c r="C280" t="s">
        <v>8</v>
      </c>
      <c r="D280" t="s">
        <v>18</v>
      </c>
      <c r="E280">
        <v>116.04</v>
      </c>
      <c r="F280">
        <v>80.569999999999993</v>
      </c>
      <c r="G280">
        <v>9</v>
      </c>
      <c r="H280">
        <f t="shared" si="24"/>
        <v>1044.3600000000001</v>
      </c>
      <c r="I280">
        <f t="shared" si="28"/>
        <v>725.12999999999988</v>
      </c>
      <c r="J280">
        <f t="shared" si="25"/>
        <v>319.23000000000025</v>
      </c>
      <c r="K280" s="8">
        <f t="shared" si="26"/>
        <v>0.30567045846259933</v>
      </c>
      <c r="L280" t="str">
        <f t="shared" si="29"/>
        <v>2024-08</v>
      </c>
      <c r="M280">
        <f t="shared" si="27"/>
        <v>319.23000000000025</v>
      </c>
    </row>
    <row r="281" spans="1:13" x14ac:dyDescent="0.25">
      <c r="A281" s="1">
        <v>44598</v>
      </c>
      <c r="B281" t="s">
        <v>22</v>
      </c>
      <c r="C281" t="s">
        <v>8</v>
      </c>
      <c r="D281" t="s">
        <v>18</v>
      </c>
      <c r="E281">
        <v>921.58</v>
      </c>
      <c r="F281">
        <v>794.11</v>
      </c>
      <c r="G281">
        <v>7</v>
      </c>
      <c r="H281">
        <f t="shared" si="24"/>
        <v>6451.06</v>
      </c>
      <c r="I281">
        <f t="shared" si="28"/>
        <v>5558.77</v>
      </c>
      <c r="J281">
        <f t="shared" si="25"/>
        <v>892.29</v>
      </c>
      <c r="K281" s="8">
        <f t="shared" si="26"/>
        <v>0.13831680375008137</v>
      </c>
      <c r="L281" t="str">
        <f t="shared" si="29"/>
        <v>2022-02</v>
      </c>
      <c r="M281">
        <f t="shared" si="27"/>
        <v>892.29</v>
      </c>
    </row>
    <row r="282" spans="1:13" x14ac:dyDescent="0.25">
      <c r="A282" s="1">
        <v>45161</v>
      </c>
      <c r="B282" t="s">
        <v>12</v>
      </c>
      <c r="C282" t="s">
        <v>8</v>
      </c>
      <c r="D282" t="s">
        <v>13</v>
      </c>
      <c r="E282">
        <v>1731.17</v>
      </c>
      <c r="F282">
        <v>1147.5999999999999</v>
      </c>
      <c r="G282">
        <v>6</v>
      </c>
      <c r="H282">
        <f t="shared" si="24"/>
        <v>10387.02</v>
      </c>
      <c r="I282">
        <f t="shared" si="28"/>
        <v>6885.5999999999995</v>
      </c>
      <c r="J282">
        <f t="shared" si="25"/>
        <v>3501.420000000001</v>
      </c>
      <c r="K282" s="8">
        <f t="shared" si="26"/>
        <v>0.33709572139073585</v>
      </c>
      <c r="L282" t="str">
        <f t="shared" si="29"/>
        <v>2023-08</v>
      </c>
      <c r="M282">
        <f t="shared" si="27"/>
        <v>3501.420000000001</v>
      </c>
    </row>
    <row r="283" spans="1:13" x14ac:dyDescent="0.25">
      <c r="A283" s="1">
        <v>45039</v>
      </c>
      <c r="B283" t="s">
        <v>21</v>
      </c>
      <c r="C283" t="s">
        <v>20</v>
      </c>
      <c r="D283" t="s">
        <v>9</v>
      </c>
      <c r="E283">
        <v>1113.75</v>
      </c>
      <c r="F283">
        <v>886.62</v>
      </c>
      <c r="G283">
        <v>6</v>
      </c>
      <c r="H283">
        <f t="shared" si="24"/>
        <v>6682.5</v>
      </c>
      <c r="I283">
        <f t="shared" si="28"/>
        <v>5319.72</v>
      </c>
      <c r="J283">
        <f t="shared" si="25"/>
        <v>1362.7799999999997</v>
      </c>
      <c r="K283" s="8">
        <f t="shared" si="26"/>
        <v>0.20393265993265988</v>
      </c>
      <c r="L283" t="str">
        <f t="shared" si="29"/>
        <v>2023-04</v>
      </c>
      <c r="M283">
        <f t="shared" si="27"/>
        <v>1362.7799999999997</v>
      </c>
    </row>
    <row r="284" spans="1:13" x14ac:dyDescent="0.25">
      <c r="A284" s="1">
        <v>45602</v>
      </c>
      <c r="B284" t="s">
        <v>19</v>
      </c>
      <c r="C284" t="s">
        <v>20</v>
      </c>
      <c r="D284" t="s">
        <v>18</v>
      </c>
      <c r="E284">
        <v>1794.02</v>
      </c>
      <c r="F284">
        <v>964.09</v>
      </c>
      <c r="G284">
        <v>7</v>
      </c>
      <c r="H284">
        <f t="shared" si="24"/>
        <v>12558.14</v>
      </c>
      <c r="I284">
        <f t="shared" si="28"/>
        <v>6748.63</v>
      </c>
      <c r="J284">
        <f t="shared" si="25"/>
        <v>5809.5099999999993</v>
      </c>
      <c r="K284" s="8">
        <f t="shared" si="26"/>
        <v>0.46260911249595876</v>
      </c>
      <c r="L284" t="str">
        <f t="shared" si="29"/>
        <v>2024-11</v>
      </c>
      <c r="M284">
        <f t="shared" si="27"/>
        <v>5809.5099999999993</v>
      </c>
    </row>
    <row r="285" spans="1:13" x14ac:dyDescent="0.25">
      <c r="A285" s="1">
        <v>44984</v>
      </c>
      <c r="B285" t="s">
        <v>22</v>
      </c>
      <c r="C285" t="s">
        <v>8</v>
      </c>
      <c r="D285" t="s">
        <v>17</v>
      </c>
      <c r="E285">
        <v>160.74</v>
      </c>
      <c r="F285">
        <v>121.62</v>
      </c>
      <c r="G285">
        <v>6</v>
      </c>
      <c r="H285">
        <f t="shared" si="24"/>
        <v>964.44</v>
      </c>
      <c r="I285">
        <f t="shared" si="28"/>
        <v>729.72</v>
      </c>
      <c r="J285">
        <f t="shared" si="25"/>
        <v>234.72000000000003</v>
      </c>
      <c r="K285" s="8">
        <f t="shared" si="26"/>
        <v>0.24337439343038447</v>
      </c>
      <c r="L285" t="str">
        <f t="shared" si="29"/>
        <v>2023-02</v>
      </c>
      <c r="M285">
        <f t="shared" si="27"/>
        <v>234.72000000000003</v>
      </c>
    </row>
    <row r="286" spans="1:13" x14ac:dyDescent="0.25">
      <c r="A286" s="1">
        <v>44983</v>
      </c>
      <c r="B286" t="s">
        <v>12</v>
      </c>
      <c r="C286" t="s">
        <v>8</v>
      </c>
      <c r="D286" t="s">
        <v>17</v>
      </c>
      <c r="E286">
        <v>1824.17</v>
      </c>
      <c r="F286">
        <v>1217.3499999999999</v>
      </c>
      <c r="G286">
        <v>9</v>
      </c>
      <c r="H286">
        <f t="shared" si="24"/>
        <v>16417.53</v>
      </c>
      <c r="I286">
        <f t="shared" si="28"/>
        <v>10956.15</v>
      </c>
      <c r="J286">
        <f t="shared" si="25"/>
        <v>5461.3799999999992</v>
      </c>
      <c r="K286" s="8">
        <f t="shared" si="26"/>
        <v>0.33265539944193795</v>
      </c>
      <c r="L286" t="str">
        <f t="shared" si="29"/>
        <v>2023-02</v>
      </c>
      <c r="M286">
        <f t="shared" si="27"/>
        <v>5461.3799999999992</v>
      </c>
    </row>
    <row r="287" spans="1:13" x14ac:dyDescent="0.25">
      <c r="A287" s="1">
        <v>44932</v>
      </c>
      <c r="B287" t="s">
        <v>24</v>
      </c>
      <c r="C287" t="s">
        <v>20</v>
      </c>
      <c r="D287" t="s">
        <v>18</v>
      </c>
      <c r="E287">
        <v>528.59</v>
      </c>
      <c r="F287">
        <v>316.19</v>
      </c>
      <c r="G287">
        <v>10</v>
      </c>
      <c r="H287">
        <f t="shared" si="24"/>
        <v>5285.9000000000005</v>
      </c>
      <c r="I287">
        <f t="shared" si="28"/>
        <v>3161.9</v>
      </c>
      <c r="J287">
        <f t="shared" si="25"/>
        <v>2124.0000000000005</v>
      </c>
      <c r="K287" s="8">
        <f t="shared" si="26"/>
        <v>0.40182371970714548</v>
      </c>
      <c r="L287" t="str">
        <f t="shared" si="29"/>
        <v>2023-01</v>
      </c>
      <c r="M287">
        <f t="shared" si="27"/>
        <v>2124.0000000000005</v>
      </c>
    </row>
    <row r="288" spans="1:13" x14ac:dyDescent="0.25">
      <c r="A288" s="1">
        <v>45267</v>
      </c>
      <c r="B288" t="s">
        <v>19</v>
      </c>
      <c r="C288" t="s">
        <v>20</v>
      </c>
      <c r="D288" t="s">
        <v>13</v>
      </c>
      <c r="E288">
        <v>1724.41</v>
      </c>
      <c r="F288">
        <v>1551.03</v>
      </c>
      <c r="G288">
        <v>5</v>
      </c>
      <c r="H288">
        <f t="shared" si="24"/>
        <v>8622.0500000000011</v>
      </c>
      <c r="I288">
        <f t="shared" si="28"/>
        <v>7755.15</v>
      </c>
      <c r="J288">
        <f t="shared" si="25"/>
        <v>866.90000000000146</v>
      </c>
      <c r="K288" s="8">
        <f t="shared" si="26"/>
        <v>0.10054453407252351</v>
      </c>
      <c r="L288" t="str">
        <f t="shared" si="29"/>
        <v>2023-12</v>
      </c>
      <c r="M288">
        <f t="shared" si="27"/>
        <v>866.90000000000146</v>
      </c>
    </row>
    <row r="289" spans="1:13" x14ac:dyDescent="0.25">
      <c r="A289" s="1">
        <v>44897</v>
      </c>
      <c r="B289" t="s">
        <v>7</v>
      </c>
      <c r="C289" t="s">
        <v>8</v>
      </c>
      <c r="D289" t="s">
        <v>13</v>
      </c>
      <c r="E289">
        <v>823.94</v>
      </c>
      <c r="F289">
        <v>511.47</v>
      </c>
      <c r="G289">
        <v>9</v>
      </c>
      <c r="H289">
        <f t="shared" si="24"/>
        <v>7415.4600000000009</v>
      </c>
      <c r="I289">
        <f t="shared" si="28"/>
        <v>4603.2300000000005</v>
      </c>
      <c r="J289">
        <f t="shared" si="25"/>
        <v>2812.2300000000005</v>
      </c>
      <c r="K289" s="8">
        <f t="shared" si="26"/>
        <v>0.37923877952278079</v>
      </c>
      <c r="L289" t="str">
        <f t="shared" si="29"/>
        <v>2022-12</v>
      </c>
      <c r="M289">
        <f t="shared" si="27"/>
        <v>2812.2300000000005</v>
      </c>
    </row>
    <row r="290" spans="1:13" x14ac:dyDescent="0.25">
      <c r="A290" s="1">
        <v>45107</v>
      </c>
      <c r="B290" t="s">
        <v>24</v>
      </c>
      <c r="C290" t="s">
        <v>20</v>
      </c>
      <c r="D290" t="s">
        <v>13</v>
      </c>
      <c r="E290">
        <v>902.77</v>
      </c>
      <c r="F290">
        <v>577.32000000000005</v>
      </c>
      <c r="G290">
        <v>7</v>
      </c>
      <c r="H290">
        <f t="shared" si="24"/>
        <v>6319.3899999999994</v>
      </c>
      <c r="I290">
        <f t="shared" si="28"/>
        <v>4041.2400000000002</v>
      </c>
      <c r="J290">
        <f t="shared" si="25"/>
        <v>2278.1499999999992</v>
      </c>
      <c r="K290" s="8">
        <f t="shared" si="26"/>
        <v>0.360501567398119</v>
      </c>
      <c r="L290" t="str">
        <f t="shared" si="29"/>
        <v>2023-06</v>
      </c>
      <c r="M290">
        <f t="shared" si="27"/>
        <v>2278.1499999999992</v>
      </c>
    </row>
    <row r="291" spans="1:13" x14ac:dyDescent="0.25">
      <c r="A291" s="1">
        <v>44821</v>
      </c>
      <c r="B291" t="s">
        <v>22</v>
      </c>
      <c r="C291" t="s">
        <v>8</v>
      </c>
      <c r="D291" t="s">
        <v>9</v>
      </c>
      <c r="E291">
        <v>1239.19</v>
      </c>
      <c r="F291">
        <v>797.42</v>
      </c>
      <c r="G291">
        <v>8</v>
      </c>
      <c r="H291">
        <f t="shared" si="24"/>
        <v>9913.52</v>
      </c>
      <c r="I291">
        <f t="shared" si="28"/>
        <v>6379.36</v>
      </c>
      <c r="J291">
        <f t="shared" si="25"/>
        <v>3534.1600000000008</v>
      </c>
      <c r="K291" s="8">
        <f t="shared" si="26"/>
        <v>0.35649900338124102</v>
      </c>
      <c r="L291" t="str">
        <f t="shared" si="29"/>
        <v>2022-09</v>
      </c>
      <c r="M291">
        <f t="shared" si="27"/>
        <v>3534.1600000000008</v>
      </c>
    </row>
    <row r="292" spans="1:13" x14ac:dyDescent="0.25">
      <c r="A292" s="1">
        <v>45171</v>
      </c>
      <c r="B292" t="s">
        <v>19</v>
      </c>
      <c r="C292" t="s">
        <v>20</v>
      </c>
      <c r="D292" t="s">
        <v>13</v>
      </c>
      <c r="E292">
        <v>28.96</v>
      </c>
      <c r="F292">
        <v>20.96</v>
      </c>
      <c r="G292">
        <v>3</v>
      </c>
      <c r="H292">
        <f t="shared" si="24"/>
        <v>86.88</v>
      </c>
      <c r="I292">
        <f t="shared" si="28"/>
        <v>62.88</v>
      </c>
      <c r="J292">
        <f t="shared" si="25"/>
        <v>23.999999999999993</v>
      </c>
      <c r="K292" s="8">
        <f t="shared" si="26"/>
        <v>0.27624309392265184</v>
      </c>
      <c r="L292" t="str">
        <f t="shared" si="29"/>
        <v>2023-09</v>
      </c>
      <c r="M292">
        <f t="shared" si="27"/>
        <v>23.999999999999993</v>
      </c>
    </row>
    <row r="293" spans="1:13" x14ac:dyDescent="0.25">
      <c r="A293" s="1">
        <v>45215</v>
      </c>
      <c r="B293" t="s">
        <v>16</v>
      </c>
      <c r="C293" t="s">
        <v>15</v>
      </c>
      <c r="D293" t="s">
        <v>17</v>
      </c>
      <c r="E293">
        <v>1008.76</v>
      </c>
      <c r="F293">
        <v>865.92</v>
      </c>
      <c r="G293">
        <v>4</v>
      </c>
      <c r="H293">
        <f t="shared" si="24"/>
        <v>4035.04</v>
      </c>
      <c r="I293">
        <f t="shared" si="28"/>
        <v>3463.68</v>
      </c>
      <c r="J293">
        <f t="shared" si="25"/>
        <v>571.36000000000013</v>
      </c>
      <c r="K293" s="8">
        <f t="shared" si="26"/>
        <v>0.1415995876125144</v>
      </c>
      <c r="L293" t="str">
        <f t="shared" si="29"/>
        <v>2023-10</v>
      </c>
      <c r="M293">
        <f t="shared" si="27"/>
        <v>571.36000000000013</v>
      </c>
    </row>
    <row r="294" spans="1:13" x14ac:dyDescent="0.25">
      <c r="A294" s="1">
        <v>45592</v>
      </c>
      <c r="B294" t="s">
        <v>12</v>
      </c>
      <c r="C294" t="s">
        <v>8</v>
      </c>
      <c r="D294" t="s">
        <v>18</v>
      </c>
      <c r="E294">
        <v>1672.96</v>
      </c>
      <c r="F294">
        <v>1075.42</v>
      </c>
      <c r="G294">
        <v>2</v>
      </c>
      <c r="H294">
        <f t="shared" si="24"/>
        <v>3345.92</v>
      </c>
      <c r="I294">
        <f t="shared" si="28"/>
        <v>2150.84</v>
      </c>
      <c r="J294">
        <f t="shared" si="25"/>
        <v>1195.08</v>
      </c>
      <c r="K294" s="8">
        <f t="shared" si="26"/>
        <v>0.35717530604437642</v>
      </c>
      <c r="L294" t="str">
        <f t="shared" si="29"/>
        <v>2024-10</v>
      </c>
      <c r="M294">
        <f t="shared" si="27"/>
        <v>1195.08</v>
      </c>
    </row>
    <row r="295" spans="1:13" x14ac:dyDescent="0.25">
      <c r="A295" s="1">
        <v>45325</v>
      </c>
      <c r="B295" t="s">
        <v>14</v>
      </c>
      <c r="C295" t="s">
        <v>15</v>
      </c>
      <c r="D295" t="s">
        <v>17</v>
      </c>
      <c r="E295">
        <v>1260.56</v>
      </c>
      <c r="F295">
        <v>972.61</v>
      </c>
      <c r="G295">
        <v>3</v>
      </c>
      <c r="H295">
        <f t="shared" si="24"/>
        <v>3781.68</v>
      </c>
      <c r="I295">
        <f t="shared" si="28"/>
        <v>2917.83</v>
      </c>
      <c r="J295">
        <f t="shared" si="25"/>
        <v>863.84999999999991</v>
      </c>
      <c r="K295" s="8">
        <f t="shared" si="26"/>
        <v>0.22843022148886208</v>
      </c>
      <c r="L295" t="str">
        <f t="shared" si="29"/>
        <v>2024-02</v>
      </c>
      <c r="M295">
        <f t="shared" si="27"/>
        <v>863.84999999999991</v>
      </c>
    </row>
    <row r="296" spans="1:13" x14ac:dyDescent="0.25">
      <c r="A296" s="1">
        <v>45209</v>
      </c>
      <c r="B296" t="s">
        <v>14</v>
      </c>
      <c r="C296" t="s">
        <v>15</v>
      </c>
      <c r="D296" t="s">
        <v>17</v>
      </c>
      <c r="E296">
        <v>1402.09</v>
      </c>
      <c r="F296">
        <v>1156.76</v>
      </c>
      <c r="G296">
        <v>9</v>
      </c>
      <c r="H296">
        <f t="shared" si="24"/>
        <v>12618.81</v>
      </c>
      <c r="I296">
        <f t="shared" si="28"/>
        <v>10410.84</v>
      </c>
      <c r="J296">
        <f t="shared" si="25"/>
        <v>2207.9699999999993</v>
      </c>
      <c r="K296" s="8">
        <f t="shared" si="26"/>
        <v>0.17497450235006307</v>
      </c>
      <c r="L296" t="str">
        <f t="shared" si="29"/>
        <v>2023-10</v>
      </c>
      <c r="M296">
        <f t="shared" si="27"/>
        <v>2207.9699999999993</v>
      </c>
    </row>
    <row r="297" spans="1:13" x14ac:dyDescent="0.25">
      <c r="A297" s="1">
        <v>44762</v>
      </c>
      <c r="B297" t="s">
        <v>16</v>
      </c>
      <c r="C297" t="s">
        <v>15</v>
      </c>
      <c r="D297" t="s">
        <v>9</v>
      </c>
      <c r="E297">
        <v>756.94</v>
      </c>
      <c r="F297">
        <v>565.34</v>
      </c>
      <c r="G297">
        <v>9</v>
      </c>
      <c r="H297">
        <f t="shared" si="24"/>
        <v>6812.4600000000009</v>
      </c>
      <c r="I297">
        <f t="shared" si="28"/>
        <v>5088.0600000000004</v>
      </c>
      <c r="J297">
        <f t="shared" si="25"/>
        <v>1724.4000000000005</v>
      </c>
      <c r="K297" s="8">
        <f t="shared" si="26"/>
        <v>0.253124422014955</v>
      </c>
      <c r="L297" t="str">
        <f t="shared" si="29"/>
        <v>2022-07</v>
      </c>
      <c r="M297">
        <f t="shared" si="27"/>
        <v>1724.4000000000005</v>
      </c>
    </row>
    <row r="298" spans="1:13" x14ac:dyDescent="0.25">
      <c r="A298" s="1">
        <v>44701</v>
      </c>
      <c r="B298" t="s">
        <v>7</v>
      </c>
      <c r="C298" t="s">
        <v>8</v>
      </c>
      <c r="D298" t="s">
        <v>18</v>
      </c>
      <c r="E298">
        <v>1012.33</v>
      </c>
      <c r="F298">
        <v>693.41</v>
      </c>
      <c r="G298">
        <v>9</v>
      </c>
      <c r="H298">
        <f t="shared" si="24"/>
        <v>9110.9700000000012</v>
      </c>
      <c r="I298">
        <f t="shared" si="28"/>
        <v>6240.69</v>
      </c>
      <c r="J298">
        <f t="shared" si="25"/>
        <v>2870.2800000000016</v>
      </c>
      <c r="K298" s="8">
        <f t="shared" si="26"/>
        <v>0.31503561091738874</v>
      </c>
      <c r="L298" t="str">
        <f t="shared" si="29"/>
        <v>2022-05</v>
      </c>
      <c r="M298">
        <f t="shared" si="27"/>
        <v>2870.2800000000016</v>
      </c>
    </row>
    <row r="299" spans="1:13" x14ac:dyDescent="0.25">
      <c r="A299" s="1">
        <v>45630</v>
      </c>
      <c r="B299" t="s">
        <v>23</v>
      </c>
      <c r="C299" t="s">
        <v>11</v>
      </c>
      <c r="D299" t="s">
        <v>9</v>
      </c>
      <c r="E299">
        <v>446.84</v>
      </c>
      <c r="F299">
        <v>254.39</v>
      </c>
      <c r="G299">
        <v>3</v>
      </c>
      <c r="H299">
        <f t="shared" si="24"/>
        <v>1340.52</v>
      </c>
      <c r="I299">
        <f t="shared" si="28"/>
        <v>763.17</v>
      </c>
      <c r="J299">
        <f t="shared" si="25"/>
        <v>577.35</v>
      </c>
      <c r="K299" s="8">
        <f t="shared" si="26"/>
        <v>0.43069107510518306</v>
      </c>
      <c r="L299" t="str">
        <f t="shared" si="29"/>
        <v>2024-12</v>
      </c>
      <c r="M299">
        <f t="shared" si="27"/>
        <v>577.35</v>
      </c>
    </row>
    <row r="300" spans="1:13" x14ac:dyDescent="0.25">
      <c r="A300" s="1">
        <v>45018</v>
      </c>
      <c r="B300" t="s">
        <v>22</v>
      </c>
      <c r="C300" t="s">
        <v>8</v>
      </c>
      <c r="D300" t="s">
        <v>9</v>
      </c>
      <c r="E300">
        <v>714.14</v>
      </c>
      <c r="F300">
        <v>625.16999999999996</v>
      </c>
      <c r="G300">
        <v>6</v>
      </c>
      <c r="H300">
        <f t="shared" si="24"/>
        <v>4284.84</v>
      </c>
      <c r="I300">
        <f t="shared" si="28"/>
        <v>3751.0199999999995</v>
      </c>
      <c r="J300">
        <f t="shared" si="25"/>
        <v>533.82000000000062</v>
      </c>
      <c r="K300" s="8">
        <f t="shared" si="26"/>
        <v>0.12458341501666353</v>
      </c>
      <c r="L300" t="str">
        <f t="shared" si="29"/>
        <v>2023-04</v>
      </c>
      <c r="M300">
        <f t="shared" si="27"/>
        <v>533.82000000000062</v>
      </c>
    </row>
    <row r="301" spans="1:13" x14ac:dyDescent="0.25">
      <c r="A301" s="1">
        <v>45194</v>
      </c>
      <c r="B301" t="s">
        <v>23</v>
      </c>
      <c r="C301" t="s">
        <v>11</v>
      </c>
      <c r="D301" t="s">
        <v>13</v>
      </c>
      <c r="E301">
        <v>1958.75</v>
      </c>
      <c r="F301">
        <v>1742.95</v>
      </c>
      <c r="G301">
        <v>5</v>
      </c>
      <c r="H301">
        <f t="shared" si="24"/>
        <v>9793.75</v>
      </c>
      <c r="I301">
        <f t="shared" si="28"/>
        <v>8714.75</v>
      </c>
      <c r="J301">
        <f t="shared" si="25"/>
        <v>1079</v>
      </c>
      <c r="K301" s="8">
        <f t="shared" si="26"/>
        <v>0.11017230376515635</v>
      </c>
      <c r="L301" t="str">
        <f t="shared" si="29"/>
        <v>2023-09</v>
      </c>
      <c r="M301">
        <f t="shared" si="27"/>
        <v>1079</v>
      </c>
    </row>
    <row r="302" spans="1:13" x14ac:dyDescent="0.25">
      <c r="A302" s="1">
        <v>44728</v>
      </c>
      <c r="B302" t="s">
        <v>14</v>
      </c>
      <c r="C302" t="s">
        <v>15</v>
      </c>
      <c r="D302" t="s">
        <v>18</v>
      </c>
      <c r="E302">
        <v>1835.65</v>
      </c>
      <c r="F302">
        <v>1260.28</v>
      </c>
      <c r="G302">
        <v>2</v>
      </c>
      <c r="H302">
        <f t="shared" si="24"/>
        <v>3671.3</v>
      </c>
      <c r="I302">
        <f t="shared" si="28"/>
        <v>2520.56</v>
      </c>
      <c r="J302">
        <f t="shared" si="25"/>
        <v>1150.7400000000002</v>
      </c>
      <c r="K302" s="8">
        <f t="shared" si="26"/>
        <v>0.31344210497643893</v>
      </c>
      <c r="L302" t="str">
        <f t="shared" si="29"/>
        <v>2022-06</v>
      </c>
      <c r="M302">
        <f t="shared" si="27"/>
        <v>1150.7400000000002</v>
      </c>
    </row>
    <row r="303" spans="1:13" x14ac:dyDescent="0.25">
      <c r="A303" s="1">
        <v>45477</v>
      </c>
      <c r="B303" t="s">
        <v>23</v>
      </c>
      <c r="C303" t="s">
        <v>11</v>
      </c>
      <c r="D303" t="s">
        <v>18</v>
      </c>
      <c r="E303">
        <v>599.64</v>
      </c>
      <c r="F303">
        <v>319.38</v>
      </c>
      <c r="G303">
        <v>8</v>
      </c>
      <c r="H303">
        <f t="shared" si="24"/>
        <v>4797.12</v>
      </c>
      <c r="I303">
        <f t="shared" si="28"/>
        <v>2555.04</v>
      </c>
      <c r="J303">
        <f t="shared" si="25"/>
        <v>2242.08</v>
      </c>
      <c r="K303" s="8">
        <f t="shared" si="26"/>
        <v>0.46738042825695419</v>
      </c>
      <c r="L303" t="str">
        <f t="shared" si="29"/>
        <v>2024-07</v>
      </c>
      <c r="M303">
        <f t="shared" si="27"/>
        <v>2242.08</v>
      </c>
    </row>
    <row r="304" spans="1:13" x14ac:dyDescent="0.25">
      <c r="A304" s="1">
        <v>45344</v>
      </c>
      <c r="B304" t="s">
        <v>24</v>
      </c>
      <c r="C304" t="s">
        <v>20</v>
      </c>
      <c r="D304" t="s">
        <v>9</v>
      </c>
      <c r="E304">
        <v>1878.8</v>
      </c>
      <c r="F304">
        <v>1178.42</v>
      </c>
      <c r="G304">
        <v>5</v>
      </c>
      <c r="H304">
        <f t="shared" si="24"/>
        <v>9394</v>
      </c>
      <c r="I304">
        <f t="shared" si="28"/>
        <v>5892.1</v>
      </c>
      <c r="J304">
        <f t="shared" si="25"/>
        <v>3501.8999999999996</v>
      </c>
      <c r="K304" s="8">
        <f t="shared" si="26"/>
        <v>0.37278049819033421</v>
      </c>
      <c r="L304" t="str">
        <f t="shared" si="29"/>
        <v>2024-02</v>
      </c>
      <c r="M304">
        <f t="shared" si="27"/>
        <v>3501.8999999999996</v>
      </c>
    </row>
    <row r="305" spans="1:13" x14ac:dyDescent="0.25">
      <c r="A305" s="1">
        <v>45492</v>
      </c>
      <c r="B305" t="s">
        <v>25</v>
      </c>
      <c r="C305" t="s">
        <v>15</v>
      </c>
      <c r="D305" t="s">
        <v>18</v>
      </c>
      <c r="E305">
        <v>369.54</v>
      </c>
      <c r="F305">
        <v>281.5</v>
      </c>
      <c r="G305">
        <v>3</v>
      </c>
      <c r="H305">
        <f t="shared" si="24"/>
        <v>1108.6200000000001</v>
      </c>
      <c r="I305">
        <f t="shared" si="28"/>
        <v>844.5</v>
      </c>
      <c r="J305">
        <f t="shared" si="25"/>
        <v>264.12000000000012</v>
      </c>
      <c r="K305" s="8">
        <f t="shared" si="26"/>
        <v>0.23824213887535864</v>
      </c>
      <c r="L305" t="str">
        <f t="shared" si="29"/>
        <v>2024-07</v>
      </c>
      <c r="M305">
        <f t="shared" si="27"/>
        <v>264.12000000000012</v>
      </c>
    </row>
    <row r="306" spans="1:13" x14ac:dyDescent="0.25">
      <c r="A306" s="1">
        <v>44892</v>
      </c>
      <c r="B306" t="s">
        <v>7</v>
      </c>
      <c r="C306" t="s">
        <v>8</v>
      </c>
      <c r="D306" t="s">
        <v>9</v>
      </c>
      <c r="E306">
        <v>1048.04</v>
      </c>
      <c r="F306">
        <v>850.96</v>
      </c>
      <c r="G306">
        <v>9</v>
      </c>
      <c r="H306">
        <f t="shared" si="24"/>
        <v>9432.36</v>
      </c>
      <c r="I306">
        <f t="shared" si="28"/>
        <v>7658.64</v>
      </c>
      <c r="J306">
        <f t="shared" si="25"/>
        <v>1773.7200000000003</v>
      </c>
      <c r="K306" s="8">
        <f t="shared" si="26"/>
        <v>0.18804625777642076</v>
      </c>
      <c r="L306" t="str">
        <f t="shared" si="29"/>
        <v>2022-11</v>
      </c>
      <c r="M306">
        <f t="shared" si="27"/>
        <v>1773.7200000000003</v>
      </c>
    </row>
    <row r="307" spans="1:13" x14ac:dyDescent="0.25">
      <c r="A307" s="1">
        <v>45252</v>
      </c>
      <c r="B307" t="s">
        <v>21</v>
      </c>
      <c r="C307" t="s">
        <v>20</v>
      </c>
      <c r="D307" t="s">
        <v>18</v>
      </c>
      <c r="E307">
        <v>133.16</v>
      </c>
      <c r="F307">
        <v>100.77</v>
      </c>
      <c r="G307">
        <v>6</v>
      </c>
      <c r="H307">
        <f t="shared" si="24"/>
        <v>798.96</v>
      </c>
      <c r="I307">
        <f t="shared" si="28"/>
        <v>604.62</v>
      </c>
      <c r="J307">
        <f t="shared" si="25"/>
        <v>194.34000000000003</v>
      </c>
      <c r="K307" s="8">
        <f t="shared" si="26"/>
        <v>0.24324121357765097</v>
      </c>
      <c r="L307" t="str">
        <f t="shared" si="29"/>
        <v>2023-11</v>
      </c>
      <c r="M307">
        <f t="shared" si="27"/>
        <v>194.34000000000003</v>
      </c>
    </row>
    <row r="308" spans="1:13" x14ac:dyDescent="0.25">
      <c r="A308" s="1">
        <v>45536</v>
      </c>
      <c r="B308" t="s">
        <v>14</v>
      </c>
      <c r="C308" t="s">
        <v>15</v>
      </c>
      <c r="D308" t="s">
        <v>17</v>
      </c>
      <c r="E308">
        <v>1400.6</v>
      </c>
      <c r="F308">
        <v>1194.53</v>
      </c>
      <c r="G308">
        <v>9</v>
      </c>
      <c r="H308">
        <f t="shared" si="24"/>
        <v>12605.4</v>
      </c>
      <c r="I308">
        <f t="shared" si="28"/>
        <v>10750.77</v>
      </c>
      <c r="J308">
        <f t="shared" si="25"/>
        <v>1854.6299999999992</v>
      </c>
      <c r="K308" s="8">
        <f t="shared" si="26"/>
        <v>0.14712980151363694</v>
      </c>
      <c r="L308" t="str">
        <f t="shared" si="29"/>
        <v>2024-09</v>
      </c>
      <c r="M308">
        <f t="shared" si="27"/>
        <v>1854.6299999999992</v>
      </c>
    </row>
    <row r="309" spans="1:13" x14ac:dyDescent="0.25">
      <c r="A309" s="1">
        <v>44775</v>
      </c>
      <c r="B309" t="s">
        <v>22</v>
      </c>
      <c r="C309" t="s">
        <v>8</v>
      </c>
      <c r="D309" t="s">
        <v>9</v>
      </c>
      <c r="E309">
        <v>61.75</v>
      </c>
      <c r="F309">
        <v>38.22</v>
      </c>
      <c r="G309">
        <v>8</v>
      </c>
      <c r="H309">
        <f t="shared" si="24"/>
        <v>494</v>
      </c>
      <c r="I309">
        <f t="shared" si="28"/>
        <v>305.76</v>
      </c>
      <c r="J309">
        <f t="shared" si="25"/>
        <v>188.24</v>
      </c>
      <c r="K309" s="8">
        <f t="shared" si="26"/>
        <v>0.38105263157894737</v>
      </c>
      <c r="L309" t="str">
        <f t="shared" si="29"/>
        <v>2022-08</v>
      </c>
      <c r="M309">
        <f t="shared" si="27"/>
        <v>188.24</v>
      </c>
    </row>
    <row r="310" spans="1:13" x14ac:dyDescent="0.25">
      <c r="A310" s="1">
        <v>45490</v>
      </c>
      <c r="B310" t="s">
        <v>25</v>
      </c>
      <c r="C310" t="s">
        <v>15</v>
      </c>
      <c r="D310" t="s">
        <v>18</v>
      </c>
      <c r="E310">
        <v>97.26</v>
      </c>
      <c r="F310">
        <v>75.47</v>
      </c>
      <c r="G310">
        <v>3</v>
      </c>
      <c r="H310">
        <f t="shared" si="24"/>
        <v>291.78000000000003</v>
      </c>
      <c r="I310">
        <f t="shared" si="28"/>
        <v>226.41</v>
      </c>
      <c r="J310">
        <f t="shared" si="25"/>
        <v>65.370000000000033</v>
      </c>
      <c r="K310" s="8">
        <f t="shared" si="26"/>
        <v>0.22403865926382902</v>
      </c>
      <c r="L310" t="str">
        <f t="shared" si="29"/>
        <v>2024-07</v>
      </c>
      <c r="M310">
        <f t="shared" si="27"/>
        <v>65.370000000000033</v>
      </c>
    </row>
    <row r="311" spans="1:13" x14ac:dyDescent="0.25">
      <c r="A311" s="1">
        <v>45214</v>
      </c>
      <c r="B311" t="s">
        <v>12</v>
      </c>
      <c r="C311" t="s">
        <v>8</v>
      </c>
      <c r="D311" t="s">
        <v>13</v>
      </c>
      <c r="E311">
        <v>828.97</v>
      </c>
      <c r="F311">
        <v>469.45</v>
      </c>
      <c r="G311">
        <v>7</v>
      </c>
      <c r="H311">
        <f t="shared" si="24"/>
        <v>5802.79</v>
      </c>
      <c r="I311">
        <f t="shared" si="28"/>
        <v>3286.15</v>
      </c>
      <c r="J311">
        <f t="shared" si="25"/>
        <v>2516.64</v>
      </c>
      <c r="K311" s="8">
        <f t="shared" si="26"/>
        <v>0.43369482610950938</v>
      </c>
      <c r="L311" t="str">
        <f t="shared" si="29"/>
        <v>2023-10</v>
      </c>
      <c r="M311">
        <f t="shared" si="27"/>
        <v>2516.64</v>
      </c>
    </row>
    <row r="312" spans="1:13" x14ac:dyDescent="0.25">
      <c r="A312" s="1">
        <v>45100</v>
      </c>
      <c r="B312" t="s">
        <v>24</v>
      </c>
      <c r="C312" t="s">
        <v>20</v>
      </c>
      <c r="D312" t="s">
        <v>17</v>
      </c>
      <c r="E312">
        <v>1068.6600000000001</v>
      </c>
      <c r="F312">
        <v>667.65</v>
      </c>
      <c r="G312">
        <v>9</v>
      </c>
      <c r="H312">
        <f t="shared" si="24"/>
        <v>9617.94</v>
      </c>
      <c r="I312">
        <f t="shared" si="28"/>
        <v>6008.8499999999995</v>
      </c>
      <c r="J312">
        <f t="shared" si="25"/>
        <v>3609.0900000000011</v>
      </c>
      <c r="K312" s="8">
        <f t="shared" si="26"/>
        <v>0.37524563472011685</v>
      </c>
      <c r="L312" t="str">
        <f t="shared" si="29"/>
        <v>2023-06</v>
      </c>
      <c r="M312">
        <f t="shared" si="27"/>
        <v>3609.0900000000011</v>
      </c>
    </row>
    <row r="313" spans="1:13" x14ac:dyDescent="0.25">
      <c r="A313" s="1">
        <v>44665</v>
      </c>
      <c r="B313" t="s">
        <v>25</v>
      </c>
      <c r="C313" t="s">
        <v>15</v>
      </c>
      <c r="D313" t="s">
        <v>9</v>
      </c>
      <c r="E313">
        <v>108.86</v>
      </c>
      <c r="F313">
        <v>69.489999999999995</v>
      </c>
      <c r="G313">
        <v>3</v>
      </c>
      <c r="H313">
        <f t="shared" si="24"/>
        <v>326.58</v>
      </c>
      <c r="I313">
        <f t="shared" si="28"/>
        <v>208.46999999999997</v>
      </c>
      <c r="J313">
        <f t="shared" si="25"/>
        <v>118.11000000000001</v>
      </c>
      <c r="K313" s="8">
        <f t="shared" si="26"/>
        <v>0.36165717435237926</v>
      </c>
      <c r="L313" t="str">
        <f t="shared" si="29"/>
        <v>2022-04</v>
      </c>
      <c r="M313">
        <f t="shared" si="27"/>
        <v>118.11000000000001</v>
      </c>
    </row>
    <row r="314" spans="1:13" x14ac:dyDescent="0.25">
      <c r="A314" s="1">
        <v>45154</v>
      </c>
      <c r="B314" t="s">
        <v>21</v>
      </c>
      <c r="C314" t="s">
        <v>20</v>
      </c>
      <c r="D314" t="s">
        <v>13</v>
      </c>
      <c r="E314">
        <v>1419.65</v>
      </c>
      <c r="F314">
        <v>738.61</v>
      </c>
      <c r="G314">
        <v>1</v>
      </c>
      <c r="H314">
        <f t="shared" si="24"/>
        <v>1419.65</v>
      </c>
      <c r="I314">
        <f t="shared" si="28"/>
        <v>738.61</v>
      </c>
      <c r="J314">
        <f t="shared" si="25"/>
        <v>681.04000000000008</v>
      </c>
      <c r="K314" s="8">
        <f t="shared" si="26"/>
        <v>0.47972387560314167</v>
      </c>
      <c r="L314" t="str">
        <f t="shared" si="29"/>
        <v>2023-08</v>
      </c>
      <c r="M314">
        <f t="shared" si="27"/>
        <v>681.04000000000008</v>
      </c>
    </row>
    <row r="315" spans="1:13" x14ac:dyDescent="0.25">
      <c r="A315" s="1">
        <v>44604</v>
      </c>
      <c r="B315" t="s">
        <v>25</v>
      </c>
      <c r="C315" t="s">
        <v>15</v>
      </c>
      <c r="D315" t="s">
        <v>18</v>
      </c>
      <c r="E315">
        <v>997.72</v>
      </c>
      <c r="F315">
        <v>554.47</v>
      </c>
      <c r="G315">
        <v>6</v>
      </c>
      <c r="H315">
        <f t="shared" si="24"/>
        <v>5986.32</v>
      </c>
      <c r="I315">
        <f t="shared" si="28"/>
        <v>3326.82</v>
      </c>
      <c r="J315">
        <f t="shared" si="25"/>
        <v>2659.4999999999995</v>
      </c>
      <c r="K315" s="8">
        <f t="shared" si="26"/>
        <v>0.44426291945636043</v>
      </c>
      <c r="L315" t="str">
        <f t="shared" si="29"/>
        <v>2022-02</v>
      </c>
      <c r="M315">
        <f t="shared" si="27"/>
        <v>2659.4999999999995</v>
      </c>
    </row>
    <row r="316" spans="1:13" x14ac:dyDescent="0.25">
      <c r="A316" s="1">
        <v>45318</v>
      </c>
      <c r="B316" t="s">
        <v>22</v>
      </c>
      <c r="C316" t="s">
        <v>8</v>
      </c>
      <c r="D316" t="s">
        <v>13</v>
      </c>
      <c r="E316">
        <v>896.43</v>
      </c>
      <c r="F316">
        <v>611.15</v>
      </c>
      <c r="G316">
        <v>3</v>
      </c>
      <c r="H316">
        <f t="shared" si="24"/>
        <v>2689.29</v>
      </c>
      <c r="I316">
        <f t="shared" si="28"/>
        <v>1833.4499999999998</v>
      </c>
      <c r="J316">
        <f t="shared" si="25"/>
        <v>855.84000000000015</v>
      </c>
      <c r="K316" s="8">
        <f t="shared" si="26"/>
        <v>0.31824013029461312</v>
      </c>
      <c r="L316" t="str">
        <f t="shared" si="29"/>
        <v>2024-01</v>
      </c>
      <c r="M316">
        <f t="shared" si="27"/>
        <v>855.84000000000015</v>
      </c>
    </row>
    <row r="317" spans="1:13" x14ac:dyDescent="0.25">
      <c r="A317" s="1">
        <v>44844</v>
      </c>
      <c r="B317" t="s">
        <v>19</v>
      </c>
      <c r="C317" t="s">
        <v>20</v>
      </c>
      <c r="D317" t="s">
        <v>18</v>
      </c>
      <c r="E317">
        <v>1605.67</v>
      </c>
      <c r="F317">
        <v>1335.82</v>
      </c>
      <c r="G317">
        <v>1</v>
      </c>
      <c r="H317">
        <f t="shared" si="24"/>
        <v>1605.67</v>
      </c>
      <c r="I317">
        <f t="shared" si="28"/>
        <v>1335.82</v>
      </c>
      <c r="J317">
        <f t="shared" si="25"/>
        <v>269.85000000000014</v>
      </c>
      <c r="K317" s="8">
        <f t="shared" si="26"/>
        <v>0.16806068494771662</v>
      </c>
      <c r="L317" t="str">
        <f t="shared" si="29"/>
        <v>2022-10</v>
      </c>
      <c r="M317">
        <f t="shared" si="27"/>
        <v>269.85000000000014</v>
      </c>
    </row>
    <row r="318" spans="1:13" x14ac:dyDescent="0.25">
      <c r="A318" s="1">
        <v>44809</v>
      </c>
      <c r="B318" t="s">
        <v>16</v>
      </c>
      <c r="C318" t="s">
        <v>15</v>
      </c>
      <c r="D318" t="s">
        <v>13</v>
      </c>
      <c r="E318">
        <v>1668.74</v>
      </c>
      <c r="F318">
        <v>1187.27</v>
      </c>
      <c r="G318">
        <v>2</v>
      </c>
      <c r="H318">
        <f t="shared" si="24"/>
        <v>3337.48</v>
      </c>
      <c r="I318">
        <f t="shared" si="28"/>
        <v>2374.54</v>
      </c>
      <c r="J318">
        <f t="shared" si="25"/>
        <v>962.94</v>
      </c>
      <c r="K318" s="8">
        <f t="shared" si="26"/>
        <v>0.28852307729184895</v>
      </c>
      <c r="L318" t="str">
        <f t="shared" si="29"/>
        <v>2022-09</v>
      </c>
      <c r="M318">
        <f t="shared" si="27"/>
        <v>962.94</v>
      </c>
    </row>
    <row r="319" spans="1:13" x14ac:dyDescent="0.25">
      <c r="A319" s="1">
        <v>45184</v>
      </c>
      <c r="B319" t="s">
        <v>22</v>
      </c>
      <c r="C319" t="s">
        <v>8</v>
      </c>
      <c r="D319" t="s">
        <v>18</v>
      </c>
      <c r="E319">
        <v>450.32</v>
      </c>
      <c r="F319">
        <v>283.13</v>
      </c>
      <c r="G319">
        <v>5</v>
      </c>
      <c r="H319">
        <f t="shared" si="24"/>
        <v>2251.6</v>
      </c>
      <c r="I319">
        <f t="shared" si="28"/>
        <v>1415.65</v>
      </c>
      <c r="J319">
        <f t="shared" si="25"/>
        <v>835.94999999999982</v>
      </c>
      <c r="K319" s="8">
        <f t="shared" si="26"/>
        <v>0.37126931959495463</v>
      </c>
      <c r="L319" t="str">
        <f t="shared" si="29"/>
        <v>2023-09</v>
      </c>
      <c r="M319">
        <f t="shared" si="27"/>
        <v>835.94999999999982</v>
      </c>
    </row>
    <row r="320" spans="1:13" x14ac:dyDescent="0.25">
      <c r="A320" s="1">
        <v>45052</v>
      </c>
      <c r="B320" t="s">
        <v>21</v>
      </c>
      <c r="C320" t="s">
        <v>20</v>
      </c>
      <c r="D320" t="s">
        <v>13</v>
      </c>
      <c r="E320">
        <v>638.05999999999995</v>
      </c>
      <c r="F320">
        <v>463.86</v>
      </c>
      <c r="G320">
        <v>3</v>
      </c>
      <c r="H320">
        <f t="shared" si="24"/>
        <v>1914.1799999999998</v>
      </c>
      <c r="I320">
        <f t="shared" si="28"/>
        <v>1391.58</v>
      </c>
      <c r="J320">
        <f t="shared" si="25"/>
        <v>522.59999999999991</v>
      </c>
      <c r="K320" s="8">
        <f t="shared" si="26"/>
        <v>0.27301507695201077</v>
      </c>
      <c r="L320" t="str">
        <f t="shared" si="29"/>
        <v>2023-05</v>
      </c>
      <c r="M320">
        <f t="shared" si="27"/>
        <v>522.59999999999991</v>
      </c>
    </row>
    <row r="321" spans="1:13" x14ac:dyDescent="0.25">
      <c r="A321" s="1">
        <v>44633</v>
      </c>
      <c r="B321" t="s">
        <v>14</v>
      </c>
      <c r="C321" t="s">
        <v>15</v>
      </c>
      <c r="D321" t="s">
        <v>17</v>
      </c>
      <c r="E321">
        <v>1300.27</v>
      </c>
      <c r="F321">
        <v>777.68</v>
      </c>
      <c r="G321">
        <v>9</v>
      </c>
      <c r="H321">
        <f t="shared" si="24"/>
        <v>11702.43</v>
      </c>
      <c r="I321">
        <f t="shared" si="28"/>
        <v>6999.12</v>
      </c>
      <c r="J321">
        <f t="shared" si="25"/>
        <v>4703.3100000000004</v>
      </c>
      <c r="K321" s="8">
        <f t="shared" si="26"/>
        <v>0.40190883431902608</v>
      </c>
      <c r="L321" t="str">
        <f t="shared" si="29"/>
        <v>2022-03</v>
      </c>
      <c r="M321">
        <f t="shared" si="27"/>
        <v>4703.3100000000004</v>
      </c>
    </row>
    <row r="322" spans="1:13" x14ac:dyDescent="0.25">
      <c r="A322" s="1">
        <v>45467</v>
      </c>
      <c r="B322" t="s">
        <v>7</v>
      </c>
      <c r="C322" t="s">
        <v>8</v>
      </c>
      <c r="D322" t="s">
        <v>13</v>
      </c>
      <c r="E322">
        <v>1584.64</v>
      </c>
      <c r="F322">
        <v>832.01</v>
      </c>
      <c r="G322">
        <v>4</v>
      </c>
      <c r="H322">
        <f t="shared" si="24"/>
        <v>6338.56</v>
      </c>
      <c r="I322">
        <f t="shared" si="28"/>
        <v>3328.04</v>
      </c>
      <c r="J322">
        <f t="shared" si="25"/>
        <v>3010.5200000000004</v>
      </c>
      <c r="K322" s="8">
        <f t="shared" si="26"/>
        <v>0.47495330169628436</v>
      </c>
      <c r="L322" t="str">
        <f t="shared" si="29"/>
        <v>2024-06</v>
      </c>
      <c r="M322">
        <f t="shared" si="27"/>
        <v>3010.5200000000004</v>
      </c>
    </row>
    <row r="323" spans="1:13" x14ac:dyDescent="0.25">
      <c r="A323" s="1">
        <v>44745</v>
      </c>
      <c r="B323" t="s">
        <v>24</v>
      </c>
      <c r="C323" t="s">
        <v>20</v>
      </c>
      <c r="D323" t="s">
        <v>18</v>
      </c>
      <c r="E323">
        <v>365.76</v>
      </c>
      <c r="F323">
        <v>233.78</v>
      </c>
      <c r="G323">
        <v>2</v>
      </c>
      <c r="H323">
        <f t="shared" ref="H323:H386" si="30">E323*G323</f>
        <v>731.52</v>
      </c>
      <c r="I323">
        <f t="shared" si="28"/>
        <v>467.56</v>
      </c>
      <c r="J323">
        <f t="shared" ref="J323:J386" si="31">H323-I323</f>
        <v>263.95999999999998</v>
      </c>
      <c r="K323" s="8">
        <f t="shared" ref="K323:K386" si="32">(H323-I323)/H323</f>
        <v>0.36083770778652668</v>
      </c>
      <c r="L323" t="str">
        <f t="shared" si="29"/>
        <v>2022-07</v>
      </c>
      <c r="M323">
        <f t="shared" ref="M323:M386" si="33">H323-I323</f>
        <v>263.95999999999998</v>
      </c>
    </row>
    <row r="324" spans="1:13" x14ac:dyDescent="0.25">
      <c r="A324" s="1">
        <v>45543</v>
      </c>
      <c r="B324" t="s">
        <v>24</v>
      </c>
      <c r="C324" t="s">
        <v>20</v>
      </c>
      <c r="D324" t="s">
        <v>9</v>
      </c>
      <c r="E324">
        <v>1480.55</v>
      </c>
      <c r="F324">
        <v>1007.63</v>
      </c>
      <c r="G324">
        <v>5</v>
      </c>
      <c r="H324">
        <f t="shared" si="30"/>
        <v>7402.75</v>
      </c>
      <c r="I324">
        <f t="shared" ref="I324:I387" si="34">F324*G324</f>
        <v>5038.1499999999996</v>
      </c>
      <c r="J324">
        <f t="shared" si="31"/>
        <v>2364.6000000000004</v>
      </c>
      <c r="K324" s="8">
        <f t="shared" si="32"/>
        <v>0.31942183647968664</v>
      </c>
      <c r="L324" t="str">
        <f t="shared" ref="L324:L387" si="35">TEXT(A324,"rrrr-mm")</f>
        <v>2024-09</v>
      </c>
      <c r="M324">
        <f t="shared" si="33"/>
        <v>2364.6000000000004</v>
      </c>
    </row>
    <row r="325" spans="1:13" x14ac:dyDescent="0.25">
      <c r="A325" s="1">
        <v>44625</v>
      </c>
      <c r="B325" t="s">
        <v>19</v>
      </c>
      <c r="C325" t="s">
        <v>20</v>
      </c>
      <c r="D325" t="s">
        <v>13</v>
      </c>
      <c r="E325">
        <v>697.69</v>
      </c>
      <c r="F325">
        <v>592.64</v>
      </c>
      <c r="G325">
        <v>4</v>
      </c>
      <c r="H325">
        <f t="shared" si="30"/>
        <v>2790.76</v>
      </c>
      <c r="I325">
        <f t="shared" si="34"/>
        <v>2370.56</v>
      </c>
      <c r="J325">
        <f t="shared" si="31"/>
        <v>420.20000000000027</v>
      </c>
      <c r="K325" s="8">
        <f t="shared" si="32"/>
        <v>0.15056830397454465</v>
      </c>
      <c r="L325" t="str">
        <f t="shared" si="35"/>
        <v>2022-03</v>
      </c>
      <c r="M325">
        <f t="shared" si="33"/>
        <v>420.20000000000027</v>
      </c>
    </row>
    <row r="326" spans="1:13" x14ac:dyDescent="0.25">
      <c r="A326" s="1">
        <v>45024</v>
      </c>
      <c r="B326" t="s">
        <v>19</v>
      </c>
      <c r="C326" t="s">
        <v>20</v>
      </c>
      <c r="D326" t="s">
        <v>18</v>
      </c>
      <c r="E326">
        <v>31.26</v>
      </c>
      <c r="F326">
        <v>24.53</v>
      </c>
      <c r="G326">
        <v>3</v>
      </c>
      <c r="H326">
        <f t="shared" si="30"/>
        <v>93.78</v>
      </c>
      <c r="I326">
        <f t="shared" si="34"/>
        <v>73.59</v>
      </c>
      <c r="J326">
        <f t="shared" si="31"/>
        <v>20.189999999999998</v>
      </c>
      <c r="K326" s="8">
        <f t="shared" si="32"/>
        <v>0.21529110684580932</v>
      </c>
      <c r="L326" t="str">
        <f t="shared" si="35"/>
        <v>2023-04</v>
      </c>
      <c r="M326">
        <f t="shared" si="33"/>
        <v>20.189999999999998</v>
      </c>
    </row>
    <row r="327" spans="1:13" x14ac:dyDescent="0.25">
      <c r="A327" s="1">
        <v>45188</v>
      </c>
      <c r="B327" t="s">
        <v>21</v>
      </c>
      <c r="C327" t="s">
        <v>20</v>
      </c>
      <c r="D327" t="s">
        <v>17</v>
      </c>
      <c r="E327">
        <v>265.57</v>
      </c>
      <c r="F327">
        <v>214.51</v>
      </c>
      <c r="G327">
        <v>1</v>
      </c>
      <c r="H327">
        <f t="shared" si="30"/>
        <v>265.57</v>
      </c>
      <c r="I327">
        <f t="shared" si="34"/>
        <v>214.51</v>
      </c>
      <c r="J327">
        <f t="shared" si="31"/>
        <v>51.06</v>
      </c>
      <c r="K327" s="8">
        <f t="shared" si="32"/>
        <v>0.19226569266106866</v>
      </c>
      <c r="L327" t="str">
        <f t="shared" si="35"/>
        <v>2023-09</v>
      </c>
      <c r="M327">
        <f t="shared" si="33"/>
        <v>51.06</v>
      </c>
    </row>
    <row r="328" spans="1:13" x14ac:dyDescent="0.25">
      <c r="A328" s="1">
        <v>45168</v>
      </c>
      <c r="B328" t="s">
        <v>19</v>
      </c>
      <c r="C328" t="s">
        <v>20</v>
      </c>
      <c r="D328" t="s">
        <v>13</v>
      </c>
      <c r="E328">
        <v>710.93</v>
      </c>
      <c r="F328">
        <v>426.63</v>
      </c>
      <c r="G328">
        <v>5</v>
      </c>
      <c r="H328">
        <f t="shared" si="30"/>
        <v>3554.6499999999996</v>
      </c>
      <c r="I328">
        <f t="shared" si="34"/>
        <v>2133.15</v>
      </c>
      <c r="J328">
        <f t="shared" si="31"/>
        <v>1421.4999999999995</v>
      </c>
      <c r="K328" s="8">
        <f t="shared" si="32"/>
        <v>0.39989872420632122</v>
      </c>
      <c r="L328" t="str">
        <f t="shared" si="35"/>
        <v>2023-08</v>
      </c>
      <c r="M328">
        <f t="shared" si="33"/>
        <v>1421.4999999999995</v>
      </c>
    </row>
    <row r="329" spans="1:13" x14ac:dyDescent="0.25">
      <c r="A329" s="1">
        <v>45485</v>
      </c>
      <c r="B329" t="s">
        <v>19</v>
      </c>
      <c r="C329" t="s">
        <v>20</v>
      </c>
      <c r="D329" t="s">
        <v>17</v>
      </c>
      <c r="E329">
        <v>908.26</v>
      </c>
      <c r="F329">
        <v>732.92</v>
      </c>
      <c r="G329">
        <v>8</v>
      </c>
      <c r="H329">
        <f t="shared" si="30"/>
        <v>7266.08</v>
      </c>
      <c r="I329">
        <f t="shared" si="34"/>
        <v>5863.36</v>
      </c>
      <c r="J329">
        <f t="shared" si="31"/>
        <v>1402.7200000000003</v>
      </c>
      <c r="K329" s="8">
        <f t="shared" si="32"/>
        <v>0.1930504481095722</v>
      </c>
      <c r="L329" t="str">
        <f t="shared" si="35"/>
        <v>2024-07</v>
      </c>
      <c r="M329">
        <f t="shared" si="33"/>
        <v>1402.7200000000003</v>
      </c>
    </row>
    <row r="330" spans="1:13" x14ac:dyDescent="0.25">
      <c r="A330" s="1">
        <v>45489</v>
      </c>
      <c r="B330" t="s">
        <v>19</v>
      </c>
      <c r="C330" t="s">
        <v>20</v>
      </c>
      <c r="D330" t="s">
        <v>9</v>
      </c>
      <c r="E330">
        <v>1422.49</v>
      </c>
      <c r="F330">
        <v>1173.3800000000001</v>
      </c>
      <c r="G330">
        <v>2</v>
      </c>
      <c r="H330">
        <f t="shared" si="30"/>
        <v>2844.98</v>
      </c>
      <c r="I330">
        <f t="shared" si="34"/>
        <v>2346.7600000000002</v>
      </c>
      <c r="J330">
        <f t="shared" si="31"/>
        <v>498.2199999999998</v>
      </c>
      <c r="K330" s="8">
        <f t="shared" si="32"/>
        <v>0.17512249646746192</v>
      </c>
      <c r="L330" t="str">
        <f t="shared" si="35"/>
        <v>2024-07</v>
      </c>
      <c r="M330">
        <f t="shared" si="33"/>
        <v>498.2199999999998</v>
      </c>
    </row>
    <row r="331" spans="1:13" x14ac:dyDescent="0.25">
      <c r="A331" s="1">
        <v>44588</v>
      </c>
      <c r="B331" t="s">
        <v>16</v>
      </c>
      <c r="C331" t="s">
        <v>15</v>
      </c>
      <c r="D331" t="s">
        <v>9</v>
      </c>
      <c r="E331">
        <v>1273.74</v>
      </c>
      <c r="F331">
        <v>858.13</v>
      </c>
      <c r="G331">
        <v>3</v>
      </c>
      <c r="H331">
        <f t="shared" si="30"/>
        <v>3821.2200000000003</v>
      </c>
      <c r="I331">
        <f t="shared" si="34"/>
        <v>2574.39</v>
      </c>
      <c r="J331">
        <f t="shared" si="31"/>
        <v>1246.8300000000004</v>
      </c>
      <c r="K331" s="8">
        <f t="shared" si="32"/>
        <v>0.32629107981220667</v>
      </c>
      <c r="L331" t="str">
        <f t="shared" si="35"/>
        <v>2022-01</v>
      </c>
      <c r="M331">
        <f t="shared" si="33"/>
        <v>1246.8300000000004</v>
      </c>
    </row>
    <row r="332" spans="1:13" x14ac:dyDescent="0.25">
      <c r="A332" s="1">
        <v>45345</v>
      </c>
      <c r="B332" t="s">
        <v>24</v>
      </c>
      <c r="C332" t="s">
        <v>20</v>
      </c>
      <c r="D332" t="s">
        <v>17</v>
      </c>
      <c r="E332">
        <v>1864.24</v>
      </c>
      <c r="F332">
        <v>1067.79</v>
      </c>
      <c r="G332">
        <v>1</v>
      </c>
      <c r="H332">
        <f t="shared" si="30"/>
        <v>1864.24</v>
      </c>
      <c r="I332">
        <f t="shared" si="34"/>
        <v>1067.79</v>
      </c>
      <c r="J332">
        <f t="shared" si="31"/>
        <v>796.45</v>
      </c>
      <c r="K332" s="8">
        <f t="shared" si="32"/>
        <v>0.42722503540316698</v>
      </c>
      <c r="L332" t="str">
        <f t="shared" si="35"/>
        <v>2024-02</v>
      </c>
      <c r="M332">
        <f t="shared" si="33"/>
        <v>796.45</v>
      </c>
    </row>
    <row r="333" spans="1:13" x14ac:dyDescent="0.25">
      <c r="A333" s="1">
        <v>44702</v>
      </c>
      <c r="B333" t="s">
        <v>19</v>
      </c>
      <c r="C333" t="s">
        <v>20</v>
      </c>
      <c r="D333" t="s">
        <v>17</v>
      </c>
      <c r="E333">
        <v>1122.98</v>
      </c>
      <c r="F333">
        <v>666.94</v>
      </c>
      <c r="G333">
        <v>7</v>
      </c>
      <c r="H333">
        <f t="shared" si="30"/>
        <v>7860.8600000000006</v>
      </c>
      <c r="I333">
        <f t="shared" si="34"/>
        <v>4668.58</v>
      </c>
      <c r="J333">
        <f t="shared" si="31"/>
        <v>3192.2800000000007</v>
      </c>
      <c r="K333" s="8">
        <f t="shared" si="32"/>
        <v>0.4060980605175516</v>
      </c>
      <c r="L333" t="str">
        <f t="shared" si="35"/>
        <v>2022-05</v>
      </c>
      <c r="M333">
        <f t="shared" si="33"/>
        <v>3192.2800000000007</v>
      </c>
    </row>
    <row r="334" spans="1:13" x14ac:dyDescent="0.25">
      <c r="A334" s="1">
        <v>44906</v>
      </c>
      <c r="B334" t="s">
        <v>14</v>
      </c>
      <c r="C334" t="s">
        <v>15</v>
      </c>
      <c r="D334" t="s">
        <v>13</v>
      </c>
      <c r="E334">
        <v>964</v>
      </c>
      <c r="F334">
        <v>836.52</v>
      </c>
      <c r="G334">
        <v>2</v>
      </c>
      <c r="H334">
        <f t="shared" si="30"/>
        <v>1928</v>
      </c>
      <c r="I334">
        <f t="shared" si="34"/>
        <v>1673.04</v>
      </c>
      <c r="J334">
        <f t="shared" si="31"/>
        <v>254.96000000000004</v>
      </c>
      <c r="K334" s="8">
        <f t="shared" si="32"/>
        <v>0.13224066390041495</v>
      </c>
      <c r="L334" t="str">
        <f t="shared" si="35"/>
        <v>2022-12</v>
      </c>
      <c r="M334">
        <f t="shared" si="33"/>
        <v>254.96000000000004</v>
      </c>
    </row>
    <row r="335" spans="1:13" x14ac:dyDescent="0.25">
      <c r="A335" s="1">
        <v>45115</v>
      </c>
      <c r="B335" t="s">
        <v>12</v>
      </c>
      <c r="C335" t="s">
        <v>8</v>
      </c>
      <c r="D335" t="s">
        <v>13</v>
      </c>
      <c r="E335">
        <v>1735.48</v>
      </c>
      <c r="F335">
        <v>1506.49</v>
      </c>
      <c r="G335">
        <v>2</v>
      </c>
      <c r="H335">
        <f t="shared" si="30"/>
        <v>3470.96</v>
      </c>
      <c r="I335">
        <f t="shared" si="34"/>
        <v>3012.98</v>
      </c>
      <c r="J335">
        <f t="shared" si="31"/>
        <v>457.98</v>
      </c>
      <c r="K335" s="8">
        <f t="shared" si="32"/>
        <v>0.1319462050844723</v>
      </c>
      <c r="L335" t="str">
        <f t="shared" si="35"/>
        <v>2023-07</v>
      </c>
      <c r="M335">
        <f t="shared" si="33"/>
        <v>457.98</v>
      </c>
    </row>
    <row r="336" spans="1:13" x14ac:dyDescent="0.25">
      <c r="A336" s="1">
        <v>44924</v>
      </c>
      <c r="B336" t="s">
        <v>24</v>
      </c>
      <c r="C336" t="s">
        <v>20</v>
      </c>
      <c r="D336" t="s">
        <v>9</v>
      </c>
      <c r="E336">
        <v>1544.62</v>
      </c>
      <c r="F336">
        <v>1348.22</v>
      </c>
      <c r="G336">
        <v>3</v>
      </c>
      <c r="H336">
        <f t="shared" si="30"/>
        <v>4633.8599999999997</v>
      </c>
      <c r="I336">
        <f t="shared" si="34"/>
        <v>4044.66</v>
      </c>
      <c r="J336">
        <f t="shared" si="31"/>
        <v>589.19999999999982</v>
      </c>
      <c r="K336" s="8">
        <f t="shared" si="32"/>
        <v>0.12715101448900051</v>
      </c>
      <c r="L336" t="str">
        <f t="shared" si="35"/>
        <v>2022-12</v>
      </c>
      <c r="M336">
        <f t="shared" si="33"/>
        <v>589.19999999999982</v>
      </c>
    </row>
    <row r="337" spans="1:13" x14ac:dyDescent="0.25">
      <c r="A337" s="1">
        <v>45539</v>
      </c>
      <c r="B337" t="s">
        <v>25</v>
      </c>
      <c r="C337" t="s">
        <v>15</v>
      </c>
      <c r="D337" t="s">
        <v>17</v>
      </c>
      <c r="E337">
        <v>691.6</v>
      </c>
      <c r="F337">
        <v>490.42</v>
      </c>
      <c r="G337">
        <v>4</v>
      </c>
      <c r="H337">
        <f t="shared" si="30"/>
        <v>2766.4</v>
      </c>
      <c r="I337">
        <f t="shared" si="34"/>
        <v>1961.68</v>
      </c>
      <c r="J337">
        <f t="shared" si="31"/>
        <v>804.72</v>
      </c>
      <c r="K337" s="8">
        <f t="shared" si="32"/>
        <v>0.2908906882591093</v>
      </c>
      <c r="L337" t="str">
        <f t="shared" si="35"/>
        <v>2024-09</v>
      </c>
      <c r="M337">
        <f t="shared" si="33"/>
        <v>804.72</v>
      </c>
    </row>
    <row r="338" spans="1:13" x14ac:dyDescent="0.25">
      <c r="A338" s="1">
        <v>44698</v>
      </c>
      <c r="B338" t="s">
        <v>16</v>
      </c>
      <c r="C338" t="s">
        <v>15</v>
      </c>
      <c r="D338" t="s">
        <v>18</v>
      </c>
      <c r="E338">
        <v>236.93</v>
      </c>
      <c r="F338">
        <v>171.63</v>
      </c>
      <c r="G338">
        <v>8</v>
      </c>
      <c r="H338">
        <f t="shared" si="30"/>
        <v>1895.44</v>
      </c>
      <c r="I338">
        <f t="shared" si="34"/>
        <v>1373.04</v>
      </c>
      <c r="J338">
        <f t="shared" si="31"/>
        <v>522.40000000000009</v>
      </c>
      <c r="K338" s="8">
        <f t="shared" si="32"/>
        <v>0.27560882961212174</v>
      </c>
      <c r="L338" t="str">
        <f t="shared" si="35"/>
        <v>2022-05</v>
      </c>
      <c r="M338">
        <f t="shared" si="33"/>
        <v>522.40000000000009</v>
      </c>
    </row>
    <row r="339" spans="1:13" x14ac:dyDescent="0.25">
      <c r="A339" s="1">
        <v>45325</v>
      </c>
      <c r="B339" t="s">
        <v>12</v>
      </c>
      <c r="C339" t="s">
        <v>8</v>
      </c>
      <c r="D339" t="s">
        <v>18</v>
      </c>
      <c r="E339">
        <v>1357.88</v>
      </c>
      <c r="F339">
        <v>717.48</v>
      </c>
      <c r="G339">
        <v>4</v>
      </c>
      <c r="H339">
        <f t="shared" si="30"/>
        <v>5431.52</v>
      </c>
      <c r="I339">
        <f t="shared" si="34"/>
        <v>2869.92</v>
      </c>
      <c r="J339">
        <f t="shared" si="31"/>
        <v>2561.6000000000004</v>
      </c>
      <c r="K339" s="8">
        <f t="shared" si="32"/>
        <v>0.47161752143046515</v>
      </c>
      <c r="L339" t="str">
        <f t="shared" si="35"/>
        <v>2024-02</v>
      </c>
      <c r="M339">
        <f t="shared" si="33"/>
        <v>2561.6000000000004</v>
      </c>
    </row>
    <row r="340" spans="1:13" x14ac:dyDescent="0.25">
      <c r="A340" s="1">
        <v>44866</v>
      </c>
      <c r="B340" t="s">
        <v>25</v>
      </c>
      <c r="C340" t="s">
        <v>15</v>
      </c>
      <c r="D340" t="s">
        <v>9</v>
      </c>
      <c r="E340">
        <v>1505.17</v>
      </c>
      <c r="F340">
        <v>1063.19</v>
      </c>
      <c r="G340">
        <v>5</v>
      </c>
      <c r="H340">
        <f t="shared" si="30"/>
        <v>7525.85</v>
      </c>
      <c r="I340">
        <f t="shared" si="34"/>
        <v>5315.9500000000007</v>
      </c>
      <c r="J340">
        <f t="shared" si="31"/>
        <v>2209.8999999999996</v>
      </c>
      <c r="K340" s="8">
        <f t="shared" si="32"/>
        <v>0.29364124982560103</v>
      </c>
      <c r="L340" t="str">
        <f t="shared" si="35"/>
        <v>2022-11</v>
      </c>
      <c r="M340">
        <f t="shared" si="33"/>
        <v>2209.8999999999996</v>
      </c>
    </row>
    <row r="341" spans="1:13" x14ac:dyDescent="0.25">
      <c r="A341" s="1">
        <v>45208</v>
      </c>
      <c r="B341" t="s">
        <v>21</v>
      </c>
      <c r="C341" t="s">
        <v>20</v>
      </c>
      <c r="D341" t="s">
        <v>18</v>
      </c>
      <c r="E341">
        <v>674.39</v>
      </c>
      <c r="F341">
        <v>540.54</v>
      </c>
      <c r="G341">
        <v>8</v>
      </c>
      <c r="H341">
        <f t="shared" si="30"/>
        <v>5395.12</v>
      </c>
      <c r="I341">
        <f t="shared" si="34"/>
        <v>4324.32</v>
      </c>
      <c r="J341">
        <f t="shared" si="31"/>
        <v>1070.8000000000002</v>
      </c>
      <c r="K341" s="8">
        <f t="shared" si="32"/>
        <v>0.19847565948486784</v>
      </c>
      <c r="L341" t="str">
        <f t="shared" si="35"/>
        <v>2023-10</v>
      </c>
      <c r="M341">
        <f t="shared" si="33"/>
        <v>1070.8000000000002</v>
      </c>
    </row>
    <row r="342" spans="1:13" x14ac:dyDescent="0.25">
      <c r="A342" s="1">
        <v>44800</v>
      </c>
      <c r="B342" t="s">
        <v>24</v>
      </c>
      <c r="C342" t="s">
        <v>20</v>
      </c>
      <c r="D342" t="s">
        <v>18</v>
      </c>
      <c r="E342">
        <v>762.49</v>
      </c>
      <c r="F342">
        <v>383.63</v>
      </c>
      <c r="G342">
        <v>10</v>
      </c>
      <c r="H342">
        <f t="shared" si="30"/>
        <v>7624.9</v>
      </c>
      <c r="I342">
        <f t="shared" si="34"/>
        <v>3836.3</v>
      </c>
      <c r="J342">
        <f t="shared" si="31"/>
        <v>3788.5999999999995</v>
      </c>
      <c r="K342" s="8">
        <f t="shared" si="32"/>
        <v>0.4968720901257721</v>
      </c>
      <c r="L342" t="str">
        <f t="shared" si="35"/>
        <v>2022-08</v>
      </c>
      <c r="M342">
        <f t="shared" si="33"/>
        <v>3788.5999999999995</v>
      </c>
    </row>
    <row r="343" spans="1:13" x14ac:dyDescent="0.25">
      <c r="A343" s="1">
        <v>45604</v>
      </c>
      <c r="B343" t="s">
        <v>22</v>
      </c>
      <c r="C343" t="s">
        <v>8</v>
      </c>
      <c r="D343" t="s">
        <v>13</v>
      </c>
      <c r="E343">
        <v>1443.7</v>
      </c>
      <c r="F343">
        <v>846.25</v>
      </c>
      <c r="G343">
        <v>1</v>
      </c>
      <c r="H343">
        <f t="shared" si="30"/>
        <v>1443.7</v>
      </c>
      <c r="I343">
        <f t="shared" si="34"/>
        <v>846.25</v>
      </c>
      <c r="J343">
        <f t="shared" si="31"/>
        <v>597.45000000000005</v>
      </c>
      <c r="K343" s="8">
        <f t="shared" si="32"/>
        <v>0.41383251368012747</v>
      </c>
      <c r="L343" t="str">
        <f t="shared" si="35"/>
        <v>2024-11</v>
      </c>
      <c r="M343">
        <f t="shared" si="33"/>
        <v>597.45000000000005</v>
      </c>
    </row>
    <row r="344" spans="1:13" x14ac:dyDescent="0.25">
      <c r="A344" s="1">
        <v>45414</v>
      </c>
      <c r="B344" t="s">
        <v>7</v>
      </c>
      <c r="C344" t="s">
        <v>8</v>
      </c>
      <c r="D344" t="s">
        <v>18</v>
      </c>
      <c r="E344">
        <v>1145.47</v>
      </c>
      <c r="F344">
        <v>688.97</v>
      </c>
      <c r="G344">
        <v>1</v>
      </c>
      <c r="H344">
        <f t="shared" si="30"/>
        <v>1145.47</v>
      </c>
      <c r="I344">
        <f t="shared" si="34"/>
        <v>688.97</v>
      </c>
      <c r="J344">
        <f t="shared" si="31"/>
        <v>456.5</v>
      </c>
      <c r="K344" s="8">
        <f t="shared" si="32"/>
        <v>0.39852636908867101</v>
      </c>
      <c r="L344" t="str">
        <f t="shared" si="35"/>
        <v>2024-05</v>
      </c>
      <c r="M344">
        <f t="shared" si="33"/>
        <v>456.5</v>
      </c>
    </row>
    <row r="345" spans="1:13" x14ac:dyDescent="0.25">
      <c r="A345" s="1">
        <v>45128</v>
      </c>
      <c r="B345" t="s">
        <v>21</v>
      </c>
      <c r="C345" t="s">
        <v>20</v>
      </c>
      <c r="D345" t="s">
        <v>17</v>
      </c>
      <c r="E345">
        <v>1314.99</v>
      </c>
      <c r="F345">
        <v>936.27</v>
      </c>
      <c r="G345">
        <v>4</v>
      </c>
      <c r="H345">
        <f t="shared" si="30"/>
        <v>5259.96</v>
      </c>
      <c r="I345">
        <f t="shared" si="34"/>
        <v>3745.08</v>
      </c>
      <c r="J345">
        <f t="shared" si="31"/>
        <v>1514.88</v>
      </c>
      <c r="K345" s="8">
        <f t="shared" si="32"/>
        <v>0.28800219013072342</v>
      </c>
      <c r="L345" t="str">
        <f t="shared" si="35"/>
        <v>2023-07</v>
      </c>
      <c r="M345">
        <f t="shared" si="33"/>
        <v>1514.88</v>
      </c>
    </row>
    <row r="346" spans="1:13" x14ac:dyDescent="0.25">
      <c r="A346" s="1">
        <v>45593</v>
      </c>
      <c r="B346" t="s">
        <v>12</v>
      </c>
      <c r="C346" t="s">
        <v>8</v>
      </c>
      <c r="D346" t="s">
        <v>9</v>
      </c>
      <c r="E346">
        <v>1287.26</v>
      </c>
      <c r="F346">
        <v>663.12</v>
      </c>
      <c r="G346">
        <v>10</v>
      </c>
      <c r="H346">
        <f t="shared" si="30"/>
        <v>12872.6</v>
      </c>
      <c r="I346">
        <f t="shared" si="34"/>
        <v>6631.2</v>
      </c>
      <c r="J346">
        <f t="shared" si="31"/>
        <v>6241.4000000000005</v>
      </c>
      <c r="K346" s="8">
        <f t="shared" si="32"/>
        <v>0.48485931358078405</v>
      </c>
      <c r="L346" t="str">
        <f t="shared" si="35"/>
        <v>2024-10</v>
      </c>
      <c r="M346">
        <f t="shared" si="33"/>
        <v>6241.4000000000005</v>
      </c>
    </row>
    <row r="347" spans="1:13" x14ac:dyDescent="0.25">
      <c r="A347" s="1">
        <v>45305</v>
      </c>
      <c r="B347" t="s">
        <v>14</v>
      </c>
      <c r="C347" t="s">
        <v>15</v>
      </c>
      <c r="D347" t="s">
        <v>18</v>
      </c>
      <c r="E347">
        <v>1179.43</v>
      </c>
      <c r="F347">
        <v>1058.27</v>
      </c>
      <c r="G347">
        <v>7</v>
      </c>
      <c r="H347">
        <f t="shared" si="30"/>
        <v>8256.01</v>
      </c>
      <c r="I347">
        <f t="shared" si="34"/>
        <v>7407.8899999999994</v>
      </c>
      <c r="J347">
        <f t="shared" si="31"/>
        <v>848.1200000000008</v>
      </c>
      <c r="K347" s="8">
        <f t="shared" si="32"/>
        <v>0.10272758875049821</v>
      </c>
      <c r="L347" t="str">
        <f t="shared" si="35"/>
        <v>2024-01</v>
      </c>
      <c r="M347">
        <f t="shared" si="33"/>
        <v>848.1200000000008</v>
      </c>
    </row>
    <row r="348" spans="1:13" x14ac:dyDescent="0.25">
      <c r="A348" s="1">
        <v>45440</v>
      </c>
      <c r="B348" t="s">
        <v>12</v>
      </c>
      <c r="C348" t="s">
        <v>8</v>
      </c>
      <c r="D348" t="s">
        <v>13</v>
      </c>
      <c r="E348">
        <v>199.98</v>
      </c>
      <c r="F348">
        <v>133.99</v>
      </c>
      <c r="G348">
        <v>3</v>
      </c>
      <c r="H348">
        <f t="shared" si="30"/>
        <v>599.93999999999994</v>
      </c>
      <c r="I348">
        <f t="shared" si="34"/>
        <v>401.97</v>
      </c>
      <c r="J348">
        <f t="shared" si="31"/>
        <v>197.96999999999991</v>
      </c>
      <c r="K348" s="8">
        <f t="shared" si="32"/>
        <v>0.32998299829982985</v>
      </c>
      <c r="L348" t="str">
        <f t="shared" si="35"/>
        <v>2024-05</v>
      </c>
      <c r="M348">
        <f t="shared" si="33"/>
        <v>197.96999999999991</v>
      </c>
    </row>
    <row r="349" spans="1:13" x14ac:dyDescent="0.25">
      <c r="A349" s="1">
        <v>44710</v>
      </c>
      <c r="B349" t="s">
        <v>19</v>
      </c>
      <c r="C349" t="s">
        <v>20</v>
      </c>
      <c r="D349" t="s">
        <v>13</v>
      </c>
      <c r="E349">
        <v>1430.67</v>
      </c>
      <c r="F349">
        <v>831.69</v>
      </c>
      <c r="G349">
        <v>8</v>
      </c>
      <c r="H349">
        <f t="shared" si="30"/>
        <v>11445.36</v>
      </c>
      <c r="I349">
        <f t="shared" si="34"/>
        <v>6653.52</v>
      </c>
      <c r="J349">
        <f t="shared" si="31"/>
        <v>4791.84</v>
      </c>
      <c r="K349" s="8">
        <f t="shared" si="32"/>
        <v>0.41867097234163014</v>
      </c>
      <c r="L349" t="str">
        <f t="shared" si="35"/>
        <v>2022-05</v>
      </c>
      <c r="M349">
        <f t="shared" si="33"/>
        <v>4791.84</v>
      </c>
    </row>
    <row r="350" spans="1:13" x14ac:dyDescent="0.25">
      <c r="A350" s="1">
        <v>45131</v>
      </c>
      <c r="B350" t="s">
        <v>12</v>
      </c>
      <c r="C350" t="s">
        <v>8</v>
      </c>
      <c r="D350" t="s">
        <v>18</v>
      </c>
      <c r="E350">
        <v>1902.03</v>
      </c>
      <c r="F350">
        <v>1642.41</v>
      </c>
      <c r="G350">
        <v>5</v>
      </c>
      <c r="H350">
        <f t="shared" si="30"/>
        <v>9510.15</v>
      </c>
      <c r="I350">
        <f t="shared" si="34"/>
        <v>8212.0500000000011</v>
      </c>
      <c r="J350">
        <f t="shared" si="31"/>
        <v>1298.0999999999985</v>
      </c>
      <c r="K350" s="8">
        <f t="shared" si="32"/>
        <v>0.13649626977492454</v>
      </c>
      <c r="L350" t="str">
        <f t="shared" si="35"/>
        <v>2023-07</v>
      </c>
      <c r="M350">
        <f t="shared" si="33"/>
        <v>1298.0999999999985</v>
      </c>
    </row>
    <row r="351" spans="1:13" x14ac:dyDescent="0.25">
      <c r="A351" s="1">
        <v>45403</v>
      </c>
      <c r="B351" t="s">
        <v>23</v>
      </c>
      <c r="C351" t="s">
        <v>11</v>
      </c>
      <c r="D351" t="s">
        <v>9</v>
      </c>
      <c r="E351">
        <v>1969.39</v>
      </c>
      <c r="F351">
        <v>1236.3399999999999</v>
      </c>
      <c r="G351">
        <v>3</v>
      </c>
      <c r="H351">
        <f t="shared" si="30"/>
        <v>5908.17</v>
      </c>
      <c r="I351">
        <f t="shared" si="34"/>
        <v>3709.0199999999995</v>
      </c>
      <c r="J351">
        <f t="shared" si="31"/>
        <v>2199.1500000000005</v>
      </c>
      <c r="K351" s="8">
        <f t="shared" si="32"/>
        <v>0.37222185549840314</v>
      </c>
      <c r="L351" t="str">
        <f t="shared" si="35"/>
        <v>2024-04</v>
      </c>
      <c r="M351">
        <f t="shared" si="33"/>
        <v>2199.1500000000005</v>
      </c>
    </row>
    <row r="352" spans="1:13" x14ac:dyDescent="0.25">
      <c r="A352" s="1">
        <v>45306</v>
      </c>
      <c r="B352" t="s">
        <v>7</v>
      </c>
      <c r="C352" t="s">
        <v>8</v>
      </c>
      <c r="D352" t="s">
        <v>9</v>
      </c>
      <c r="E352">
        <v>710.87</v>
      </c>
      <c r="F352">
        <v>585.19000000000005</v>
      </c>
      <c r="G352">
        <v>8</v>
      </c>
      <c r="H352">
        <f t="shared" si="30"/>
        <v>5686.96</v>
      </c>
      <c r="I352">
        <f t="shared" si="34"/>
        <v>4681.5200000000004</v>
      </c>
      <c r="J352">
        <f t="shared" si="31"/>
        <v>1005.4399999999996</v>
      </c>
      <c r="K352" s="8">
        <f t="shared" si="32"/>
        <v>0.17679744538382539</v>
      </c>
      <c r="L352" t="str">
        <f t="shared" si="35"/>
        <v>2024-01</v>
      </c>
      <c r="M352">
        <f t="shared" si="33"/>
        <v>1005.4399999999996</v>
      </c>
    </row>
    <row r="353" spans="1:13" x14ac:dyDescent="0.25">
      <c r="A353" s="1">
        <v>45527</v>
      </c>
      <c r="B353" t="s">
        <v>12</v>
      </c>
      <c r="C353" t="s">
        <v>8</v>
      </c>
      <c r="D353" t="s">
        <v>17</v>
      </c>
      <c r="E353">
        <v>891.5</v>
      </c>
      <c r="F353">
        <v>520.69000000000005</v>
      </c>
      <c r="G353">
        <v>3</v>
      </c>
      <c r="H353">
        <f t="shared" si="30"/>
        <v>2674.5</v>
      </c>
      <c r="I353">
        <f t="shared" si="34"/>
        <v>1562.0700000000002</v>
      </c>
      <c r="J353">
        <f t="shared" si="31"/>
        <v>1112.4299999999998</v>
      </c>
      <c r="K353" s="8">
        <f t="shared" si="32"/>
        <v>0.41593942793045424</v>
      </c>
      <c r="L353" t="str">
        <f t="shared" si="35"/>
        <v>2024-08</v>
      </c>
      <c r="M353">
        <f t="shared" si="33"/>
        <v>1112.4299999999998</v>
      </c>
    </row>
    <row r="354" spans="1:13" x14ac:dyDescent="0.25">
      <c r="A354" s="1">
        <v>45293</v>
      </c>
      <c r="B354" t="s">
        <v>7</v>
      </c>
      <c r="C354" t="s">
        <v>8</v>
      </c>
      <c r="D354" t="s">
        <v>13</v>
      </c>
      <c r="E354">
        <v>709.66</v>
      </c>
      <c r="F354">
        <v>570.46</v>
      </c>
      <c r="G354">
        <v>7</v>
      </c>
      <c r="H354">
        <f t="shared" si="30"/>
        <v>4967.62</v>
      </c>
      <c r="I354">
        <f t="shared" si="34"/>
        <v>3993.2200000000003</v>
      </c>
      <c r="J354">
        <f t="shared" si="31"/>
        <v>974.39999999999964</v>
      </c>
      <c r="K354" s="8">
        <f t="shared" si="32"/>
        <v>0.19615026914296979</v>
      </c>
      <c r="L354" t="str">
        <f t="shared" si="35"/>
        <v>2024-01</v>
      </c>
      <c r="M354">
        <f t="shared" si="33"/>
        <v>974.39999999999964</v>
      </c>
    </row>
    <row r="355" spans="1:13" x14ac:dyDescent="0.25">
      <c r="A355" s="1">
        <v>44799</v>
      </c>
      <c r="B355" t="s">
        <v>19</v>
      </c>
      <c r="C355" t="s">
        <v>20</v>
      </c>
      <c r="D355" t="s">
        <v>13</v>
      </c>
      <c r="E355">
        <v>1859.01</v>
      </c>
      <c r="F355">
        <v>1604.25</v>
      </c>
      <c r="G355">
        <v>7</v>
      </c>
      <c r="H355">
        <f t="shared" si="30"/>
        <v>13013.07</v>
      </c>
      <c r="I355">
        <f t="shared" si="34"/>
        <v>11229.75</v>
      </c>
      <c r="J355">
        <f t="shared" si="31"/>
        <v>1783.3199999999997</v>
      </c>
      <c r="K355" s="8">
        <f t="shared" si="32"/>
        <v>0.13704068294414767</v>
      </c>
      <c r="L355" t="str">
        <f t="shared" si="35"/>
        <v>2022-08</v>
      </c>
      <c r="M355">
        <f t="shared" si="33"/>
        <v>1783.3199999999997</v>
      </c>
    </row>
    <row r="356" spans="1:13" x14ac:dyDescent="0.25">
      <c r="A356" s="1">
        <v>44905</v>
      </c>
      <c r="B356" t="s">
        <v>10</v>
      </c>
      <c r="C356" t="s">
        <v>11</v>
      </c>
      <c r="D356" t="s">
        <v>18</v>
      </c>
      <c r="E356">
        <v>1976.34</v>
      </c>
      <c r="F356">
        <v>1628.16</v>
      </c>
      <c r="G356">
        <v>6</v>
      </c>
      <c r="H356">
        <f t="shared" si="30"/>
        <v>11858.039999999999</v>
      </c>
      <c r="I356">
        <f t="shared" si="34"/>
        <v>9768.9600000000009</v>
      </c>
      <c r="J356">
        <f t="shared" si="31"/>
        <v>2089.0799999999981</v>
      </c>
      <c r="K356" s="8">
        <f t="shared" si="32"/>
        <v>0.1761741400771121</v>
      </c>
      <c r="L356" t="str">
        <f t="shared" si="35"/>
        <v>2022-12</v>
      </c>
      <c r="M356">
        <f t="shared" si="33"/>
        <v>2089.0799999999981</v>
      </c>
    </row>
    <row r="357" spans="1:13" x14ac:dyDescent="0.25">
      <c r="A357" s="1">
        <v>44680</v>
      </c>
      <c r="B357" t="s">
        <v>10</v>
      </c>
      <c r="C357" t="s">
        <v>11</v>
      </c>
      <c r="D357" t="s">
        <v>9</v>
      </c>
      <c r="E357">
        <v>963.96</v>
      </c>
      <c r="F357">
        <v>671.12</v>
      </c>
      <c r="G357">
        <v>10</v>
      </c>
      <c r="H357">
        <f t="shared" si="30"/>
        <v>9639.6</v>
      </c>
      <c r="I357">
        <f t="shared" si="34"/>
        <v>6711.2</v>
      </c>
      <c r="J357">
        <f t="shared" si="31"/>
        <v>2928.4000000000005</v>
      </c>
      <c r="K357" s="8">
        <f t="shared" si="32"/>
        <v>0.3037885389435247</v>
      </c>
      <c r="L357" t="str">
        <f t="shared" si="35"/>
        <v>2022-04</v>
      </c>
      <c r="M357">
        <f t="shared" si="33"/>
        <v>2928.4000000000005</v>
      </c>
    </row>
    <row r="358" spans="1:13" x14ac:dyDescent="0.25">
      <c r="A358" s="1">
        <v>45402</v>
      </c>
      <c r="B358" t="s">
        <v>7</v>
      </c>
      <c r="C358" t="s">
        <v>8</v>
      </c>
      <c r="D358" t="s">
        <v>17</v>
      </c>
      <c r="E358">
        <v>1873.31</v>
      </c>
      <c r="F358">
        <v>1580.69</v>
      </c>
      <c r="G358">
        <v>9</v>
      </c>
      <c r="H358">
        <f t="shared" si="30"/>
        <v>16859.79</v>
      </c>
      <c r="I358">
        <f t="shared" si="34"/>
        <v>14226.210000000001</v>
      </c>
      <c r="J358">
        <f t="shared" si="31"/>
        <v>2633.58</v>
      </c>
      <c r="K358" s="8">
        <f t="shared" si="32"/>
        <v>0.15620479258638451</v>
      </c>
      <c r="L358" t="str">
        <f t="shared" si="35"/>
        <v>2024-04</v>
      </c>
      <c r="M358">
        <f t="shared" si="33"/>
        <v>2633.58</v>
      </c>
    </row>
    <row r="359" spans="1:13" x14ac:dyDescent="0.25">
      <c r="A359" s="1">
        <v>44832</v>
      </c>
      <c r="B359" t="s">
        <v>23</v>
      </c>
      <c r="C359" t="s">
        <v>11</v>
      </c>
      <c r="D359" t="s">
        <v>9</v>
      </c>
      <c r="E359">
        <v>773.59</v>
      </c>
      <c r="F359">
        <v>387.85</v>
      </c>
      <c r="G359">
        <v>1</v>
      </c>
      <c r="H359">
        <f t="shared" si="30"/>
        <v>773.59</v>
      </c>
      <c r="I359">
        <f t="shared" si="34"/>
        <v>387.85</v>
      </c>
      <c r="J359">
        <f t="shared" si="31"/>
        <v>385.74</v>
      </c>
      <c r="K359" s="8">
        <f t="shared" si="32"/>
        <v>0.49863622849312944</v>
      </c>
      <c r="L359" t="str">
        <f t="shared" si="35"/>
        <v>2022-09</v>
      </c>
      <c r="M359">
        <f t="shared" si="33"/>
        <v>385.74</v>
      </c>
    </row>
    <row r="360" spans="1:13" x14ac:dyDescent="0.25">
      <c r="A360" s="1">
        <v>44992</v>
      </c>
      <c r="B360" t="s">
        <v>16</v>
      </c>
      <c r="C360" t="s">
        <v>15</v>
      </c>
      <c r="D360" t="s">
        <v>13</v>
      </c>
      <c r="E360">
        <v>406.02</v>
      </c>
      <c r="F360">
        <v>204.01</v>
      </c>
      <c r="G360">
        <v>8</v>
      </c>
      <c r="H360">
        <f t="shared" si="30"/>
        <v>3248.16</v>
      </c>
      <c r="I360">
        <f t="shared" si="34"/>
        <v>1632.08</v>
      </c>
      <c r="J360">
        <f t="shared" si="31"/>
        <v>1616.08</v>
      </c>
      <c r="K360" s="8">
        <f t="shared" si="32"/>
        <v>0.49753706713954976</v>
      </c>
      <c r="L360" t="str">
        <f t="shared" si="35"/>
        <v>2023-03</v>
      </c>
      <c r="M360">
        <f t="shared" si="33"/>
        <v>1616.08</v>
      </c>
    </row>
    <row r="361" spans="1:13" x14ac:dyDescent="0.25">
      <c r="A361" s="1">
        <v>45405</v>
      </c>
      <c r="B361" t="s">
        <v>14</v>
      </c>
      <c r="C361" t="s">
        <v>15</v>
      </c>
      <c r="D361" t="s">
        <v>13</v>
      </c>
      <c r="E361">
        <v>186.33</v>
      </c>
      <c r="F361">
        <v>148.28</v>
      </c>
      <c r="G361">
        <v>1</v>
      </c>
      <c r="H361">
        <f t="shared" si="30"/>
        <v>186.33</v>
      </c>
      <c r="I361">
        <f t="shared" si="34"/>
        <v>148.28</v>
      </c>
      <c r="J361">
        <f t="shared" si="31"/>
        <v>38.050000000000011</v>
      </c>
      <c r="K361" s="8">
        <f t="shared" si="32"/>
        <v>0.20420758868673863</v>
      </c>
      <c r="L361" t="str">
        <f t="shared" si="35"/>
        <v>2024-04</v>
      </c>
      <c r="M361">
        <f t="shared" si="33"/>
        <v>38.050000000000011</v>
      </c>
    </row>
    <row r="362" spans="1:13" x14ac:dyDescent="0.25">
      <c r="A362" s="1">
        <v>45549</v>
      </c>
      <c r="B362" t="s">
        <v>14</v>
      </c>
      <c r="C362" t="s">
        <v>15</v>
      </c>
      <c r="D362" t="s">
        <v>18</v>
      </c>
      <c r="E362">
        <v>921.79</v>
      </c>
      <c r="F362">
        <v>502.33</v>
      </c>
      <c r="G362">
        <v>8</v>
      </c>
      <c r="H362">
        <f t="shared" si="30"/>
        <v>7374.32</v>
      </c>
      <c r="I362">
        <f t="shared" si="34"/>
        <v>4018.64</v>
      </c>
      <c r="J362">
        <f t="shared" si="31"/>
        <v>3355.68</v>
      </c>
      <c r="K362" s="8">
        <f t="shared" si="32"/>
        <v>0.45504941472569671</v>
      </c>
      <c r="L362" t="str">
        <f t="shared" si="35"/>
        <v>2024-09</v>
      </c>
      <c r="M362">
        <f t="shared" si="33"/>
        <v>3355.68</v>
      </c>
    </row>
    <row r="363" spans="1:13" x14ac:dyDescent="0.25">
      <c r="A363" s="1">
        <v>45366</v>
      </c>
      <c r="B363" t="s">
        <v>25</v>
      </c>
      <c r="C363" t="s">
        <v>15</v>
      </c>
      <c r="D363" t="s">
        <v>17</v>
      </c>
      <c r="E363">
        <v>1436.64</v>
      </c>
      <c r="F363">
        <v>1103.58</v>
      </c>
      <c r="G363">
        <v>2</v>
      </c>
      <c r="H363">
        <f t="shared" si="30"/>
        <v>2873.28</v>
      </c>
      <c r="I363">
        <f t="shared" si="34"/>
        <v>2207.16</v>
      </c>
      <c r="J363">
        <f t="shared" si="31"/>
        <v>666.12000000000035</v>
      </c>
      <c r="K363" s="8">
        <f t="shared" si="32"/>
        <v>0.23183260942198475</v>
      </c>
      <c r="L363" t="str">
        <f t="shared" si="35"/>
        <v>2024-03</v>
      </c>
      <c r="M363">
        <f t="shared" si="33"/>
        <v>666.12000000000035</v>
      </c>
    </row>
    <row r="364" spans="1:13" x14ac:dyDescent="0.25">
      <c r="A364" s="1">
        <v>45405</v>
      </c>
      <c r="B364" t="s">
        <v>22</v>
      </c>
      <c r="C364" t="s">
        <v>8</v>
      </c>
      <c r="D364" t="s">
        <v>9</v>
      </c>
      <c r="E364">
        <v>1969.36</v>
      </c>
      <c r="F364">
        <v>1446.48</v>
      </c>
      <c r="G364">
        <v>4</v>
      </c>
      <c r="H364">
        <f t="shared" si="30"/>
        <v>7877.44</v>
      </c>
      <c r="I364">
        <f t="shared" si="34"/>
        <v>5785.92</v>
      </c>
      <c r="J364">
        <f t="shared" si="31"/>
        <v>2091.5199999999995</v>
      </c>
      <c r="K364" s="8">
        <f t="shared" si="32"/>
        <v>0.26550757606532066</v>
      </c>
      <c r="L364" t="str">
        <f t="shared" si="35"/>
        <v>2024-04</v>
      </c>
      <c r="M364">
        <f t="shared" si="33"/>
        <v>2091.5199999999995</v>
      </c>
    </row>
    <row r="365" spans="1:13" x14ac:dyDescent="0.25">
      <c r="A365" s="1">
        <v>45182</v>
      </c>
      <c r="B365" t="s">
        <v>25</v>
      </c>
      <c r="C365" t="s">
        <v>15</v>
      </c>
      <c r="D365" t="s">
        <v>17</v>
      </c>
      <c r="E365">
        <v>1317.48</v>
      </c>
      <c r="F365">
        <v>742.15</v>
      </c>
      <c r="G365">
        <v>2</v>
      </c>
      <c r="H365">
        <f t="shared" si="30"/>
        <v>2634.96</v>
      </c>
      <c r="I365">
        <f t="shared" si="34"/>
        <v>1484.3</v>
      </c>
      <c r="J365">
        <f t="shared" si="31"/>
        <v>1150.6600000000001</v>
      </c>
      <c r="K365" s="8">
        <f t="shared" si="32"/>
        <v>0.4366897410207366</v>
      </c>
      <c r="L365" t="str">
        <f t="shared" si="35"/>
        <v>2023-09</v>
      </c>
      <c r="M365">
        <f t="shared" si="33"/>
        <v>1150.6600000000001</v>
      </c>
    </row>
    <row r="366" spans="1:13" x14ac:dyDescent="0.25">
      <c r="A366" s="1">
        <v>44749</v>
      </c>
      <c r="B366" t="s">
        <v>12</v>
      </c>
      <c r="C366" t="s">
        <v>8</v>
      </c>
      <c r="D366" t="s">
        <v>13</v>
      </c>
      <c r="E366">
        <v>1768.69</v>
      </c>
      <c r="F366">
        <v>1477.41</v>
      </c>
      <c r="G366">
        <v>9</v>
      </c>
      <c r="H366">
        <f t="shared" si="30"/>
        <v>15918.210000000001</v>
      </c>
      <c r="I366">
        <f t="shared" si="34"/>
        <v>13296.69</v>
      </c>
      <c r="J366">
        <f t="shared" si="31"/>
        <v>2621.5200000000004</v>
      </c>
      <c r="K366" s="8">
        <f t="shared" si="32"/>
        <v>0.16468685863548729</v>
      </c>
      <c r="L366" t="str">
        <f t="shared" si="35"/>
        <v>2022-07</v>
      </c>
      <c r="M366">
        <f t="shared" si="33"/>
        <v>2621.5200000000004</v>
      </c>
    </row>
    <row r="367" spans="1:13" x14ac:dyDescent="0.25">
      <c r="A367" s="1">
        <v>45476</v>
      </c>
      <c r="B367" t="s">
        <v>7</v>
      </c>
      <c r="C367" t="s">
        <v>8</v>
      </c>
      <c r="D367" t="s">
        <v>17</v>
      </c>
      <c r="E367">
        <v>522.26</v>
      </c>
      <c r="F367">
        <v>453.56</v>
      </c>
      <c r="G367">
        <v>5</v>
      </c>
      <c r="H367">
        <f t="shared" si="30"/>
        <v>2611.3000000000002</v>
      </c>
      <c r="I367">
        <f t="shared" si="34"/>
        <v>2267.8000000000002</v>
      </c>
      <c r="J367">
        <f t="shared" si="31"/>
        <v>343.5</v>
      </c>
      <c r="K367" s="8">
        <f t="shared" si="32"/>
        <v>0.13154367556389537</v>
      </c>
      <c r="L367" t="str">
        <f t="shared" si="35"/>
        <v>2024-07</v>
      </c>
      <c r="M367">
        <f t="shared" si="33"/>
        <v>343.5</v>
      </c>
    </row>
    <row r="368" spans="1:13" x14ac:dyDescent="0.25">
      <c r="A368" s="1">
        <v>44978</v>
      </c>
      <c r="B368" t="s">
        <v>14</v>
      </c>
      <c r="C368" t="s">
        <v>15</v>
      </c>
      <c r="D368" t="s">
        <v>9</v>
      </c>
      <c r="E368">
        <v>1354.22</v>
      </c>
      <c r="F368">
        <v>1041.21</v>
      </c>
      <c r="G368">
        <v>3</v>
      </c>
      <c r="H368">
        <f t="shared" si="30"/>
        <v>4062.66</v>
      </c>
      <c r="I368">
        <f t="shared" si="34"/>
        <v>3123.63</v>
      </c>
      <c r="J368">
        <f t="shared" si="31"/>
        <v>939.02999999999975</v>
      </c>
      <c r="K368" s="8">
        <f t="shared" si="32"/>
        <v>0.23113674292212485</v>
      </c>
      <c r="L368" t="str">
        <f t="shared" si="35"/>
        <v>2023-02</v>
      </c>
      <c r="M368">
        <f t="shared" si="33"/>
        <v>939.02999999999975</v>
      </c>
    </row>
    <row r="369" spans="1:13" x14ac:dyDescent="0.25">
      <c r="A369" s="1">
        <v>44965</v>
      </c>
      <c r="B369" t="s">
        <v>12</v>
      </c>
      <c r="C369" t="s">
        <v>8</v>
      </c>
      <c r="D369" t="s">
        <v>17</v>
      </c>
      <c r="E369">
        <v>1279.81</v>
      </c>
      <c r="F369">
        <v>1044.4000000000001</v>
      </c>
      <c r="G369">
        <v>2</v>
      </c>
      <c r="H369">
        <f t="shared" si="30"/>
        <v>2559.62</v>
      </c>
      <c r="I369">
        <f t="shared" si="34"/>
        <v>2088.8000000000002</v>
      </c>
      <c r="J369">
        <f t="shared" si="31"/>
        <v>470.81999999999971</v>
      </c>
      <c r="K369" s="8">
        <f t="shared" si="32"/>
        <v>0.18394136629655955</v>
      </c>
      <c r="L369" t="str">
        <f t="shared" si="35"/>
        <v>2023-02</v>
      </c>
      <c r="M369">
        <f t="shared" si="33"/>
        <v>470.81999999999971</v>
      </c>
    </row>
    <row r="370" spans="1:13" x14ac:dyDescent="0.25">
      <c r="A370" s="1">
        <v>45345</v>
      </c>
      <c r="B370" t="s">
        <v>14</v>
      </c>
      <c r="C370" t="s">
        <v>15</v>
      </c>
      <c r="D370" t="s">
        <v>13</v>
      </c>
      <c r="E370">
        <v>824.43</v>
      </c>
      <c r="F370">
        <v>438.6</v>
      </c>
      <c r="G370">
        <v>7</v>
      </c>
      <c r="H370">
        <f t="shared" si="30"/>
        <v>5771.0099999999993</v>
      </c>
      <c r="I370">
        <f t="shared" si="34"/>
        <v>3070.2000000000003</v>
      </c>
      <c r="J370">
        <f t="shared" si="31"/>
        <v>2700.809999999999</v>
      </c>
      <c r="K370" s="8">
        <f t="shared" si="32"/>
        <v>0.46799607001200816</v>
      </c>
      <c r="L370" t="str">
        <f t="shared" si="35"/>
        <v>2024-02</v>
      </c>
      <c r="M370">
        <f t="shared" si="33"/>
        <v>2700.809999999999</v>
      </c>
    </row>
    <row r="371" spans="1:13" x14ac:dyDescent="0.25">
      <c r="A371" s="1">
        <v>44782</v>
      </c>
      <c r="B371" t="s">
        <v>23</v>
      </c>
      <c r="C371" t="s">
        <v>11</v>
      </c>
      <c r="D371" t="s">
        <v>17</v>
      </c>
      <c r="E371">
        <v>753.56</v>
      </c>
      <c r="F371">
        <v>430.93</v>
      </c>
      <c r="G371">
        <v>2</v>
      </c>
      <c r="H371">
        <f t="shared" si="30"/>
        <v>1507.12</v>
      </c>
      <c r="I371">
        <f t="shared" si="34"/>
        <v>861.86</v>
      </c>
      <c r="J371">
        <f t="shared" si="31"/>
        <v>645.25999999999988</v>
      </c>
      <c r="K371" s="8">
        <f t="shared" si="32"/>
        <v>0.42814109029141667</v>
      </c>
      <c r="L371" t="str">
        <f t="shared" si="35"/>
        <v>2022-08</v>
      </c>
      <c r="M371">
        <f t="shared" si="33"/>
        <v>645.25999999999988</v>
      </c>
    </row>
    <row r="372" spans="1:13" x14ac:dyDescent="0.25">
      <c r="A372" s="1">
        <v>45344</v>
      </c>
      <c r="B372" t="s">
        <v>25</v>
      </c>
      <c r="C372" t="s">
        <v>15</v>
      </c>
      <c r="D372" t="s">
        <v>17</v>
      </c>
      <c r="E372">
        <v>506.35</v>
      </c>
      <c r="F372">
        <v>441.11</v>
      </c>
      <c r="G372">
        <v>7</v>
      </c>
      <c r="H372">
        <f t="shared" si="30"/>
        <v>3544.4500000000003</v>
      </c>
      <c r="I372">
        <f t="shared" si="34"/>
        <v>3087.77</v>
      </c>
      <c r="J372">
        <f t="shared" si="31"/>
        <v>456.68000000000029</v>
      </c>
      <c r="K372" s="8">
        <f t="shared" si="32"/>
        <v>0.12884368519798567</v>
      </c>
      <c r="L372" t="str">
        <f t="shared" si="35"/>
        <v>2024-02</v>
      </c>
      <c r="M372">
        <f t="shared" si="33"/>
        <v>456.68000000000029</v>
      </c>
    </row>
    <row r="373" spans="1:13" x14ac:dyDescent="0.25">
      <c r="A373" s="1">
        <v>44944</v>
      </c>
      <c r="B373" t="s">
        <v>23</v>
      </c>
      <c r="C373" t="s">
        <v>11</v>
      </c>
      <c r="D373" t="s">
        <v>9</v>
      </c>
      <c r="E373">
        <v>883.54</v>
      </c>
      <c r="F373">
        <v>631.42999999999995</v>
      </c>
      <c r="G373">
        <v>7</v>
      </c>
      <c r="H373">
        <f t="shared" si="30"/>
        <v>6184.78</v>
      </c>
      <c r="I373">
        <f t="shared" si="34"/>
        <v>4420.0099999999993</v>
      </c>
      <c r="J373">
        <f t="shared" si="31"/>
        <v>1764.7700000000004</v>
      </c>
      <c r="K373" s="8">
        <f t="shared" si="32"/>
        <v>0.28534078819295117</v>
      </c>
      <c r="L373" t="str">
        <f t="shared" si="35"/>
        <v>2023-01</v>
      </c>
      <c r="M373">
        <f t="shared" si="33"/>
        <v>1764.7700000000004</v>
      </c>
    </row>
    <row r="374" spans="1:13" x14ac:dyDescent="0.25">
      <c r="A374" s="1">
        <v>45347</v>
      </c>
      <c r="B374" t="s">
        <v>25</v>
      </c>
      <c r="C374" t="s">
        <v>15</v>
      </c>
      <c r="D374" t="s">
        <v>9</v>
      </c>
      <c r="E374">
        <v>1239.67</v>
      </c>
      <c r="F374">
        <v>1016.66</v>
      </c>
      <c r="G374">
        <v>6</v>
      </c>
      <c r="H374">
        <f t="shared" si="30"/>
        <v>7438.02</v>
      </c>
      <c r="I374">
        <f t="shared" si="34"/>
        <v>6099.96</v>
      </c>
      <c r="J374">
        <f t="shared" si="31"/>
        <v>1338.0600000000004</v>
      </c>
      <c r="K374" s="8">
        <f t="shared" si="32"/>
        <v>0.179894649382497</v>
      </c>
      <c r="L374" t="str">
        <f t="shared" si="35"/>
        <v>2024-02</v>
      </c>
      <c r="M374">
        <f t="shared" si="33"/>
        <v>1338.0600000000004</v>
      </c>
    </row>
    <row r="375" spans="1:13" x14ac:dyDescent="0.25">
      <c r="A375" s="1">
        <v>45358</v>
      </c>
      <c r="B375" t="s">
        <v>22</v>
      </c>
      <c r="C375" t="s">
        <v>8</v>
      </c>
      <c r="D375" t="s">
        <v>13</v>
      </c>
      <c r="E375">
        <v>158.91</v>
      </c>
      <c r="F375">
        <v>79.819999999999993</v>
      </c>
      <c r="G375">
        <v>7</v>
      </c>
      <c r="H375">
        <f t="shared" si="30"/>
        <v>1112.3699999999999</v>
      </c>
      <c r="I375">
        <f t="shared" si="34"/>
        <v>558.74</v>
      </c>
      <c r="J375">
        <f t="shared" si="31"/>
        <v>553.62999999999988</v>
      </c>
      <c r="K375" s="8">
        <f t="shared" si="32"/>
        <v>0.49770310238499776</v>
      </c>
      <c r="L375" t="str">
        <f t="shared" si="35"/>
        <v>2024-03</v>
      </c>
      <c r="M375">
        <f t="shared" si="33"/>
        <v>553.62999999999988</v>
      </c>
    </row>
    <row r="376" spans="1:13" x14ac:dyDescent="0.25">
      <c r="A376" s="1">
        <v>45217</v>
      </c>
      <c r="B376" t="s">
        <v>7</v>
      </c>
      <c r="C376" t="s">
        <v>8</v>
      </c>
      <c r="D376" t="s">
        <v>17</v>
      </c>
      <c r="E376">
        <v>556.21</v>
      </c>
      <c r="F376">
        <v>461.91</v>
      </c>
      <c r="G376">
        <v>7</v>
      </c>
      <c r="H376">
        <f t="shared" si="30"/>
        <v>3893.4700000000003</v>
      </c>
      <c r="I376">
        <f t="shared" si="34"/>
        <v>3233.3700000000003</v>
      </c>
      <c r="J376">
        <f t="shared" si="31"/>
        <v>660.09999999999991</v>
      </c>
      <c r="K376" s="8">
        <f t="shared" si="32"/>
        <v>0.16954028154833603</v>
      </c>
      <c r="L376" t="str">
        <f t="shared" si="35"/>
        <v>2023-10</v>
      </c>
      <c r="M376">
        <f t="shared" si="33"/>
        <v>660.09999999999991</v>
      </c>
    </row>
    <row r="377" spans="1:13" x14ac:dyDescent="0.25">
      <c r="A377" s="1">
        <v>45042</v>
      </c>
      <c r="B377" t="s">
        <v>22</v>
      </c>
      <c r="C377" t="s">
        <v>8</v>
      </c>
      <c r="D377" t="s">
        <v>9</v>
      </c>
      <c r="E377">
        <v>1672.11</v>
      </c>
      <c r="F377">
        <v>1091.25</v>
      </c>
      <c r="G377">
        <v>7</v>
      </c>
      <c r="H377">
        <f t="shared" si="30"/>
        <v>11704.769999999999</v>
      </c>
      <c r="I377">
        <f t="shared" si="34"/>
        <v>7638.75</v>
      </c>
      <c r="J377">
        <f t="shared" si="31"/>
        <v>4066.0199999999986</v>
      </c>
      <c r="K377" s="8">
        <f t="shared" si="32"/>
        <v>0.34738145217718924</v>
      </c>
      <c r="L377" t="str">
        <f t="shared" si="35"/>
        <v>2023-04</v>
      </c>
      <c r="M377">
        <f t="shared" si="33"/>
        <v>4066.0199999999986</v>
      </c>
    </row>
    <row r="378" spans="1:13" x14ac:dyDescent="0.25">
      <c r="A378" s="1">
        <v>44858</v>
      </c>
      <c r="B378" t="s">
        <v>7</v>
      </c>
      <c r="C378" t="s">
        <v>8</v>
      </c>
      <c r="D378" t="s">
        <v>9</v>
      </c>
      <c r="E378">
        <v>1011.74</v>
      </c>
      <c r="F378">
        <v>865.65</v>
      </c>
      <c r="G378">
        <v>7</v>
      </c>
      <c r="H378">
        <f t="shared" si="30"/>
        <v>7082.18</v>
      </c>
      <c r="I378">
        <f t="shared" si="34"/>
        <v>6059.55</v>
      </c>
      <c r="J378">
        <f t="shared" si="31"/>
        <v>1022.6300000000001</v>
      </c>
      <c r="K378" s="8">
        <f t="shared" si="32"/>
        <v>0.14439480498942417</v>
      </c>
      <c r="L378" t="str">
        <f t="shared" si="35"/>
        <v>2022-10</v>
      </c>
      <c r="M378">
        <f t="shared" si="33"/>
        <v>1022.6300000000001</v>
      </c>
    </row>
    <row r="379" spans="1:13" x14ac:dyDescent="0.25">
      <c r="A379" s="1">
        <v>44699</v>
      </c>
      <c r="B379" t="s">
        <v>19</v>
      </c>
      <c r="C379" t="s">
        <v>20</v>
      </c>
      <c r="D379" t="s">
        <v>17</v>
      </c>
      <c r="E379">
        <v>176.46</v>
      </c>
      <c r="F379">
        <v>99.16</v>
      </c>
      <c r="G379">
        <v>7</v>
      </c>
      <c r="H379">
        <f t="shared" si="30"/>
        <v>1235.22</v>
      </c>
      <c r="I379">
        <f t="shared" si="34"/>
        <v>694.12</v>
      </c>
      <c r="J379">
        <f t="shared" si="31"/>
        <v>541.1</v>
      </c>
      <c r="K379" s="8">
        <f t="shared" si="32"/>
        <v>0.43805961691034795</v>
      </c>
      <c r="L379" t="str">
        <f t="shared" si="35"/>
        <v>2022-05</v>
      </c>
      <c r="M379">
        <f t="shared" si="33"/>
        <v>541.1</v>
      </c>
    </row>
    <row r="380" spans="1:13" x14ac:dyDescent="0.25">
      <c r="A380" s="1">
        <v>44852</v>
      </c>
      <c r="B380" t="s">
        <v>23</v>
      </c>
      <c r="C380" t="s">
        <v>11</v>
      </c>
      <c r="D380" t="s">
        <v>18</v>
      </c>
      <c r="E380">
        <v>1972.44</v>
      </c>
      <c r="F380">
        <v>1172.54</v>
      </c>
      <c r="G380">
        <v>9</v>
      </c>
      <c r="H380">
        <f t="shared" si="30"/>
        <v>17751.96</v>
      </c>
      <c r="I380">
        <f t="shared" si="34"/>
        <v>10552.86</v>
      </c>
      <c r="J380">
        <f t="shared" si="31"/>
        <v>7199.0999999999985</v>
      </c>
      <c r="K380" s="8">
        <f t="shared" si="32"/>
        <v>0.40553831802234791</v>
      </c>
      <c r="L380" t="str">
        <f t="shared" si="35"/>
        <v>2022-10</v>
      </c>
      <c r="M380">
        <f t="shared" si="33"/>
        <v>7199.0999999999985</v>
      </c>
    </row>
    <row r="381" spans="1:13" x14ac:dyDescent="0.25">
      <c r="A381" s="1">
        <v>45412</v>
      </c>
      <c r="B381" t="s">
        <v>24</v>
      </c>
      <c r="C381" t="s">
        <v>20</v>
      </c>
      <c r="D381" t="s">
        <v>18</v>
      </c>
      <c r="E381">
        <v>1158.68</v>
      </c>
      <c r="F381">
        <v>583.12</v>
      </c>
      <c r="G381">
        <v>4</v>
      </c>
      <c r="H381">
        <f t="shared" si="30"/>
        <v>4634.72</v>
      </c>
      <c r="I381">
        <f t="shared" si="34"/>
        <v>2332.48</v>
      </c>
      <c r="J381">
        <f t="shared" si="31"/>
        <v>2302.2400000000002</v>
      </c>
      <c r="K381" s="8">
        <f t="shared" si="32"/>
        <v>0.49673766700037975</v>
      </c>
      <c r="L381" t="str">
        <f t="shared" si="35"/>
        <v>2024-04</v>
      </c>
      <c r="M381">
        <f t="shared" si="33"/>
        <v>2302.2400000000002</v>
      </c>
    </row>
    <row r="382" spans="1:13" x14ac:dyDescent="0.25">
      <c r="A382" s="1">
        <v>45124</v>
      </c>
      <c r="B382" t="s">
        <v>24</v>
      </c>
      <c r="C382" t="s">
        <v>20</v>
      </c>
      <c r="D382" t="s">
        <v>18</v>
      </c>
      <c r="E382">
        <v>1238.71</v>
      </c>
      <c r="F382">
        <v>929.22</v>
      </c>
      <c r="G382">
        <v>1</v>
      </c>
      <c r="H382">
        <f t="shared" si="30"/>
        <v>1238.71</v>
      </c>
      <c r="I382">
        <f t="shared" si="34"/>
        <v>929.22</v>
      </c>
      <c r="J382">
        <f t="shared" si="31"/>
        <v>309.49</v>
      </c>
      <c r="K382" s="8">
        <f t="shared" si="32"/>
        <v>0.24984863285191852</v>
      </c>
      <c r="L382" t="str">
        <f t="shared" si="35"/>
        <v>2023-07</v>
      </c>
      <c r="M382">
        <f t="shared" si="33"/>
        <v>309.49</v>
      </c>
    </row>
    <row r="383" spans="1:13" x14ac:dyDescent="0.25">
      <c r="A383" s="1">
        <v>44641</v>
      </c>
      <c r="B383" t="s">
        <v>14</v>
      </c>
      <c r="C383" t="s">
        <v>15</v>
      </c>
      <c r="D383" t="s">
        <v>13</v>
      </c>
      <c r="E383">
        <v>936.09</v>
      </c>
      <c r="F383">
        <v>535.34</v>
      </c>
      <c r="G383">
        <v>6</v>
      </c>
      <c r="H383">
        <f t="shared" si="30"/>
        <v>5616.54</v>
      </c>
      <c r="I383">
        <f t="shared" si="34"/>
        <v>3212.04</v>
      </c>
      <c r="J383">
        <f t="shared" si="31"/>
        <v>2404.5</v>
      </c>
      <c r="K383" s="8">
        <f t="shared" si="32"/>
        <v>0.42811054492623574</v>
      </c>
      <c r="L383" t="str">
        <f t="shared" si="35"/>
        <v>2022-03</v>
      </c>
      <c r="M383">
        <f t="shared" si="33"/>
        <v>2404.5</v>
      </c>
    </row>
    <row r="384" spans="1:13" x14ac:dyDescent="0.25">
      <c r="A384" s="1">
        <v>44612</v>
      </c>
      <c r="B384" t="s">
        <v>16</v>
      </c>
      <c r="C384" t="s">
        <v>15</v>
      </c>
      <c r="D384" t="s">
        <v>9</v>
      </c>
      <c r="E384">
        <v>1245.3499999999999</v>
      </c>
      <c r="F384">
        <v>971.55</v>
      </c>
      <c r="G384">
        <v>2</v>
      </c>
      <c r="H384">
        <f t="shared" si="30"/>
        <v>2490.6999999999998</v>
      </c>
      <c r="I384">
        <f t="shared" si="34"/>
        <v>1943.1</v>
      </c>
      <c r="J384">
        <f t="shared" si="31"/>
        <v>547.59999999999991</v>
      </c>
      <c r="K384" s="8">
        <f t="shared" si="32"/>
        <v>0.21985787128116591</v>
      </c>
      <c r="L384" t="str">
        <f t="shared" si="35"/>
        <v>2022-02</v>
      </c>
      <c r="M384">
        <f t="shared" si="33"/>
        <v>547.59999999999991</v>
      </c>
    </row>
    <row r="385" spans="1:13" x14ac:dyDescent="0.25">
      <c r="A385" s="1">
        <v>45061</v>
      </c>
      <c r="B385" t="s">
        <v>24</v>
      </c>
      <c r="C385" t="s">
        <v>20</v>
      </c>
      <c r="D385" t="s">
        <v>17</v>
      </c>
      <c r="E385">
        <v>1692.58</v>
      </c>
      <c r="F385">
        <v>1381.5</v>
      </c>
      <c r="G385">
        <v>6</v>
      </c>
      <c r="H385">
        <f t="shared" si="30"/>
        <v>10155.48</v>
      </c>
      <c r="I385">
        <f t="shared" si="34"/>
        <v>8289</v>
      </c>
      <c r="J385">
        <f t="shared" si="31"/>
        <v>1866.4799999999996</v>
      </c>
      <c r="K385" s="8">
        <f t="shared" si="32"/>
        <v>0.18379042644956217</v>
      </c>
      <c r="L385" t="str">
        <f t="shared" si="35"/>
        <v>2023-05</v>
      </c>
      <c r="M385">
        <f t="shared" si="33"/>
        <v>1866.4799999999996</v>
      </c>
    </row>
    <row r="386" spans="1:13" x14ac:dyDescent="0.25">
      <c r="A386" s="1">
        <v>45247</v>
      </c>
      <c r="B386" t="s">
        <v>25</v>
      </c>
      <c r="C386" t="s">
        <v>15</v>
      </c>
      <c r="D386" t="s">
        <v>18</v>
      </c>
      <c r="E386">
        <v>589.27</v>
      </c>
      <c r="F386">
        <v>529.13</v>
      </c>
      <c r="G386">
        <v>8</v>
      </c>
      <c r="H386">
        <f t="shared" si="30"/>
        <v>4714.16</v>
      </c>
      <c r="I386">
        <f t="shared" si="34"/>
        <v>4233.04</v>
      </c>
      <c r="J386">
        <f t="shared" si="31"/>
        <v>481.11999999999989</v>
      </c>
      <c r="K386" s="8">
        <f t="shared" si="32"/>
        <v>0.10205847913520116</v>
      </c>
      <c r="L386" t="str">
        <f t="shared" si="35"/>
        <v>2023-11</v>
      </c>
      <c r="M386">
        <f t="shared" si="33"/>
        <v>481.11999999999989</v>
      </c>
    </row>
    <row r="387" spans="1:13" x14ac:dyDescent="0.25">
      <c r="A387" s="1">
        <v>45033</v>
      </c>
      <c r="B387" t="s">
        <v>23</v>
      </c>
      <c r="C387" t="s">
        <v>11</v>
      </c>
      <c r="D387" t="s">
        <v>17</v>
      </c>
      <c r="E387">
        <v>257.89</v>
      </c>
      <c r="F387">
        <v>220.44</v>
      </c>
      <c r="G387">
        <v>7</v>
      </c>
      <c r="H387">
        <f t="shared" ref="H387:H450" si="36">E387*G387</f>
        <v>1805.23</v>
      </c>
      <c r="I387">
        <f t="shared" si="34"/>
        <v>1543.08</v>
      </c>
      <c r="J387">
        <f t="shared" ref="J387:J450" si="37">H387-I387</f>
        <v>262.15000000000009</v>
      </c>
      <c r="K387" s="8">
        <f t="shared" ref="K387:K450" si="38">(H387-I387)/H387</f>
        <v>0.14521695296444226</v>
      </c>
      <c r="L387" t="str">
        <f t="shared" si="35"/>
        <v>2023-04</v>
      </c>
      <c r="M387">
        <f t="shared" ref="M387:M450" si="39">H387-I387</f>
        <v>262.15000000000009</v>
      </c>
    </row>
    <row r="388" spans="1:13" x14ac:dyDescent="0.25">
      <c r="A388" s="1">
        <v>45235</v>
      </c>
      <c r="B388" t="s">
        <v>10</v>
      </c>
      <c r="C388" t="s">
        <v>11</v>
      </c>
      <c r="D388" t="s">
        <v>9</v>
      </c>
      <c r="E388">
        <v>1684.66</v>
      </c>
      <c r="F388">
        <v>1141.25</v>
      </c>
      <c r="G388">
        <v>1</v>
      </c>
      <c r="H388">
        <f t="shared" si="36"/>
        <v>1684.66</v>
      </c>
      <c r="I388">
        <f t="shared" ref="I388:I451" si="40">F388*G388</f>
        <v>1141.25</v>
      </c>
      <c r="J388">
        <f t="shared" si="37"/>
        <v>543.41000000000008</v>
      </c>
      <c r="K388" s="8">
        <f t="shared" si="38"/>
        <v>0.3225636033383591</v>
      </c>
      <c r="L388" t="str">
        <f t="shared" ref="L388:L451" si="41">TEXT(A388,"rrrr-mm")</f>
        <v>2023-11</v>
      </c>
      <c r="M388">
        <f t="shared" si="39"/>
        <v>543.41000000000008</v>
      </c>
    </row>
    <row r="389" spans="1:13" x14ac:dyDescent="0.25">
      <c r="A389" s="1">
        <v>44750</v>
      </c>
      <c r="B389" t="s">
        <v>10</v>
      </c>
      <c r="C389" t="s">
        <v>11</v>
      </c>
      <c r="D389" t="s">
        <v>9</v>
      </c>
      <c r="E389">
        <v>553.9</v>
      </c>
      <c r="F389">
        <v>307.39</v>
      </c>
      <c r="G389">
        <v>1</v>
      </c>
      <c r="H389">
        <f t="shared" si="36"/>
        <v>553.9</v>
      </c>
      <c r="I389">
        <f t="shared" si="40"/>
        <v>307.39</v>
      </c>
      <c r="J389">
        <f t="shared" si="37"/>
        <v>246.51</v>
      </c>
      <c r="K389" s="8">
        <f t="shared" si="38"/>
        <v>0.44504423181079616</v>
      </c>
      <c r="L389" t="str">
        <f t="shared" si="41"/>
        <v>2022-07</v>
      </c>
      <c r="M389">
        <f t="shared" si="39"/>
        <v>246.51</v>
      </c>
    </row>
    <row r="390" spans="1:13" x14ac:dyDescent="0.25">
      <c r="A390" s="1">
        <v>44938</v>
      </c>
      <c r="B390" t="s">
        <v>12</v>
      </c>
      <c r="C390" t="s">
        <v>8</v>
      </c>
      <c r="D390" t="s">
        <v>9</v>
      </c>
      <c r="E390">
        <v>347.47</v>
      </c>
      <c r="F390">
        <v>215.76</v>
      </c>
      <c r="G390">
        <v>9</v>
      </c>
      <c r="H390">
        <f t="shared" si="36"/>
        <v>3127.2300000000005</v>
      </c>
      <c r="I390">
        <f t="shared" si="40"/>
        <v>1941.84</v>
      </c>
      <c r="J390">
        <f t="shared" si="37"/>
        <v>1185.3900000000006</v>
      </c>
      <c r="K390" s="8">
        <f t="shared" si="38"/>
        <v>0.37905430684663438</v>
      </c>
      <c r="L390" t="str">
        <f t="shared" si="41"/>
        <v>2023-01</v>
      </c>
      <c r="M390">
        <f t="shared" si="39"/>
        <v>1185.3900000000006</v>
      </c>
    </row>
    <row r="391" spans="1:13" x14ac:dyDescent="0.25">
      <c r="A391" s="1">
        <v>44921</v>
      </c>
      <c r="B391" t="s">
        <v>16</v>
      </c>
      <c r="C391" t="s">
        <v>15</v>
      </c>
      <c r="D391" t="s">
        <v>13</v>
      </c>
      <c r="E391">
        <v>233.58</v>
      </c>
      <c r="F391">
        <v>121.98</v>
      </c>
      <c r="G391">
        <v>5</v>
      </c>
      <c r="H391">
        <f t="shared" si="36"/>
        <v>1167.9000000000001</v>
      </c>
      <c r="I391">
        <f t="shared" si="40"/>
        <v>609.9</v>
      </c>
      <c r="J391">
        <f t="shared" si="37"/>
        <v>558.00000000000011</v>
      </c>
      <c r="K391" s="8">
        <f t="shared" si="38"/>
        <v>0.47778063190341646</v>
      </c>
      <c r="L391" t="str">
        <f t="shared" si="41"/>
        <v>2022-12</v>
      </c>
      <c r="M391">
        <f t="shared" si="39"/>
        <v>558.00000000000011</v>
      </c>
    </row>
    <row r="392" spans="1:13" x14ac:dyDescent="0.25">
      <c r="A392" s="1">
        <v>44797</v>
      </c>
      <c r="B392" t="s">
        <v>25</v>
      </c>
      <c r="C392" t="s">
        <v>15</v>
      </c>
      <c r="D392" t="s">
        <v>17</v>
      </c>
      <c r="E392">
        <v>1022.57</v>
      </c>
      <c r="F392">
        <v>735.93</v>
      </c>
      <c r="G392">
        <v>5</v>
      </c>
      <c r="H392">
        <f t="shared" si="36"/>
        <v>5112.8500000000004</v>
      </c>
      <c r="I392">
        <f t="shared" si="40"/>
        <v>3679.6499999999996</v>
      </c>
      <c r="J392">
        <f t="shared" si="37"/>
        <v>1433.2000000000007</v>
      </c>
      <c r="K392" s="8">
        <f t="shared" si="38"/>
        <v>0.28031332818291183</v>
      </c>
      <c r="L392" t="str">
        <f t="shared" si="41"/>
        <v>2022-08</v>
      </c>
      <c r="M392">
        <f t="shared" si="39"/>
        <v>1433.2000000000007</v>
      </c>
    </row>
    <row r="393" spans="1:13" x14ac:dyDescent="0.25">
      <c r="A393" s="1">
        <v>44788</v>
      </c>
      <c r="B393" t="s">
        <v>23</v>
      </c>
      <c r="C393" t="s">
        <v>11</v>
      </c>
      <c r="D393" t="s">
        <v>9</v>
      </c>
      <c r="E393">
        <v>231.85</v>
      </c>
      <c r="F393">
        <v>180.72</v>
      </c>
      <c r="G393">
        <v>3</v>
      </c>
      <c r="H393">
        <f t="shared" si="36"/>
        <v>695.55</v>
      </c>
      <c r="I393">
        <f t="shared" si="40"/>
        <v>542.16</v>
      </c>
      <c r="J393">
        <f t="shared" si="37"/>
        <v>153.38999999999999</v>
      </c>
      <c r="K393" s="8">
        <f t="shared" si="38"/>
        <v>0.22053051541945223</v>
      </c>
      <c r="L393" t="str">
        <f t="shared" si="41"/>
        <v>2022-08</v>
      </c>
      <c r="M393">
        <f t="shared" si="39"/>
        <v>153.38999999999999</v>
      </c>
    </row>
    <row r="394" spans="1:13" x14ac:dyDescent="0.25">
      <c r="A394" s="1">
        <v>44808</v>
      </c>
      <c r="B394" t="s">
        <v>23</v>
      </c>
      <c r="C394" t="s">
        <v>11</v>
      </c>
      <c r="D394" t="s">
        <v>13</v>
      </c>
      <c r="E394">
        <v>1475.99</v>
      </c>
      <c r="F394">
        <v>785.02</v>
      </c>
      <c r="G394">
        <v>2</v>
      </c>
      <c r="H394">
        <f t="shared" si="36"/>
        <v>2951.98</v>
      </c>
      <c r="I394">
        <f t="shared" si="40"/>
        <v>1570.04</v>
      </c>
      <c r="J394">
        <f t="shared" si="37"/>
        <v>1381.94</v>
      </c>
      <c r="K394" s="8">
        <f t="shared" si="38"/>
        <v>0.46814002804897054</v>
      </c>
      <c r="L394" t="str">
        <f t="shared" si="41"/>
        <v>2022-09</v>
      </c>
      <c r="M394">
        <f t="shared" si="39"/>
        <v>1381.94</v>
      </c>
    </row>
    <row r="395" spans="1:13" x14ac:dyDescent="0.25">
      <c r="A395" s="1">
        <v>45506</v>
      </c>
      <c r="B395" t="s">
        <v>24</v>
      </c>
      <c r="C395" t="s">
        <v>20</v>
      </c>
      <c r="D395" t="s">
        <v>18</v>
      </c>
      <c r="E395">
        <v>136.99</v>
      </c>
      <c r="F395">
        <v>72.75</v>
      </c>
      <c r="G395">
        <v>4</v>
      </c>
      <c r="H395">
        <f t="shared" si="36"/>
        <v>547.96</v>
      </c>
      <c r="I395">
        <f t="shared" si="40"/>
        <v>291</v>
      </c>
      <c r="J395">
        <f t="shared" si="37"/>
        <v>256.96000000000004</v>
      </c>
      <c r="K395" s="8">
        <f t="shared" si="38"/>
        <v>0.46893933863785681</v>
      </c>
      <c r="L395" t="str">
        <f t="shared" si="41"/>
        <v>2024-08</v>
      </c>
      <c r="M395">
        <f t="shared" si="39"/>
        <v>256.96000000000004</v>
      </c>
    </row>
    <row r="396" spans="1:13" x14ac:dyDescent="0.25">
      <c r="A396" s="1">
        <v>45329</v>
      </c>
      <c r="B396" t="s">
        <v>14</v>
      </c>
      <c r="C396" t="s">
        <v>15</v>
      </c>
      <c r="D396" t="s">
        <v>9</v>
      </c>
      <c r="E396">
        <v>1847.84</v>
      </c>
      <c r="F396">
        <v>1595.93</v>
      </c>
      <c r="G396">
        <v>8</v>
      </c>
      <c r="H396">
        <f t="shared" si="36"/>
        <v>14782.72</v>
      </c>
      <c r="I396">
        <f t="shared" si="40"/>
        <v>12767.44</v>
      </c>
      <c r="J396">
        <f t="shared" si="37"/>
        <v>2015.2799999999988</v>
      </c>
      <c r="K396" s="8">
        <f t="shared" si="38"/>
        <v>0.13632673824573549</v>
      </c>
      <c r="L396" t="str">
        <f t="shared" si="41"/>
        <v>2024-02</v>
      </c>
      <c r="M396">
        <f t="shared" si="39"/>
        <v>2015.2799999999988</v>
      </c>
    </row>
    <row r="397" spans="1:13" x14ac:dyDescent="0.25">
      <c r="A397" s="1">
        <v>45382</v>
      </c>
      <c r="B397" t="s">
        <v>10</v>
      </c>
      <c r="C397" t="s">
        <v>11</v>
      </c>
      <c r="D397" t="s">
        <v>13</v>
      </c>
      <c r="E397">
        <v>967.36</v>
      </c>
      <c r="F397">
        <v>711.81</v>
      </c>
      <c r="G397">
        <v>7</v>
      </c>
      <c r="H397">
        <f t="shared" si="36"/>
        <v>6771.52</v>
      </c>
      <c r="I397">
        <f t="shared" si="40"/>
        <v>4982.67</v>
      </c>
      <c r="J397">
        <f t="shared" si="37"/>
        <v>1788.8500000000004</v>
      </c>
      <c r="K397" s="8">
        <f t="shared" si="38"/>
        <v>0.26417259345021504</v>
      </c>
      <c r="L397" t="str">
        <f t="shared" si="41"/>
        <v>2024-03</v>
      </c>
      <c r="M397">
        <f t="shared" si="39"/>
        <v>1788.8500000000004</v>
      </c>
    </row>
    <row r="398" spans="1:13" x14ac:dyDescent="0.25">
      <c r="A398" s="1">
        <v>45069</v>
      </c>
      <c r="B398" t="s">
        <v>21</v>
      </c>
      <c r="C398" t="s">
        <v>20</v>
      </c>
      <c r="D398" t="s">
        <v>17</v>
      </c>
      <c r="E398">
        <v>957.29</v>
      </c>
      <c r="F398">
        <v>504.44</v>
      </c>
      <c r="G398">
        <v>4</v>
      </c>
      <c r="H398">
        <f t="shared" si="36"/>
        <v>3829.16</v>
      </c>
      <c r="I398">
        <f t="shared" si="40"/>
        <v>2017.76</v>
      </c>
      <c r="J398">
        <f t="shared" si="37"/>
        <v>1811.3999999999999</v>
      </c>
      <c r="K398" s="8">
        <f t="shared" si="38"/>
        <v>0.47305414242288124</v>
      </c>
      <c r="L398" t="str">
        <f t="shared" si="41"/>
        <v>2023-05</v>
      </c>
      <c r="M398">
        <f t="shared" si="39"/>
        <v>1811.3999999999999</v>
      </c>
    </row>
    <row r="399" spans="1:13" x14ac:dyDescent="0.25">
      <c r="A399" s="1">
        <v>44998</v>
      </c>
      <c r="B399" t="s">
        <v>23</v>
      </c>
      <c r="C399" t="s">
        <v>11</v>
      </c>
      <c r="D399" t="s">
        <v>17</v>
      </c>
      <c r="E399">
        <v>637.13</v>
      </c>
      <c r="F399">
        <v>568.19000000000005</v>
      </c>
      <c r="G399">
        <v>5</v>
      </c>
      <c r="H399">
        <f t="shared" si="36"/>
        <v>3185.65</v>
      </c>
      <c r="I399">
        <f t="shared" si="40"/>
        <v>2840.9500000000003</v>
      </c>
      <c r="J399">
        <f t="shared" si="37"/>
        <v>344.69999999999982</v>
      </c>
      <c r="K399" s="8">
        <f t="shared" si="38"/>
        <v>0.10820397721030239</v>
      </c>
      <c r="L399" t="str">
        <f t="shared" si="41"/>
        <v>2023-03</v>
      </c>
      <c r="M399">
        <f t="shared" si="39"/>
        <v>344.69999999999982</v>
      </c>
    </row>
    <row r="400" spans="1:13" x14ac:dyDescent="0.25">
      <c r="A400" s="1">
        <v>45030</v>
      </c>
      <c r="B400" t="s">
        <v>12</v>
      </c>
      <c r="C400" t="s">
        <v>8</v>
      </c>
      <c r="D400" t="s">
        <v>18</v>
      </c>
      <c r="E400">
        <v>49.21</v>
      </c>
      <c r="F400">
        <v>35.729999999999997</v>
      </c>
      <c r="G400">
        <v>5</v>
      </c>
      <c r="H400">
        <f t="shared" si="36"/>
        <v>246.05</v>
      </c>
      <c r="I400">
        <f t="shared" si="40"/>
        <v>178.64999999999998</v>
      </c>
      <c r="J400">
        <f t="shared" si="37"/>
        <v>67.400000000000034</v>
      </c>
      <c r="K400" s="8">
        <f t="shared" si="38"/>
        <v>0.27392806340174775</v>
      </c>
      <c r="L400" t="str">
        <f t="shared" si="41"/>
        <v>2023-04</v>
      </c>
      <c r="M400">
        <f t="shared" si="39"/>
        <v>67.400000000000034</v>
      </c>
    </row>
    <row r="401" spans="1:13" x14ac:dyDescent="0.25">
      <c r="A401" s="1">
        <v>45478</v>
      </c>
      <c r="B401" t="s">
        <v>19</v>
      </c>
      <c r="C401" t="s">
        <v>20</v>
      </c>
      <c r="D401" t="s">
        <v>18</v>
      </c>
      <c r="E401">
        <v>641.91</v>
      </c>
      <c r="F401">
        <v>443.61</v>
      </c>
      <c r="G401">
        <v>10</v>
      </c>
      <c r="H401">
        <f t="shared" si="36"/>
        <v>6419.0999999999995</v>
      </c>
      <c r="I401">
        <f t="shared" si="40"/>
        <v>4436.1000000000004</v>
      </c>
      <c r="J401">
        <f t="shared" si="37"/>
        <v>1982.9999999999991</v>
      </c>
      <c r="K401" s="8">
        <f t="shared" si="38"/>
        <v>0.30892181146889741</v>
      </c>
      <c r="L401" t="str">
        <f t="shared" si="41"/>
        <v>2024-07</v>
      </c>
      <c r="M401">
        <f t="shared" si="39"/>
        <v>1982.9999999999991</v>
      </c>
    </row>
    <row r="402" spans="1:13" x14ac:dyDescent="0.25">
      <c r="A402" s="1">
        <v>45176</v>
      </c>
      <c r="B402" t="s">
        <v>19</v>
      </c>
      <c r="C402" t="s">
        <v>20</v>
      </c>
      <c r="D402" t="s">
        <v>18</v>
      </c>
      <c r="E402">
        <v>1139.9100000000001</v>
      </c>
      <c r="F402">
        <v>883.74</v>
      </c>
      <c r="G402">
        <v>4</v>
      </c>
      <c r="H402">
        <f t="shared" si="36"/>
        <v>4559.6400000000003</v>
      </c>
      <c r="I402">
        <f t="shared" si="40"/>
        <v>3534.96</v>
      </c>
      <c r="J402">
        <f t="shared" si="37"/>
        <v>1024.6800000000003</v>
      </c>
      <c r="K402" s="8">
        <f t="shared" si="38"/>
        <v>0.22472826802115961</v>
      </c>
      <c r="L402" t="str">
        <f t="shared" si="41"/>
        <v>2023-09</v>
      </c>
      <c r="M402">
        <f t="shared" si="39"/>
        <v>1024.6800000000003</v>
      </c>
    </row>
    <row r="403" spans="1:13" x14ac:dyDescent="0.25">
      <c r="A403" s="1">
        <v>44878</v>
      </c>
      <c r="B403" t="s">
        <v>7</v>
      </c>
      <c r="C403" t="s">
        <v>8</v>
      </c>
      <c r="D403" t="s">
        <v>13</v>
      </c>
      <c r="E403">
        <v>991.97</v>
      </c>
      <c r="F403">
        <v>824.21</v>
      </c>
      <c r="G403">
        <v>1</v>
      </c>
      <c r="H403">
        <f t="shared" si="36"/>
        <v>991.97</v>
      </c>
      <c r="I403">
        <f t="shared" si="40"/>
        <v>824.21</v>
      </c>
      <c r="J403">
        <f t="shared" si="37"/>
        <v>167.76</v>
      </c>
      <c r="K403" s="8">
        <f t="shared" si="38"/>
        <v>0.16911801768198634</v>
      </c>
      <c r="L403" t="str">
        <f t="shared" si="41"/>
        <v>2022-11</v>
      </c>
      <c r="M403">
        <f t="shared" si="39"/>
        <v>167.76</v>
      </c>
    </row>
    <row r="404" spans="1:13" x14ac:dyDescent="0.25">
      <c r="A404" s="1">
        <v>45450</v>
      </c>
      <c r="B404" t="s">
        <v>16</v>
      </c>
      <c r="C404" t="s">
        <v>15</v>
      </c>
      <c r="D404" t="s">
        <v>9</v>
      </c>
      <c r="E404">
        <v>936.73</v>
      </c>
      <c r="F404">
        <v>525.61</v>
      </c>
      <c r="G404">
        <v>4</v>
      </c>
      <c r="H404">
        <f t="shared" si="36"/>
        <v>3746.92</v>
      </c>
      <c r="I404">
        <f t="shared" si="40"/>
        <v>2102.44</v>
      </c>
      <c r="J404">
        <f t="shared" si="37"/>
        <v>1644.48</v>
      </c>
      <c r="K404" s="8">
        <f t="shared" si="38"/>
        <v>0.43888847373309275</v>
      </c>
      <c r="L404" t="str">
        <f t="shared" si="41"/>
        <v>2024-06</v>
      </c>
      <c r="M404">
        <f t="shared" si="39"/>
        <v>1644.48</v>
      </c>
    </row>
    <row r="405" spans="1:13" x14ac:dyDescent="0.25">
      <c r="A405" s="1">
        <v>45091</v>
      </c>
      <c r="B405" t="s">
        <v>14</v>
      </c>
      <c r="C405" t="s">
        <v>15</v>
      </c>
      <c r="D405" t="s">
        <v>17</v>
      </c>
      <c r="E405">
        <v>121.93</v>
      </c>
      <c r="F405">
        <v>72.180000000000007</v>
      </c>
      <c r="G405">
        <v>3</v>
      </c>
      <c r="H405">
        <f t="shared" si="36"/>
        <v>365.79</v>
      </c>
      <c r="I405">
        <f t="shared" si="40"/>
        <v>216.54000000000002</v>
      </c>
      <c r="J405">
        <f t="shared" si="37"/>
        <v>149.25</v>
      </c>
      <c r="K405" s="8">
        <f t="shared" si="38"/>
        <v>0.40802099565324362</v>
      </c>
      <c r="L405" t="str">
        <f t="shared" si="41"/>
        <v>2023-06</v>
      </c>
      <c r="M405">
        <f t="shared" si="39"/>
        <v>149.25</v>
      </c>
    </row>
    <row r="406" spans="1:13" x14ac:dyDescent="0.25">
      <c r="A406" s="1">
        <v>45186</v>
      </c>
      <c r="B406" t="s">
        <v>14</v>
      </c>
      <c r="C406" t="s">
        <v>15</v>
      </c>
      <c r="D406" t="s">
        <v>9</v>
      </c>
      <c r="E406">
        <v>1434.71</v>
      </c>
      <c r="F406">
        <v>899.72</v>
      </c>
      <c r="G406">
        <v>6</v>
      </c>
      <c r="H406">
        <f t="shared" si="36"/>
        <v>8608.26</v>
      </c>
      <c r="I406">
        <f t="shared" si="40"/>
        <v>5398.32</v>
      </c>
      <c r="J406">
        <f t="shared" si="37"/>
        <v>3209.9400000000005</v>
      </c>
      <c r="K406" s="8">
        <f t="shared" si="38"/>
        <v>0.37289068871061054</v>
      </c>
      <c r="L406" t="str">
        <f t="shared" si="41"/>
        <v>2023-09</v>
      </c>
      <c r="M406">
        <f t="shared" si="39"/>
        <v>3209.9400000000005</v>
      </c>
    </row>
    <row r="407" spans="1:13" x14ac:dyDescent="0.25">
      <c r="A407" s="1">
        <v>45242</v>
      </c>
      <c r="B407" t="s">
        <v>7</v>
      </c>
      <c r="C407" t="s">
        <v>8</v>
      </c>
      <c r="D407" t="s">
        <v>17</v>
      </c>
      <c r="E407">
        <v>1292.52</v>
      </c>
      <c r="F407">
        <v>931.41</v>
      </c>
      <c r="G407">
        <v>7</v>
      </c>
      <c r="H407">
        <f t="shared" si="36"/>
        <v>9047.64</v>
      </c>
      <c r="I407">
        <f t="shared" si="40"/>
        <v>6519.87</v>
      </c>
      <c r="J407">
        <f t="shared" si="37"/>
        <v>2527.7699999999995</v>
      </c>
      <c r="K407" s="8">
        <f t="shared" si="38"/>
        <v>0.2793844582675703</v>
      </c>
      <c r="L407" t="str">
        <f t="shared" si="41"/>
        <v>2023-11</v>
      </c>
      <c r="M407">
        <f t="shared" si="39"/>
        <v>2527.7699999999995</v>
      </c>
    </row>
    <row r="408" spans="1:13" x14ac:dyDescent="0.25">
      <c r="A408" s="1">
        <v>44763</v>
      </c>
      <c r="B408" t="s">
        <v>25</v>
      </c>
      <c r="C408" t="s">
        <v>15</v>
      </c>
      <c r="D408" t="s">
        <v>18</v>
      </c>
      <c r="E408">
        <v>192.58</v>
      </c>
      <c r="F408">
        <v>124.1</v>
      </c>
      <c r="G408">
        <v>9</v>
      </c>
      <c r="H408">
        <f t="shared" si="36"/>
        <v>1733.22</v>
      </c>
      <c r="I408">
        <f t="shared" si="40"/>
        <v>1116.8999999999999</v>
      </c>
      <c r="J408">
        <f t="shared" si="37"/>
        <v>616.32000000000016</v>
      </c>
      <c r="K408" s="8">
        <f t="shared" si="38"/>
        <v>0.35559248104683777</v>
      </c>
      <c r="L408" t="str">
        <f t="shared" si="41"/>
        <v>2022-07</v>
      </c>
      <c r="M408">
        <f t="shared" si="39"/>
        <v>616.32000000000016</v>
      </c>
    </row>
    <row r="409" spans="1:13" x14ac:dyDescent="0.25">
      <c r="A409" s="1">
        <v>44659</v>
      </c>
      <c r="B409" t="s">
        <v>10</v>
      </c>
      <c r="C409" t="s">
        <v>11</v>
      </c>
      <c r="D409" t="s">
        <v>18</v>
      </c>
      <c r="E409">
        <v>982.17</v>
      </c>
      <c r="F409">
        <v>629.47</v>
      </c>
      <c r="G409">
        <v>9</v>
      </c>
      <c r="H409">
        <f t="shared" si="36"/>
        <v>8839.5299999999988</v>
      </c>
      <c r="I409">
        <f t="shared" si="40"/>
        <v>5665.2300000000005</v>
      </c>
      <c r="J409">
        <f t="shared" si="37"/>
        <v>3174.2999999999984</v>
      </c>
      <c r="K409" s="8">
        <f t="shared" si="38"/>
        <v>0.35910280297708125</v>
      </c>
      <c r="L409" t="str">
        <f t="shared" si="41"/>
        <v>2022-04</v>
      </c>
      <c r="M409">
        <f t="shared" si="39"/>
        <v>3174.2999999999984</v>
      </c>
    </row>
    <row r="410" spans="1:13" x14ac:dyDescent="0.25">
      <c r="A410" s="1">
        <v>45072</v>
      </c>
      <c r="B410" t="s">
        <v>21</v>
      </c>
      <c r="C410" t="s">
        <v>20</v>
      </c>
      <c r="D410" t="s">
        <v>9</v>
      </c>
      <c r="E410">
        <v>809.21</v>
      </c>
      <c r="F410">
        <v>500.7</v>
      </c>
      <c r="G410">
        <v>9</v>
      </c>
      <c r="H410">
        <f t="shared" si="36"/>
        <v>7282.89</v>
      </c>
      <c r="I410">
        <f t="shared" si="40"/>
        <v>4506.3</v>
      </c>
      <c r="J410">
        <f t="shared" si="37"/>
        <v>2776.59</v>
      </c>
      <c r="K410" s="8">
        <f t="shared" si="38"/>
        <v>0.38124837804772554</v>
      </c>
      <c r="L410" t="str">
        <f t="shared" si="41"/>
        <v>2023-05</v>
      </c>
      <c r="M410">
        <f t="shared" si="39"/>
        <v>2776.59</v>
      </c>
    </row>
    <row r="411" spans="1:13" x14ac:dyDescent="0.25">
      <c r="A411" s="1">
        <v>45474</v>
      </c>
      <c r="B411" t="s">
        <v>25</v>
      </c>
      <c r="C411" t="s">
        <v>15</v>
      </c>
      <c r="D411" t="s">
        <v>17</v>
      </c>
      <c r="E411">
        <v>1884.05</v>
      </c>
      <c r="F411">
        <v>1007.63</v>
      </c>
      <c r="G411">
        <v>7</v>
      </c>
      <c r="H411">
        <f t="shared" si="36"/>
        <v>13188.35</v>
      </c>
      <c r="I411">
        <f t="shared" si="40"/>
        <v>7053.41</v>
      </c>
      <c r="J411">
        <f t="shared" si="37"/>
        <v>6134.9400000000005</v>
      </c>
      <c r="K411" s="8">
        <f t="shared" si="38"/>
        <v>0.46517873729465781</v>
      </c>
      <c r="L411" t="str">
        <f t="shared" si="41"/>
        <v>2024-07</v>
      </c>
      <c r="M411">
        <f t="shared" si="39"/>
        <v>6134.9400000000005</v>
      </c>
    </row>
    <row r="412" spans="1:13" x14ac:dyDescent="0.25">
      <c r="A412" s="1">
        <v>44613</v>
      </c>
      <c r="B412" t="s">
        <v>10</v>
      </c>
      <c r="C412" t="s">
        <v>11</v>
      </c>
      <c r="D412" t="s">
        <v>17</v>
      </c>
      <c r="E412">
        <v>346.44</v>
      </c>
      <c r="F412">
        <v>229.36</v>
      </c>
      <c r="G412">
        <v>4</v>
      </c>
      <c r="H412">
        <f t="shared" si="36"/>
        <v>1385.76</v>
      </c>
      <c r="I412">
        <f t="shared" si="40"/>
        <v>917.44</v>
      </c>
      <c r="J412">
        <f t="shared" si="37"/>
        <v>468.31999999999994</v>
      </c>
      <c r="K412" s="8">
        <f t="shared" si="38"/>
        <v>0.33795173767463338</v>
      </c>
      <c r="L412" t="str">
        <f t="shared" si="41"/>
        <v>2022-02</v>
      </c>
      <c r="M412">
        <f t="shared" si="39"/>
        <v>468.31999999999994</v>
      </c>
    </row>
    <row r="413" spans="1:13" x14ac:dyDescent="0.25">
      <c r="A413" s="1">
        <v>45505</v>
      </c>
      <c r="B413" t="s">
        <v>23</v>
      </c>
      <c r="C413" t="s">
        <v>11</v>
      </c>
      <c r="D413" t="s">
        <v>13</v>
      </c>
      <c r="E413">
        <v>507.47</v>
      </c>
      <c r="F413">
        <v>316.76</v>
      </c>
      <c r="G413">
        <v>1</v>
      </c>
      <c r="H413">
        <f t="shared" si="36"/>
        <v>507.47</v>
      </c>
      <c r="I413">
        <f t="shared" si="40"/>
        <v>316.76</v>
      </c>
      <c r="J413">
        <f t="shared" si="37"/>
        <v>190.71000000000004</v>
      </c>
      <c r="K413" s="8">
        <f t="shared" si="38"/>
        <v>0.37580546633298523</v>
      </c>
      <c r="L413" t="str">
        <f t="shared" si="41"/>
        <v>2024-08</v>
      </c>
      <c r="M413">
        <f t="shared" si="39"/>
        <v>190.71000000000004</v>
      </c>
    </row>
    <row r="414" spans="1:13" x14ac:dyDescent="0.25">
      <c r="A414" s="1">
        <v>44954</v>
      </c>
      <c r="B414" t="s">
        <v>14</v>
      </c>
      <c r="C414" t="s">
        <v>15</v>
      </c>
      <c r="D414" t="s">
        <v>18</v>
      </c>
      <c r="E414">
        <v>1551.94</v>
      </c>
      <c r="F414">
        <v>1185.8699999999999</v>
      </c>
      <c r="G414">
        <v>2</v>
      </c>
      <c r="H414">
        <f t="shared" si="36"/>
        <v>3103.88</v>
      </c>
      <c r="I414">
        <f t="shared" si="40"/>
        <v>2371.7399999999998</v>
      </c>
      <c r="J414">
        <f t="shared" si="37"/>
        <v>732.14000000000033</v>
      </c>
      <c r="K414" s="8">
        <f t="shared" si="38"/>
        <v>0.23587896439295344</v>
      </c>
      <c r="L414" t="str">
        <f t="shared" si="41"/>
        <v>2023-01</v>
      </c>
      <c r="M414">
        <f t="shared" si="39"/>
        <v>732.14000000000033</v>
      </c>
    </row>
    <row r="415" spans="1:13" x14ac:dyDescent="0.25">
      <c r="A415" s="1">
        <v>44905</v>
      </c>
      <c r="B415" t="s">
        <v>19</v>
      </c>
      <c r="C415" t="s">
        <v>20</v>
      </c>
      <c r="D415" t="s">
        <v>17</v>
      </c>
      <c r="E415">
        <v>1015.23</v>
      </c>
      <c r="F415">
        <v>875.9</v>
      </c>
      <c r="G415">
        <v>7</v>
      </c>
      <c r="H415">
        <f t="shared" si="36"/>
        <v>7106.6100000000006</v>
      </c>
      <c r="I415">
        <f t="shared" si="40"/>
        <v>6131.3</v>
      </c>
      <c r="J415">
        <f t="shared" si="37"/>
        <v>975.3100000000004</v>
      </c>
      <c r="K415" s="8">
        <f t="shared" si="38"/>
        <v>0.13723983727825226</v>
      </c>
      <c r="L415" t="str">
        <f t="shared" si="41"/>
        <v>2022-12</v>
      </c>
      <c r="M415">
        <f t="shared" si="39"/>
        <v>975.3100000000004</v>
      </c>
    </row>
    <row r="416" spans="1:13" x14ac:dyDescent="0.25">
      <c r="A416" s="1">
        <v>45630</v>
      </c>
      <c r="B416" t="s">
        <v>10</v>
      </c>
      <c r="C416" t="s">
        <v>11</v>
      </c>
      <c r="D416" t="s">
        <v>18</v>
      </c>
      <c r="E416">
        <v>1360.66</v>
      </c>
      <c r="F416">
        <v>849.79</v>
      </c>
      <c r="G416">
        <v>7</v>
      </c>
      <c r="H416">
        <f t="shared" si="36"/>
        <v>9524.6200000000008</v>
      </c>
      <c r="I416">
        <f t="shared" si="40"/>
        <v>5948.53</v>
      </c>
      <c r="J416">
        <f t="shared" si="37"/>
        <v>3576.0900000000011</v>
      </c>
      <c r="K416" s="8">
        <f t="shared" si="38"/>
        <v>0.37545749856687205</v>
      </c>
      <c r="L416" t="str">
        <f t="shared" si="41"/>
        <v>2024-12</v>
      </c>
      <c r="M416">
        <f t="shared" si="39"/>
        <v>3576.0900000000011</v>
      </c>
    </row>
    <row r="417" spans="1:13" x14ac:dyDescent="0.25">
      <c r="A417" s="1">
        <v>45354</v>
      </c>
      <c r="B417" t="s">
        <v>19</v>
      </c>
      <c r="C417" t="s">
        <v>20</v>
      </c>
      <c r="D417" t="s">
        <v>18</v>
      </c>
      <c r="E417">
        <v>1877.23</v>
      </c>
      <c r="F417">
        <v>1397.37</v>
      </c>
      <c r="G417">
        <v>5</v>
      </c>
      <c r="H417">
        <f t="shared" si="36"/>
        <v>9386.15</v>
      </c>
      <c r="I417">
        <f t="shared" si="40"/>
        <v>6986.8499999999995</v>
      </c>
      <c r="J417">
        <f t="shared" si="37"/>
        <v>2399.3000000000002</v>
      </c>
      <c r="K417" s="8">
        <f t="shared" si="38"/>
        <v>0.25562131438342667</v>
      </c>
      <c r="L417" t="str">
        <f t="shared" si="41"/>
        <v>2024-03</v>
      </c>
      <c r="M417">
        <f t="shared" si="39"/>
        <v>2399.3000000000002</v>
      </c>
    </row>
    <row r="418" spans="1:13" x14ac:dyDescent="0.25">
      <c r="A418" s="1">
        <v>45063</v>
      </c>
      <c r="B418" t="s">
        <v>19</v>
      </c>
      <c r="C418" t="s">
        <v>20</v>
      </c>
      <c r="D418" t="s">
        <v>17</v>
      </c>
      <c r="E418">
        <v>279.58</v>
      </c>
      <c r="F418">
        <v>215.84</v>
      </c>
      <c r="G418">
        <v>3</v>
      </c>
      <c r="H418">
        <f t="shared" si="36"/>
        <v>838.74</v>
      </c>
      <c r="I418">
        <f t="shared" si="40"/>
        <v>647.52</v>
      </c>
      <c r="J418">
        <f t="shared" si="37"/>
        <v>191.22000000000003</v>
      </c>
      <c r="K418" s="8">
        <f t="shared" si="38"/>
        <v>0.22798483439444886</v>
      </c>
      <c r="L418" t="str">
        <f t="shared" si="41"/>
        <v>2023-05</v>
      </c>
      <c r="M418">
        <f t="shared" si="39"/>
        <v>191.22000000000003</v>
      </c>
    </row>
    <row r="419" spans="1:13" x14ac:dyDescent="0.25">
      <c r="A419" s="1">
        <v>45038</v>
      </c>
      <c r="B419" t="s">
        <v>7</v>
      </c>
      <c r="C419" t="s">
        <v>8</v>
      </c>
      <c r="D419" t="s">
        <v>18</v>
      </c>
      <c r="E419">
        <v>738.59</v>
      </c>
      <c r="F419">
        <v>644.29</v>
      </c>
      <c r="G419">
        <v>3</v>
      </c>
      <c r="H419">
        <f t="shared" si="36"/>
        <v>2215.77</v>
      </c>
      <c r="I419">
        <f t="shared" si="40"/>
        <v>1932.87</v>
      </c>
      <c r="J419">
        <f t="shared" si="37"/>
        <v>282.90000000000009</v>
      </c>
      <c r="K419" s="8">
        <f t="shared" si="38"/>
        <v>0.12767570641357184</v>
      </c>
      <c r="L419" t="str">
        <f t="shared" si="41"/>
        <v>2023-04</v>
      </c>
      <c r="M419">
        <f t="shared" si="39"/>
        <v>282.90000000000009</v>
      </c>
    </row>
    <row r="420" spans="1:13" x14ac:dyDescent="0.25">
      <c r="A420" s="1">
        <v>44854</v>
      </c>
      <c r="B420" t="s">
        <v>23</v>
      </c>
      <c r="C420" t="s">
        <v>11</v>
      </c>
      <c r="D420" t="s">
        <v>18</v>
      </c>
      <c r="E420">
        <v>695.88</v>
      </c>
      <c r="F420">
        <v>386.95</v>
      </c>
      <c r="G420">
        <v>9</v>
      </c>
      <c r="H420">
        <f t="shared" si="36"/>
        <v>6262.92</v>
      </c>
      <c r="I420">
        <f t="shared" si="40"/>
        <v>3482.5499999999997</v>
      </c>
      <c r="J420">
        <f t="shared" si="37"/>
        <v>2780.3700000000003</v>
      </c>
      <c r="K420" s="8">
        <f t="shared" si="38"/>
        <v>0.44394148416393636</v>
      </c>
      <c r="L420" t="str">
        <f t="shared" si="41"/>
        <v>2022-10</v>
      </c>
      <c r="M420">
        <f t="shared" si="39"/>
        <v>2780.3700000000003</v>
      </c>
    </row>
    <row r="421" spans="1:13" x14ac:dyDescent="0.25">
      <c r="A421" s="1">
        <v>44687</v>
      </c>
      <c r="B421" t="s">
        <v>23</v>
      </c>
      <c r="C421" t="s">
        <v>11</v>
      </c>
      <c r="D421" t="s">
        <v>18</v>
      </c>
      <c r="E421">
        <v>1560.24</v>
      </c>
      <c r="F421">
        <v>1028</v>
      </c>
      <c r="G421">
        <v>6</v>
      </c>
      <c r="H421">
        <f t="shared" si="36"/>
        <v>9361.44</v>
      </c>
      <c r="I421">
        <f t="shared" si="40"/>
        <v>6168</v>
      </c>
      <c r="J421">
        <f t="shared" si="37"/>
        <v>3193.4400000000005</v>
      </c>
      <c r="K421" s="8">
        <f t="shared" si="38"/>
        <v>0.34112700610162544</v>
      </c>
      <c r="L421" t="str">
        <f t="shared" si="41"/>
        <v>2022-05</v>
      </c>
      <c r="M421">
        <f t="shared" si="39"/>
        <v>3193.4400000000005</v>
      </c>
    </row>
    <row r="422" spans="1:13" x14ac:dyDescent="0.25">
      <c r="A422" s="1">
        <v>45320</v>
      </c>
      <c r="B422" t="s">
        <v>21</v>
      </c>
      <c r="C422" t="s">
        <v>20</v>
      </c>
      <c r="D422" t="s">
        <v>9</v>
      </c>
      <c r="E422">
        <v>1683.32</v>
      </c>
      <c r="F422">
        <v>1418.35</v>
      </c>
      <c r="G422">
        <v>7</v>
      </c>
      <c r="H422">
        <f t="shared" si="36"/>
        <v>11783.24</v>
      </c>
      <c r="I422">
        <f t="shared" si="40"/>
        <v>9928.4499999999989</v>
      </c>
      <c r="J422">
        <f t="shared" si="37"/>
        <v>1854.7900000000009</v>
      </c>
      <c r="K422" s="8">
        <f t="shared" si="38"/>
        <v>0.15740916759736717</v>
      </c>
      <c r="L422" t="str">
        <f t="shared" si="41"/>
        <v>2024-01</v>
      </c>
      <c r="M422">
        <f t="shared" si="39"/>
        <v>1854.7900000000009</v>
      </c>
    </row>
    <row r="423" spans="1:13" x14ac:dyDescent="0.25">
      <c r="A423" s="1">
        <v>45365</v>
      </c>
      <c r="B423" t="s">
        <v>12</v>
      </c>
      <c r="C423" t="s">
        <v>8</v>
      </c>
      <c r="D423" t="s">
        <v>13</v>
      </c>
      <c r="E423">
        <v>914.46</v>
      </c>
      <c r="F423">
        <v>620.4</v>
      </c>
      <c r="G423">
        <v>6</v>
      </c>
      <c r="H423">
        <f t="shared" si="36"/>
        <v>5486.76</v>
      </c>
      <c r="I423">
        <f t="shared" si="40"/>
        <v>3722.3999999999996</v>
      </c>
      <c r="J423">
        <f t="shared" si="37"/>
        <v>1764.3600000000006</v>
      </c>
      <c r="K423" s="8">
        <f t="shared" si="38"/>
        <v>0.32156682632373212</v>
      </c>
      <c r="L423" t="str">
        <f t="shared" si="41"/>
        <v>2024-03</v>
      </c>
      <c r="M423">
        <f t="shared" si="39"/>
        <v>1764.3600000000006</v>
      </c>
    </row>
    <row r="424" spans="1:13" x14ac:dyDescent="0.25">
      <c r="A424" s="1">
        <v>45611</v>
      </c>
      <c r="B424" t="s">
        <v>19</v>
      </c>
      <c r="C424" t="s">
        <v>20</v>
      </c>
      <c r="D424" t="s">
        <v>18</v>
      </c>
      <c r="E424">
        <v>1283.57</v>
      </c>
      <c r="F424">
        <v>773.16</v>
      </c>
      <c r="G424">
        <v>5</v>
      </c>
      <c r="H424">
        <f t="shared" si="36"/>
        <v>6417.8499999999995</v>
      </c>
      <c r="I424">
        <f t="shared" si="40"/>
        <v>3865.7999999999997</v>
      </c>
      <c r="J424">
        <f t="shared" si="37"/>
        <v>2552.0499999999997</v>
      </c>
      <c r="K424" s="8">
        <f t="shared" si="38"/>
        <v>0.39764874529632199</v>
      </c>
      <c r="L424" t="str">
        <f t="shared" si="41"/>
        <v>2024-11</v>
      </c>
      <c r="M424">
        <f t="shared" si="39"/>
        <v>2552.0499999999997</v>
      </c>
    </row>
    <row r="425" spans="1:13" x14ac:dyDescent="0.25">
      <c r="A425" s="1">
        <v>44741</v>
      </c>
      <c r="B425" t="s">
        <v>21</v>
      </c>
      <c r="C425" t="s">
        <v>20</v>
      </c>
      <c r="D425" t="s">
        <v>13</v>
      </c>
      <c r="E425">
        <v>1135.74</v>
      </c>
      <c r="F425">
        <v>655.6</v>
      </c>
      <c r="G425">
        <v>1</v>
      </c>
      <c r="H425">
        <f t="shared" si="36"/>
        <v>1135.74</v>
      </c>
      <c r="I425">
        <f t="shared" si="40"/>
        <v>655.6</v>
      </c>
      <c r="J425">
        <f t="shared" si="37"/>
        <v>480.14</v>
      </c>
      <c r="K425" s="8">
        <f t="shared" si="38"/>
        <v>0.42275520805818234</v>
      </c>
      <c r="L425" t="str">
        <f t="shared" si="41"/>
        <v>2022-06</v>
      </c>
      <c r="M425">
        <f t="shared" si="39"/>
        <v>480.14</v>
      </c>
    </row>
    <row r="426" spans="1:13" x14ac:dyDescent="0.25">
      <c r="A426" s="1">
        <v>45573</v>
      </c>
      <c r="B426" t="s">
        <v>25</v>
      </c>
      <c r="C426" t="s">
        <v>15</v>
      </c>
      <c r="D426" t="s">
        <v>17</v>
      </c>
      <c r="E426">
        <v>1762.26</v>
      </c>
      <c r="F426">
        <v>1110.78</v>
      </c>
      <c r="G426">
        <v>1</v>
      </c>
      <c r="H426">
        <f t="shared" si="36"/>
        <v>1762.26</v>
      </c>
      <c r="I426">
        <f t="shared" si="40"/>
        <v>1110.78</v>
      </c>
      <c r="J426">
        <f t="shared" si="37"/>
        <v>651.48</v>
      </c>
      <c r="K426" s="8">
        <f t="shared" si="38"/>
        <v>0.36968438255422015</v>
      </c>
      <c r="L426" t="str">
        <f t="shared" si="41"/>
        <v>2024-10</v>
      </c>
      <c r="M426">
        <f t="shared" si="39"/>
        <v>651.48</v>
      </c>
    </row>
    <row r="427" spans="1:13" x14ac:dyDescent="0.25">
      <c r="A427" s="1">
        <v>45163</v>
      </c>
      <c r="B427" t="s">
        <v>16</v>
      </c>
      <c r="C427" t="s">
        <v>15</v>
      </c>
      <c r="D427" t="s">
        <v>18</v>
      </c>
      <c r="E427">
        <v>1354.18</v>
      </c>
      <c r="F427">
        <v>1025.33</v>
      </c>
      <c r="G427">
        <v>10</v>
      </c>
      <c r="H427">
        <f t="shared" si="36"/>
        <v>13541.800000000001</v>
      </c>
      <c r="I427">
        <f t="shared" si="40"/>
        <v>10253.299999999999</v>
      </c>
      <c r="J427">
        <f t="shared" si="37"/>
        <v>3288.5000000000018</v>
      </c>
      <c r="K427" s="8">
        <f t="shared" si="38"/>
        <v>0.24284068587632379</v>
      </c>
      <c r="L427" t="str">
        <f t="shared" si="41"/>
        <v>2023-08</v>
      </c>
      <c r="M427">
        <f t="shared" si="39"/>
        <v>3288.5000000000018</v>
      </c>
    </row>
    <row r="428" spans="1:13" x14ac:dyDescent="0.25">
      <c r="A428" s="1">
        <v>44582</v>
      </c>
      <c r="B428" t="s">
        <v>25</v>
      </c>
      <c r="C428" t="s">
        <v>15</v>
      </c>
      <c r="D428" t="s">
        <v>18</v>
      </c>
      <c r="E428">
        <v>222.73</v>
      </c>
      <c r="F428">
        <v>137.93</v>
      </c>
      <c r="G428">
        <v>4</v>
      </c>
      <c r="H428">
        <f t="shared" si="36"/>
        <v>890.92</v>
      </c>
      <c r="I428">
        <f t="shared" si="40"/>
        <v>551.72</v>
      </c>
      <c r="J428">
        <f t="shared" si="37"/>
        <v>339.19999999999993</v>
      </c>
      <c r="K428" s="8">
        <f t="shared" si="38"/>
        <v>0.38073003187716065</v>
      </c>
      <c r="L428" t="str">
        <f t="shared" si="41"/>
        <v>2022-01</v>
      </c>
      <c r="M428">
        <f t="shared" si="39"/>
        <v>339.19999999999993</v>
      </c>
    </row>
    <row r="429" spans="1:13" x14ac:dyDescent="0.25">
      <c r="A429" s="1">
        <v>44625</v>
      </c>
      <c r="B429" t="s">
        <v>16</v>
      </c>
      <c r="C429" t="s">
        <v>15</v>
      </c>
      <c r="D429" t="s">
        <v>13</v>
      </c>
      <c r="E429">
        <v>172</v>
      </c>
      <c r="F429">
        <v>113.15</v>
      </c>
      <c r="G429">
        <v>7</v>
      </c>
      <c r="H429">
        <f t="shared" si="36"/>
        <v>1204</v>
      </c>
      <c r="I429">
        <f t="shared" si="40"/>
        <v>792.05000000000007</v>
      </c>
      <c r="J429">
        <f t="shared" si="37"/>
        <v>411.94999999999993</v>
      </c>
      <c r="K429" s="8">
        <f t="shared" si="38"/>
        <v>0.34215116279069763</v>
      </c>
      <c r="L429" t="str">
        <f t="shared" si="41"/>
        <v>2022-03</v>
      </c>
      <c r="M429">
        <f t="shared" si="39"/>
        <v>411.94999999999993</v>
      </c>
    </row>
    <row r="430" spans="1:13" x14ac:dyDescent="0.25">
      <c r="A430" s="1">
        <v>44669</v>
      </c>
      <c r="B430" t="s">
        <v>12</v>
      </c>
      <c r="C430" t="s">
        <v>8</v>
      </c>
      <c r="D430" t="s">
        <v>18</v>
      </c>
      <c r="E430">
        <v>1121.33</v>
      </c>
      <c r="F430">
        <v>705.62</v>
      </c>
      <c r="G430">
        <v>3</v>
      </c>
      <c r="H430">
        <f t="shared" si="36"/>
        <v>3363.99</v>
      </c>
      <c r="I430">
        <f t="shared" si="40"/>
        <v>2116.86</v>
      </c>
      <c r="J430">
        <f t="shared" si="37"/>
        <v>1247.1299999999997</v>
      </c>
      <c r="K430" s="8">
        <f t="shared" si="38"/>
        <v>0.3707294016926328</v>
      </c>
      <c r="L430" t="str">
        <f t="shared" si="41"/>
        <v>2022-04</v>
      </c>
      <c r="M430">
        <f t="shared" si="39"/>
        <v>1247.1299999999997</v>
      </c>
    </row>
    <row r="431" spans="1:13" x14ac:dyDescent="0.25">
      <c r="A431" s="1">
        <v>45482</v>
      </c>
      <c r="B431" t="s">
        <v>19</v>
      </c>
      <c r="C431" t="s">
        <v>20</v>
      </c>
      <c r="D431" t="s">
        <v>9</v>
      </c>
      <c r="E431">
        <v>840.5</v>
      </c>
      <c r="F431">
        <v>426.31</v>
      </c>
      <c r="G431">
        <v>10</v>
      </c>
      <c r="H431">
        <f t="shared" si="36"/>
        <v>8405</v>
      </c>
      <c r="I431">
        <f t="shared" si="40"/>
        <v>4263.1000000000004</v>
      </c>
      <c r="J431">
        <f t="shared" si="37"/>
        <v>4141.8999999999996</v>
      </c>
      <c r="K431" s="8">
        <f t="shared" si="38"/>
        <v>0.49279000594883993</v>
      </c>
      <c r="L431" t="str">
        <f t="shared" si="41"/>
        <v>2024-07</v>
      </c>
      <c r="M431">
        <f t="shared" si="39"/>
        <v>4141.8999999999996</v>
      </c>
    </row>
    <row r="432" spans="1:13" x14ac:dyDescent="0.25">
      <c r="A432" s="1">
        <v>44874</v>
      </c>
      <c r="B432" t="s">
        <v>14</v>
      </c>
      <c r="C432" t="s">
        <v>15</v>
      </c>
      <c r="D432" t="s">
        <v>17</v>
      </c>
      <c r="E432">
        <v>724.21</v>
      </c>
      <c r="F432">
        <v>480.02</v>
      </c>
      <c r="G432">
        <v>4</v>
      </c>
      <c r="H432">
        <f t="shared" si="36"/>
        <v>2896.84</v>
      </c>
      <c r="I432">
        <f t="shared" si="40"/>
        <v>1920.08</v>
      </c>
      <c r="J432">
        <f t="shared" si="37"/>
        <v>976.76000000000022</v>
      </c>
      <c r="K432" s="8">
        <f t="shared" si="38"/>
        <v>0.33718120434680554</v>
      </c>
      <c r="L432" t="str">
        <f t="shared" si="41"/>
        <v>2022-11</v>
      </c>
      <c r="M432">
        <f t="shared" si="39"/>
        <v>976.76000000000022</v>
      </c>
    </row>
    <row r="433" spans="1:13" x14ac:dyDescent="0.25">
      <c r="A433" s="1">
        <v>45137</v>
      </c>
      <c r="B433" t="s">
        <v>22</v>
      </c>
      <c r="C433" t="s">
        <v>8</v>
      </c>
      <c r="D433" t="s">
        <v>18</v>
      </c>
      <c r="E433">
        <v>1025.2</v>
      </c>
      <c r="F433">
        <v>525.84</v>
      </c>
      <c r="G433">
        <v>2</v>
      </c>
      <c r="H433">
        <f t="shared" si="36"/>
        <v>2050.4</v>
      </c>
      <c r="I433">
        <f t="shared" si="40"/>
        <v>1051.68</v>
      </c>
      <c r="J433">
        <f t="shared" si="37"/>
        <v>998.72</v>
      </c>
      <c r="K433" s="8">
        <f t="shared" si="38"/>
        <v>0.48708544674209908</v>
      </c>
      <c r="L433" t="str">
        <f t="shared" si="41"/>
        <v>2023-07</v>
      </c>
      <c r="M433">
        <f t="shared" si="39"/>
        <v>998.72</v>
      </c>
    </row>
    <row r="434" spans="1:13" x14ac:dyDescent="0.25">
      <c r="A434" s="1">
        <v>44688</v>
      </c>
      <c r="B434" t="s">
        <v>10</v>
      </c>
      <c r="C434" t="s">
        <v>11</v>
      </c>
      <c r="D434" t="s">
        <v>13</v>
      </c>
      <c r="E434">
        <v>1763.75</v>
      </c>
      <c r="F434">
        <v>932.53</v>
      </c>
      <c r="G434">
        <v>9</v>
      </c>
      <c r="H434">
        <f t="shared" si="36"/>
        <v>15873.75</v>
      </c>
      <c r="I434">
        <f t="shared" si="40"/>
        <v>8392.77</v>
      </c>
      <c r="J434">
        <f t="shared" si="37"/>
        <v>7480.98</v>
      </c>
      <c r="K434" s="8">
        <f t="shared" si="38"/>
        <v>0.47127994330262224</v>
      </c>
      <c r="L434" t="str">
        <f t="shared" si="41"/>
        <v>2022-05</v>
      </c>
      <c r="M434">
        <f t="shared" si="39"/>
        <v>7480.98</v>
      </c>
    </row>
    <row r="435" spans="1:13" x14ac:dyDescent="0.25">
      <c r="A435" s="1">
        <v>44567</v>
      </c>
      <c r="B435" t="s">
        <v>7</v>
      </c>
      <c r="C435" t="s">
        <v>8</v>
      </c>
      <c r="D435" t="s">
        <v>13</v>
      </c>
      <c r="E435">
        <v>1462.46</v>
      </c>
      <c r="F435">
        <v>985.89</v>
      </c>
      <c r="G435">
        <v>7</v>
      </c>
      <c r="H435">
        <f t="shared" si="36"/>
        <v>10237.220000000001</v>
      </c>
      <c r="I435">
        <f t="shared" si="40"/>
        <v>6901.23</v>
      </c>
      <c r="J435">
        <f t="shared" si="37"/>
        <v>3335.9900000000016</v>
      </c>
      <c r="K435" s="8">
        <f t="shared" si="38"/>
        <v>0.32586874170917507</v>
      </c>
      <c r="L435" t="str">
        <f t="shared" si="41"/>
        <v>2022-01</v>
      </c>
      <c r="M435">
        <f t="shared" si="39"/>
        <v>3335.9900000000016</v>
      </c>
    </row>
    <row r="436" spans="1:13" x14ac:dyDescent="0.25">
      <c r="A436" s="1">
        <v>44838</v>
      </c>
      <c r="B436" t="s">
        <v>10</v>
      </c>
      <c r="C436" t="s">
        <v>11</v>
      </c>
      <c r="D436" t="s">
        <v>9</v>
      </c>
      <c r="E436">
        <v>642.41999999999996</v>
      </c>
      <c r="F436">
        <v>502.54</v>
      </c>
      <c r="G436">
        <v>1</v>
      </c>
      <c r="H436">
        <f t="shared" si="36"/>
        <v>642.41999999999996</v>
      </c>
      <c r="I436">
        <f t="shared" si="40"/>
        <v>502.54</v>
      </c>
      <c r="J436">
        <f t="shared" si="37"/>
        <v>139.87999999999994</v>
      </c>
      <c r="K436" s="8">
        <f t="shared" si="38"/>
        <v>0.21773917374926052</v>
      </c>
      <c r="L436" t="str">
        <f t="shared" si="41"/>
        <v>2022-10</v>
      </c>
      <c r="M436">
        <f t="shared" si="39"/>
        <v>139.87999999999994</v>
      </c>
    </row>
    <row r="437" spans="1:13" x14ac:dyDescent="0.25">
      <c r="A437" s="1">
        <v>45118</v>
      </c>
      <c r="B437" t="s">
        <v>10</v>
      </c>
      <c r="C437" t="s">
        <v>11</v>
      </c>
      <c r="D437" t="s">
        <v>18</v>
      </c>
      <c r="E437">
        <v>90.96</v>
      </c>
      <c r="F437">
        <v>61.97</v>
      </c>
      <c r="G437">
        <v>4</v>
      </c>
      <c r="H437">
        <f t="shared" si="36"/>
        <v>363.84</v>
      </c>
      <c r="I437">
        <f t="shared" si="40"/>
        <v>247.88</v>
      </c>
      <c r="J437">
        <f t="shared" si="37"/>
        <v>115.95999999999998</v>
      </c>
      <c r="K437" s="8">
        <f t="shared" si="38"/>
        <v>0.31871152154793314</v>
      </c>
      <c r="L437" t="str">
        <f t="shared" si="41"/>
        <v>2023-07</v>
      </c>
      <c r="M437">
        <f t="shared" si="39"/>
        <v>115.95999999999998</v>
      </c>
    </row>
    <row r="438" spans="1:13" x14ac:dyDescent="0.25">
      <c r="A438" s="1">
        <v>45626</v>
      </c>
      <c r="B438" t="s">
        <v>16</v>
      </c>
      <c r="C438" t="s">
        <v>15</v>
      </c>
      <c r="D438" t="s">
        <v>9</v>
      </c>
      <c r="E438">
        <v>730.63</v>
      </c>
      <c r="F438">
        <v>625.71</v>
      </c>
      <c r="G438">
        <v>4</v>
      </c>
      <c r="H438">
        <f t="shared" si="36"/>
        <v>2922.52</v>
      </c>
      <c r="I438">
        <f t="shared" si="40"/>
        <v>2502.84</v>
      </c>
      <c r="J438">
        <f t="shared" si="37"/>
        <v>419.67999999999984</v>
      </c>
      <c r="K438" s="8">
        <f t="shared" si="38"/>
        <v>0.14360209682055208</v>
      </c>
      <c r="L438" t="str">
        <f t="shared" si="41"/>
        <v>2024-11</v>
      </c>
      <c r="M438">
        <f t="shared" si="39"/>
        <v>419.67999999999984</v>
      </c>
    </row>
    <row r="439" spans="1:13" x14ac:dyDescent="0.25">
      <c r="A439" s="1">
        <v>44994</v>
      </c>
      <c r="B439" t="s">
        <v>12</v>
      </c>
      <c r="C439" t="s">
        <v>8</v>
      </c>
      <c r="D439" t="s">
        <v>18</v>
      </c>
      <c r="E439">
        <v>977.34</v>
      </c>
      <c r="F439">
        <v>771.79</v>
      </c>
      <c r="G439">
        <v>6</v>
      </c>
      <c r="H439">
        <f t="shared" si="36"/>
        <v>5864.04</v>
      </c>
      <c r="I439">
        <f t="shared" si="40"/>
        <v>4630.74</v>
      </c>
      <c r="J439">
        <f t="shared" si="37"/>
        <v>1233.3000000000002</v>
      </c>
      <c r="K439" s="8">
        <f t="shared" si="38"/>
        <v>0.21031575500849248</v>
      </c>
      <c r="L439" t="str">
        <f t="shared" si="41"/>
        <v>2023-03</v>
      </c>
      <c r="M439">
        <f t="shared" si="39"/>
        <v>1233.3000000000002</v>
      </c>
    </row>
    <row r="440" spans="1:13" x14ac:dyDescent="0.25">
      <c r="A440" s="1">
        <v>44612</v>
      </c>
      <c r="B440" t="s">
        <v>22</v>
      </c>
      <c r="C440" t="s">
        <v>8</v>
      </c>
      <c r="D440" t="s">
        <v>18</v>
      </c>
      <c r="E440">
        <v>1583.41</v>
      </c>
      <c r="F440">
        <v>1312.23</v>
      </c>
      <c r="G440">
        <v>7</v>
      </c>
      <c r="H440">
        <f t="shared" si="36"/>
        <v>11083.87</v>
      </c>
      <c r="I440">
        <f t="shared" si="40"/>
        <v>9185.61</v>
      </c>
      <c r="J440">
        <f t="shared" si="37"/>
        <v>1898.2600000000002</v>
      </c>
      <c r="K440" s="8">
        <f t="shared" si="38"/>
        <v>0.17126328619877354</v>
      </c>
      <c r="L440" t="str">
        <f t="shared" si="41"/>
        <v>2022-02</v>
      </c>
      <c r="M440">
        <f t="shared" si="39"/>
        <v>1898.2600000000002</v>
      </c>
    </row>
    <row r="441" spans="1:13" x14ac:dyDescent="0.25">
      <c r="A441" s="1">
        <v>45576</v>
      </c>
      <c r="B441" t="s">
        <v>23</v>
      </c>
      <c r="C441" t="s">
        <v>11</v>
      </c>
      <c r="D441" t="s">
        <v>18</v>
      </c>
      <c r="E441">
        <v>1930.67</v>
      </c>
      <c r="F441">
        <v>1122.78</v>
      </c>
      <c r="G441">
        <v>6</v>
      </c>
      <c r="H441">
        <f t="shared" si="36"/>
        <v>11584.02</v>
      </c>
      <c r="I441">
        <f t="shared" si="40"/>
        <v>6736.68</v>
      </c>
      <c r="J441">
        <f t="shared" si="37"/>
        <v>4847.34</v>
      </c>
      <c r="K441" s="8">
        <f t="shared" si="38"/>
        <v>0.41845058969166143</v>
      </c>
      <c r="L441" t="str">
        <f t="shared" si="41"/>
        <v>2024-10</v>
      </c>
      <c r="M441">
        <f t="shared" si="39"/>
        <v>4847.34</v>
      </c>
    </row>
    <row r="442" spans="1:13" x14ac:dyDescent="0.25">
      <c r="A442" s="1">
        <v>45571</v>
      </c>
      <c r="B442" t="s">
        <v>25</v>
      </c>
      <c r="C442" t="s">
        <v>15</v>
      </c>
      <c r="D442" t="s">
        <v>18</v>
      </c>
      <c r="E442">
        <v>1612.61</v>
      </c>
      <c r="F442">
        <v>902.47</v>
      </c>
      <c r="G442">
        <v>9</v>
      </c>
      <c r="H442">
        <f t="shared" si="36"/>
        <v>14513.49</v>
      </c>
      <c r="I442">
        <f t="shared" si="40"/>
        <v>8122.2300000000005</v>
      </c>
      <c r="J442">
        <f t="shared" si="37"/>
        <v>6391.2599999999993</v>
      </c>
      <c r="K442" s="8">
        <f t="shared" si="38"/>
        <v>0.44036685869491071</v>
      </c>
      <c r="L442" t="str">
        <f t="shared" si="41"/>
        <v>2024-10</v>
      </c>
      <c r="M442">
        <f t="shared" si="39"/>
        <v>6391.2599999999993</v>
      </c>
    </row>
    <row r="443" spans="1:13" x14ac:dyDescent="0.25">
      <c r="A443" s="1">
        <v>44971</v>
      </c>
      <c r="B443" t="s">
        <v>12</v>
      </c>
      <c r="C443" t="s">
        <v>8</v>
      </c>
      <c r="D443" t="s">
        <v>13</v>
      </c>
      <c r="E443">
        <v>1484.96</v>
      </c>
      <c r="F443">
        <v>1282.79</v>
      </c>
      <c r="G443">
        <v>1</v>
      </c>
      <c r="H443">
        <f t="shared" si="36"/>
        <v>1484.96</v>
      </c>
      <c r="I443">
        <f t="shared" si="40"/>
        <v>1282.79</v>
      </c>
      <c r="J443">
        <f t="shared" si="37"/>
        <v>202.17000000000007</v>
      </c>
      <c r="K443" s="8">
        <f t="shared" si="38"/>
        <v>0.13614508134899261</v>
      </c>
      <c r="L443" t="str">
        <f t="shared" si="41"/>
        <v>2023-02</v>
      </c>
      <c r="M443">
        <f t="shared" si="39"/>
        <v>202.17000000000007</v>
      </c>
    </row>
    <row r="444" spans="1:13" x14ac:dyDescent="0.25">
      <c r="A444" s="1">
        <v>45569</v>
      </c>
      <c r="B444" t="s">
        <v>23</v>
      </c>
      <c r="C444" t="s">
        <v>11</v>
      </c>
      <c r="D444" t="s">
        <v>17</v>
      </c>
      <c r="E444">
        <v>665.93</v>
      </c>
      <c r="F444">
        <v>510.11</v>
      </c>
      <c r="G444">
        <v>6</v>
      </c>
      <c r="H444">
        <f t="shared" si="36"/>
        <v>3995.58</v>
      </c>
      <c r="I444">
        <f t="shared" si="40"/>
        <v>3060.66</v>
      </c>
      <c r="J444">
        <f t="shared" si="37"/>
        <v>934.92000000000007</v>
      </c>
      <c r="K444" s="8">
        <f t="shared" si="38"/>
        <v>0.23398855735587826</v>
      </c>
      <c r="L444" t="str">
        <f t="shared" si="41"/>
        <v>2024-10</v>
      </c>
      <c r="M444">
        <f t="shared" si="39"/>
        <v>934.92000000000007</v>
      </c>
    </row>
    <row r="445" spans="1:13" x14ac:dyDescent="0.25">
      <c r="A445" s="1">
        <v>45653</v>
      </c>
      <c r="B445" t="s">
        <v>16</v>
      </c>
      <c r="C445" t="s">
        <v>15</v>
      </c>
      <c r="D445" t="s">
        <v>17</v>
      </c>
      <c r="E445">
        <v>480.28</v>
      </c>
      <c r="F445">
        <v>326.95</v>
      </c>
      <c r="G445">
        <v>5</v>
      </c>
      <c r="H445">
        <f t="shared" si="36"/>
        <v>2401.3999999999996</v>
      </c>
      <c r="I445">
        <f t="shared" si="40"/>
        <v>1634.75</v>
      </c>
      <c r="J445">
        <f t="shared" si="37"/>
        <v>766.64999999999964</v>
      </c>
      <c r="K445" s="8">
        <f t="shared" si="38"/>
        <v>0.31925127009244597</v>
      </c>
      <c r="L445" t="str">
        <f t="shared" si="41"/>
        <v>2024-12</v>
      </c>
      <c r="M445">
        <f t="shared" si="39"/>
        <v>766.64999999999964</v>
      </c>
    </row>
    <row r="446" spans="1:13" x14ac:dyDescent="0.25">
      <c r="A446" s="1">
        <v>44737</v>
      </c>
      <c r="B446" t="s">
        <v>10</v>
      </c>
      <c r="C446" t="s">
        <v>11</v>
      </c>
      <c r="D446" t="s">
        <v>17</v>
      </c>
      <c r="E446">
        <v>1238.1099999999999</v>
      </c>
      <c r="F446">
        <v>926.57</v>
      </c>
      <c r="G446">
        <v>3</v>
      </c>
      <c r="H446">
        <f t="shared" si="36"/>
        <v>3714.33</v>
      </c>
      <c r="I446">
        <f t="shared" si="40"/>
        <v>2779.71</v>
      </c>
      <c r="J446">
        <f t="shared" si="37"/>
        <v>934.61999999999989</v>
      </c>
      <c r="K446" s="8">
        <f t="shared" si="38"/>
        <v>0.2516254613887296</v>
      </c>
      <c r="L446" t="str">
        <f t="shared" si="41"/>
        <v>2022-06</v>
      </c>
      <c r="M446">
        <f t="shared" si="39"/>
        <v>934.61999999999989</v>
      </c>
    </row>
    <row r="447" spans="1:13" x14ac:dyDescent="0.25">
      <c r="A447" s="1">
        <v>45616</v>
      </c>
      <c r="B447" t="s">
        <v>12</v>
      </c>
      <c r="C447" t="s">
        <v>8</v>
      </c>
      <c r="D447" t="s">
        <v>9</v>
      </c>
      <c r="E447">
        <v>1203.98</v>
      </c>
      <c r="F447">
        <v>1030.48</v>
      </c>
      <c r="G447">
        <v>8</v>
      </c>
      <c r="H447">
        <f t="shared" si="36"/>
        <v>9631.84</v>
      </c>
      <c r="I447">
        <f t="shared" si="40"/>
        <v>8243.84</v>
      </c>
      <c r="J447">
        <f t="shared" si="37"/>
        <v>1388</v>
      </c>
      <c r="K447" s="8">
        <f t="shared" si="38"/>
        <v>0.14410538381036231</v>
      </c>
      <c r="L447" t="str">
        <f t="shared" si="41"/>
        <v>2024-11</v>
      </c>
      <c r="M447">
        <f t="shared" si="39"/>
        <v>1388</v>
      </c>
    </row>
    <row r="448" spans="1:13" x14ac:dyDescent="0.25">
      <c r="A448" s="1">
        <v>45131</v>
      </c>
      <c r="B448" t="s">
        <v>25</v>
      </c>
      <c r="C448" t="s">
        <v>15</v>
      </c>
      <c r="D448" t="s">
        <v>18</v>
      </c>
      <c r="E448">
        <v>149.78</v>
      </c>
      <c r="F448">
        <v>96.31</v>
      </c>
      <c r="G448">
        <v>4</v>
      </c>
      <c r="H448">
        <f t="shared" si="36"/>
        <v>599.12</v>
      </c>
      <c r="I448">
        <f t="shared" si="40"/>
        <v>385.24</v>
      </c>
      <c r="J448">
        <f t="shared" si="37"/>
        <v>213.88</v>
      </c>
      <c r="K448" s="8">
        <f t="shared" si="38"/>
        <v>0.35699025237014287</v>
      </c>
      <c r="L448" t="str">
        <f t="shared" si="41"/>
        <v>2023-07</v>
      </c>
      <c r="M448">
        <f t="shared" si="39"/>
        <v>213.88</v>
      </c>
    </row>
    <row r="449" spans="1:13" x14ac:dyDescent="0.25">
      <c r="A449" s="1">
        <v>45624</v>
      </c>
      <c r="B449" t="s">
        <v>7</v>
      </c>
      <c r="C449" t="s">
        <v>8</v>
      </c>
      <c r="D449" t="s">
        <v>13</v>
      </c>
      <c r="E449">
        <v>1474.01</v>
      </c>
      <c r="F449">
        <v>923.69</v>
      </c>
      <c r="G449">
        <v>4</v>
      </c>
      <c r="H449">
        <f t="shared" si="36"/>
        <v>5896.04</v>
      </c>
      <c r="I449">
        <f t="shared" si="40"/>
        <v>3694.76</v>
      </c>
      <c r="J449">
        <f t="shared" si="37"/>
        <v>2201.2799999999997</v>
      </c>
      <c r="K449" s="8">
        <f t="shared" si="38"/>
        <v>0.37334889179856307</v>
      </c>
      <c r="L449" t="str">
        <f t="shared" si="41"/>
        <v>2024-11</v>
      </c>
      <c r="M449">
        <f t="shared" si="39"/>
        <v>2201.2799999999997</v>
      </c>
    </row>
    <row r="450" spans="1:13" x14ac:dyDescent="0.25">
      <c r="A450" s="1">
        <v>45092</v>
      </c>
      <c r="B450" t="s">
        <v>25</v>
      </c>
      <c r="C450" t="s">
        <v>15</v>
      </c>
      <c r="D450" t="s">
        <v>17</v>
      </c>
      <c r="E450">
        <v>937.36</v>
      </c>
      <c r="F450">
        <v>843.46</v>
      </c>
      <c r="G450">
        <v>6</v>
      </c>
      <c r="H450">
        <f t="shared" si="36"/>
        <v>5624.16</v>
      </c>
      <c r="I450">
        <f t="shared" si="40"/>
        <v>5060.76</v>
      </c>
      <c r="J450">
        <f t="shared" si="37"/>
        <v>563.39999999999964</v>
      </c>
      <c r="K450" s="8">
        <f t="shared" si="38"/>
        <v>0.10017495946061272</v>
      </c>
      <c r="L450" t="str">
        <f t="shared" si="41"/>
        <v>2023-06</v>
      </c>
      <c r="M450">
        <f t="shared" si="39"/>
        <v>563.39999999999964</v>
      </c>
    </row>
    <row r="451" spans="1:13" x14ac:dyDescent="0.25">
      <c r="A451" s="1">
        <v>44726</v>
      </c>
      <c r="B451" t="s">
        <v>23</v>
      </c>
      <c r="C451" t="s">
        <v>11</v>
      </c>
      <c r="D451" t="s">
        <v>9</v>
      </c>
      <c r="E451">
        <v>1783.92</v>
      </c>
      <c r="F451">
        <v>1221.57</v>
      </c>
      <c r="G451">
        <v>2</v>
      </c>
      <c r="H451">
        <f t="shared" ref="H451:H514" si="42">E451*G451</f>
        <v>3567.84</v>
      </c>
      <c r="I451">
        <f t="shared" si="40"/>
        <v>2443.14</v>
      </c>
      <c r="J451">
        <f t="shared" ref="J451:J514" si="43">H451-I451</f>
        <v>1124.7000000000003</v>
      </c>
      <c r="K451" s="8">
        <f t="shared" ref="K451:K514" si="44">(H451-I451)/H451</f>
        <v>0.31523274586304323</v>
      </c>
      <c r="L451" t="str">
        <f t="shared" si="41"/>
        <v>2022-06</v>
      </c>
      <c r="M451">
        <f t="shared" ref="M451:M514" si="45">H451-I451</f>
        <v>1124.7000000000003</v>
      </c>
    </row>
    <row r="452" spans="1:13" x14ac:dyDescent="0.25">
      <c r="A452" s="1">
        <v>45343</v>
      </c>
      <c r="B452" t="s">
        <v>22</v>
      </c>
      <c r="C452" t="s">
        <v>8</v>
      </c>
      <c r="D452" t="s">
        <v>13</v>
      </c>
      <c r="E452">
        <v>1226.25</v>
      </c>
      <c r="F452">
        <v>868.61</v>
      </c>
      <c r="G452">
        <v>6</v>
      </c>
      <c r="H452">
        <f t="shared" si="42"/>
        <v>7357.5</v>
      </c>
      <c r="I452">
        <f t="shared" ref="I452:I515" si="46">F452*G452</f>
        <v>5211.66</v>
      </c>
      <c r="J452">
        <f t="shared" si="43"/>
        <v>2145.84</v>
      </c>
      <c r="K452" s="8">
        <f t="shared" si="44"/>
        <v>0.29165341488277269</v>
      </c>
      <c r="L452" t="str">
        <f t="shared" ref="L452:L515" si="47">TEXT(A452,"rrrr-mm")</f>
        <v>2024-02</v>
      </c>
      <c r="M452">
        <f t="shared" si="45"/>
        <v>2145.84</v>
      </c>
    </row>
    <row r="453" spans="1:13" x14ac:dyDescent="0.25">
      <c r="A453" s="1">
        <v>44728</v>
      </c>
      <c r="B453" t="s">
        <v>14</v>
      </c>
      <c r="C453" t="s">
        <v>15</v>
      </c>
      <c r="D453" t="s">
        <v>13</v>
      </c>
      <c r="E453">
        <v>1719.3</v>
      </c>
      <c r="F453">
        <v>1390.14</v>
      </c>
      <c r="G453">
        <v>1</v>
      </c>
      <c r="H453">
        <f t="shared" si="42"/>
        <v>1719.3</v>
      </c>
      <c r="I453">
        <f t="shared" si="46"/>
        <v>1390.14</v>
      </c>
      <c r="J453">
        <f t="shared" si="43"/>
        <v>329.15999999999985</v>
      </c>
      <c r="K453" s="8">
        <f t="shared" si="44"/>
        <v>0.19145000872448081</v>
      </c>
      <c r="L453" t="str">
        <f t="shared" si="47"/>
        <v>2022-06</v>
      </c>
      <c r="M453">
        <f t="shared" si="45"/>
        <v>329.15999999999985</v>
      </c>
    </row>
    <row r="454" spans="1:13" x14ac:dyDescent="0.25">
      <c r="A454" s="1">
        <v>45090</v>
      </c>
      <c r="B454" t="s">
        <v>16</v>
      </c>
      <c r="C454" t="s">
        <v>15</v>
      </c>
      <c r="D454" t="s">
        <v>18</v>
      </c>
      <c r="E454">
        <v>87.17</v>
      </c>
      <c r="F454">
        <v>64.55</v>
      </c>
      <c r="G454">
        <v>2</v>
      </c>
      <c r="H454">
        <f t="shared" si="42"/>
        <v>174.34</v>
      </c>
      <c r="I454">
        <f t="shared" si="46"/>
        <v>129.1</v>
      </c>
      <c r="J454">
        <f t="shared" si="43"/>
        <v>45.240000000000009</v>
      </c>
      <c r="K454" s="8">
        <f t="shared" si="44"/>
        <v>0.25949294482046581</v>
      </c>
      <c r="L454" t="str">
        <f t="shared" si="47"/>
        <v>2023-06</v>
      </c>
      <c r="M454">
        <f t="shared" si="45"/>
        <v>45.240000000000009</v>
      </c>
    </row>
    <row r="455" spans="1:13" x14ac:dyDescent="0.25">
      <c r="A455" s="1">
        <v>45602</v>
      </c>
      <c r="B455" t="s">
        <v>12</v>
      </c>
      <c r="C455" t="s">
        <v>8</v>
      </c>
      <c r="D455" t="s">
        <v>18</v>
      </c>
      <c r="E455">
        <v>531.45000000000005</v>
      </c>
      <c r="F455">
        <v>329.51</v>
      </c>
      <c r="G455">
        <v>7</v>
      </c>
      <c r="H455">
        <f t="shared" si="42"/>
        <v>3720.1500000000005</v>
      </c>
      <c r="I455">
        <f t="shared" si="46"/>
        <v>2306.5699999999997</v>
      </c>
      <c r="J455">
        <f t="shared" si="43"/>
        <v>1413.5800000000008</v>
      </c>
      <c r="K455" s="8">
        <f t="shared" si="44"/>
        <v>0.37997930190986939</v>
      </c>
      <c r="L455" t="str">
        <f t="shared" si="47"/>
        <v>2024-11</v>
      </c>
      <c r="M455">
        <f t="shared" si="45"/>
        <v>1413.5800000000008</v>
      </c>
    </row>
    <row r="456" spans="1:13" x14ac:dyDescent="0.25">
      <c r="A456" s="1">
        <v>45502</v>
      </c>
      <c r="B456" t="s">
        <v>25</v>
      </c>
      <c r="C456" t="s">
        <v>15</v>
      </c>
      <c r="D456" t="s">
        <v>9</v>
      </c>
      <c r="E456">
        <v>1143.06</v>
      </c>
      <c r="F456">
        <v>666.84</v>
      </c>
      <c r="G456">
        <v>10</v>
      </c>
      <c r="H456">
        <f t="shared" si="42"/>
        <v>11430.599999999999</v>
      </c>
      <c r="I456">
        <f t="shared" si="46"/>
        <v>6668.4000000000005</v>
      </c>
      <c r="J456">
        <f t="shared" si="43"/>
        <v>4762.199999999998</v>
      </c>
      <c r="K456" s="8">
        <f t="shared" si="44"/>
        <v>0.41661855020733807</v>
      </c>
      <c r="L456" t="str">
        <f t="shared" si="47"/>
        <v>2024-07</v>
      </c>
      <c r="M456">
        <f t="shared" si="45"/>
        <v>4762.199999999998</v>
      </c>
    </row>
    <row r="457" spans="1:13" x14ac:dyDescent="0.25">
      <c r="A457" s="1">
        <v>44616</v>
      </c>
      <c r="B457" t="s">
        <v>7</v>
      </c>
      <c r="C457" t="s">
        <v>8</v>
      </c>
      <c r="D457" t="s">
        <v>9</v>
      </c>
      <c r="E457">
        <v>1167.71</v>
      </c>
      <c r="F457">
        <v>771.78</v>
      </c>
      <c r="G457">
        <v>7</v>
      </c>
      <c r="H457">
        <f t="shared" si="42"/>
        <v>8173.97</v>
      </c>
      <c r="I457">
        <f t="shared" si="46"/>
        <v>5402.46</v>
      </c>
      <c r="J457">
        <f t="shared" si="43"/>
        <v>2771.51</v>
      </c>
      <c r="K457" s="8">
        <f t="shared" si="44"/>
        <v>0.33906535012974115</v>
      </c>
      <c r="L457" t="str">
        <f t="shared" si="47"/>
        <v>2022-02</v>
      </c>
      <c r="M457">
        <f t="shared" si="45"/>
        <v>2771.51</v>
      </c>
    </row>
    <row r="458" spans="1:13" x14ac:dyDescent="0.25">
      <c r="A458" s="1">
        <v>44631</v>
      </c>
      <c r="B458" t="s">
        <v>19</v>
      </c>
      <c r="C458" t="s">
        <v>20</v>
      </c>
      <c r="D458" t="s">
        <v>17</v>
      </c>
      <c r="E458">
        <v>201.37</v>
      </c>
      <c r="F458">
        <v>112.12</v>
      </c>
      <c r="G458">
        <v>10</v>
      </c>
      <c r="H458">
        <f t="shared" si="42"/>
        <v>2013.7</v>
      </c>
      <c r="I458">
        <f t="shared" si="46"/>
        <v>1121.2</v>
      </c>
      <c r="J458">
        <f t="shared" si="43"/>
        <v>892.5</v>
      </c>
      <c r="K458" s="8">
        <f t="shared" si="44"/>
        <v>0.44321398420817398</v>
      </c>
      <c r="L458" t="str">
        <f t="shared" si="47"/>
        <v>2022-03</v>
      </c>
      <c r="M458">
        <f t="shared" si="45"/>
        <v>892.5</v>
      </c>
    </row>
    <row r="459" spans="1:13" x14ac:dyDescent="0.25">
      <c r="A459" s="1">
        <v>44988</v>
      </c>
      <c r="B459" t="s">
        <v>23</v>
      </c>
      <c r="C459" t="s">
        <v>11</v>
      </c>
      <c r="D459" t="s">
        <v>17</v>
      </c>
      <c r="E459">
        <v>903.73</v>
      </c>
      <c r="F459">
        <v>581.13</v>
      </c>
      <c r="G459">
        <v>9</v>
      </c>
      <c r="H459">
        <f t="shared" si="42"/>
        <v>8133.57</v>
      </c>
      <c r="I459">
        <f t="shared" si="46"/>
        <v>5230.17</v>
      </c>
      <c r="J459">
        <f t="shared" si="43"/>
        <v>2903.3999999999996</v>
      </c>
      <c r="K459" s="8">
        <f t="shared" si="44"/>
        <v>0.35696502273909242</v>
      </c>
      <c r="L459" t="str">
        <f t="shared" si="47"/>
        <v>2023-03</v>
      </c>
      <c r="M459">
        <f t="shared" si="45"/>
        <v>2903.3999999999996</v>
      </c>
    </row>
    <row r="460" spans="1:13" x14ac:dyDescent="0.25">
      <c r="A460" s="1">
        <v>44936</v>
      </c>
      <c r="B460" t="s">
        <v>22</v>
      </c>
      <c r="C460" t="s">
        <v>8</v>
      </c>
      <c r="D460" t="s">
        <v>18</v>
      </c>
      <c r="E460">
        <v>292.63</v>
      </c>
      <c r="F460">
        <v>155.69</v>
      </c>
      <c r="G460">
        <v>9</v>
      </c>
      <c r="H460">
        <f t="shared" si="42"/>
        <v>2633.67</v>
      </c>
      <c r="I460">
        <f t="shared" si="46"/>
        <v>1401.21</v>
      </c>
      <c r="J460">
        <f t="shared" si="43"/>
        <v>1232.46</v>
      </c>
      <c r="K460" s="8">
        <f t="shared" si="44"/>
        <v>0.46796295663465809</v>
      </c>
      <c r="L460" t="str">
        <f t="shared" si="47"/>
        <v>2023-01</v>
      </c>
      <c r="M460">
        <f t="shared" si="45"/>
        <v>1232.46</v>
      </c>
    </row>
    <row r="461" spans="1:13" x14ac:dyDescent="0.25">
      <c r="A461" s="1">
        <v>44990</v>
      </c>
      <c r="B461" t="s">
        <v>10</v>
      </c>
      <c r="C461" t="s">
        <v>11</v>
      </c>
      <c r="D461" t="s">
        <v>13</v>
      </c>
      <c r="E461">
        <v>39.04</v>
      </c>
      <c r="F461">
        <v>28.13</v>
      </c>
      <c r="G461">
        <v>2</v>
      </c>
      <c r="H461">
        <f t="shared" si="42"/>
        <v>78.08</v>
      </c>
      <c r="I461">
        <f t="shared" si="46"/>
        <v>56.26</v>
      </c>
      <c r="J461">
        <f t="shared" si="43"/>
        <v>21.82</v>
      </c>
      <c r="K461" s="8">
        <f t="shared" si="44"/>
        <v>0.27945696721311475</v>
      </c>
      <c r="L461" t="str">
        <f t="shared" si="47"/>
        <v>2023-03</v>
      </c>
      <c r="M461">
        <f t="shared" si="45"/>
        <v>21.82</v>
      </c>
    </row>
    <row r="462" spans="1:13" x14ac:dyDescent="0.25">
      <c r="A462" s="1">
        <v>45001</v>
      </c>
      <c r="B462" t="s">
        <v>7</v>
      </c>
      <c r="C462" t="s">
        <v>8</v>
      </c>
      <c r="D462" t="s">
        <v>9</v>
      </c>
      <c r="E462">
        <v>1273.73</v>
      </c>
      <c r="F462">
        <v>807.58</v>
      </c>
      <c r="G462">
        <v>6</v>
      </c>
      <c r="H462">
        <f t="shared" si="42"/>
        <v>7642.38</v>
      </c>
      <c r="I462">
        <f t="shared" si="46"/>
        <v>4845.4800000000005</v>
      </c>
      <c r="J462">
        <f t="shared" si="43"/>
        <v>2796.8999999999996</v>
      </c>
      <c r="K462" s="8">
        <f t="shared" si="44"/>
        <v>0.36597238033178142</v>
      </c>
      <c r="L462" t="str">
        <f t="shared" si="47"/>
        <v>2023-03</v>
      </c>
      <c r="M462">
        <f t="shared" si="45"/>
        <v>2796.8999999999996</v>
      </c>
    </row>
    <row r="463" spans="1:13" x14ac:dyDescent="0.25">
      <c r="A463" s="1">
        <v>45514</v>
      </c>
      <c r="B463" t="s">
        <v>7</v>
      </c>
      <c r="C463" t="s">
        <v>8</v>
      </c>
      <c r="D463" t="s">
        <v>17</v>
      </c>
      <c r="E463">
        <v>1697.1</v>
      </c>
      <c r="F463">
        <v>1493.87</v>
      </c>
      <c r="G463">
        <v>10</v>
      </c>
      <c r="H463">
        <f t="shared" si="42"/>
        <v>16971</v>
      </c>
      <c r="I463">
        <f t="shared" si="46"/>
        <v>14938.699999999999</v>
      </c>
      <c r="J463">
        <f t="shared" si="43"/>
        <v>2032.3000000000011</v>
      </c>
      <c r="K463" s="8">
        <f t="shared" si="44"/>
        <v>0.11975134052206712</v>
      </c>
      <c r="L463" t="str">
        <f t="shared" si="47"/>
        <v>2024-08</v>
      </c>
      <c r="M463">
        <f t="shared" si="45"/>
        <v>2032.3000000000011</v>
      </c>
    </row>
    <row r="464" spans="1:13" x14ac:dyDescent="0.25">
      <c r="A464" s="1">
        <v>45334</v>
      </c>
      <c r="B464" t="s">
        <v>23</v>
      </c>
      <c r="C464" t="s">
        <v>11</v>
      </c>
      <c r="D464" t="s">
        <v>18</v>
      </c>
      <c r="E464">
        <v>148.9</v>
      </c>
      <c r="F464">
        <v>89.24</v>
      </c>
      <c r="G464">
        <v>2</v>
      </c>
      <c r="H464">
        <f t="shared" si="42"/>
        <v>297.8</v>
      </c>
      <c r="I464">
        <f t="shared" si="46"/>
        <v>178.48</v>
      </c>
      <c r="J464">
        <f t="shared" si="43"/>
        <v>119.32000000000002</v>
      </c>
      <c r="K464" s="8">
        <f t="shared" si="44"/>
        <v>0.40067159167226329</v>
      </c>
      <c r="L464" t="str">
        <f t="shared" si="47"/>
        <v>2024-02</v>
      </c>
      <c r="M464">
        <f t="shared" si="45"/>
        <v>119.32000000000002</v>
      </c>
    </row>
    <row r="465" spans="1:13" x14ac:dyDescent="0.25">
      <c r="A465" s="1">
        <v>45656</v>
      </c>
      <c r="B465" t="s">
        <v>24</v>
      </c>
      <c r="C465" t="s">
        <v>20</v>
      </c>
      <c r="D465" t="s">
        <v>17</v>
      </c>
      <c r="E465">
        <v>1055.67</v>
      </c>
      <c r="F465">
        <v>760.16</v>
      </c>
      <c r="G465">
        <v>9</v>
      </c>
      <c r="H465">
        <f t="shared" si="42"/>
        <v>9501.0300000000007</v>
      </c>
      <c r="I465">
        <f t="shared" si="46"/>
        <v>6841.44</v>
      </c>
      <c r="J465">
        <f t="shared" si="43"/>
        <v>2659.5900000000011</v>
      </c>
      <c r="K465" s="8">
        <f t="shared" si="44"/>
        <v>0.27992649218032162</v>
      </c>
      <c r="L465" t="str">
        <f t="shared" si="47"/>
        <v>2024-12</v>
      </c>
      <c r="M465">
        <f t="shared" si="45"/>
        <v>2659.5900000000011</v>
      </c>
    </row>
    <row r="466" spans="1:13" x14ac:dyDescent="0.25">
      <c r="A466" s="1">
        <v>45652</v>
      </c>
      <c r="B466" t="s">
        <v>25</v>
      </c>
      <c r="C466" t="s">
        <v>15</v>
      </c>
      <c r="D466" t="s">
        <v>18</v>
      </c>
      <c r="E466">
        <v>631.42999999999995</v>
      </c>
      <c r="F466">
        <v>363.02</v>
      </c>
      <c r="G466">
        <v>5</v>
      </c>
      <c r="H466">
        <f t="shared" si="42"/>
        <v>3157.1499999999996</v>
      </c>
      <c r="I466">
        <f t="shared" si="46"/>
        <v>1815.1</v>
      </c>
      <c r="J466">
        <f t="shared" si="43"/>
        <v>1342.0499999999997</v>
      </c>
      <c r="K466" s="8">
        <f t="shared" si="44"/>
        <v>0.42508274868156404</v>
      </c>
      <c r="L466" t="str">
        <f t="shared" si="47"/>
        <v>2024-12</v>
      </c>
      <c r="M466">
        <f t="shared" si="45"/>
        <v>1342.0499999999997</v>
      </c>
    </row>
    <row r="467" spans="1:13" x14ac:dyDescent="0.25">
      <c r="A467" s="1">
        <v>44954</v>
      </c>
      <c r="B467" t="s">
        <v>19</v>
      </c>
      <c r="C467" t="s">
        <v>20</v>
      </c>
      <c r="D467" t="s">
        <v>18</v>
      </c>
      <c r="E467">
        <v>1419.18</v>
      </c>
      <c r="F467">
        <v>971.89</v>
      </c>
      <c r="G467">
        <v>3</v>
      </c>
      <c r="H467">
        <f t="shared" si="42"/>
        <v>4257.54</v>
      </c>
      <c r="I467">
        <f t="shared" si="46"/>
        <v>2915.67</v>
      </c>
      <c r="J467">
        <f t="shared" si="43"/>
        <v>1341.87</v>
      </c>
      <c r="K467" s="8">
        <f t="shared" si="44"/>
        <v>0.31517496018827773</v>
      </c>
      <c r="L467" t="str">
        <f t="shared" si="47"/>
        <v>2023-01</v>
      </c>
      <c r="M467">
        <f t="shared" si="45"/>
        <v>1341.87</v>
      </c>
    </row>
    <row r="468" spans="1:13" x14ac:dyDescent="0.25">
      <c r="A468" s="1">
        <v>44824</v>
      </c>
      <c r="B468" t="s">
        <v>10</v>
      </c>
      <c r="C468" t="s">
        <v>11</v>
      </c>
      <c r="D468" t="s">
        <v>17</v>
      </c>
      <c r="E468">
        <v>1134.18</v>
      </c>
      <c r="F468">
        <v>884.52</v>
      </c>
      <c r="G468">
        <v>4</v>
      </c>
      <c r="H468">
        <f t="shared" si="42"/>
        <v>4536.72</v>
      </c>
      <c r="I468">
        <f t="shared" si="46"/>
        <v>3538.08</v>
      </c>
      <c r="J468">
        <f t="shared" si="43"/>
        <v>998.64000000000033</v>
      </c>
      <c r="K468" s="8">
        <f t="shared" si="44"/>
        <v>0.22012378987462314</v>
      </c>
      <c r="L468" t="str">
        <f t="shared" si="47"/>
        <v>2022-09</v>
      </c>
      <c r="M468">
        <f t="shared" si="45"/>
        <v>998.64000000000033</v>
      </c>
    </row>
    <row r="469" spans="1:13" x14ac:dyDescent="0.25">
      <c r="A469" s="1">
        <v>45369</v>
      </c>
      <c r="B469" t="s">
        <v>12</v>
      </c>
      <c r="C469" t="s">
        <v>8</v>
      </c>
      <c r="D469" t="s">
        <v>18</v>
      </c>
      <c r="E469">
        <v>1763.97</v>
      </c>
      <c r="F469">
        <v>1527.98</v>
      </c>
      <c r="G469">
        <v>1</v>
      </c>
      <c r="H469">
        <f t="shared" si="42"/>
        <v>1763.97</v>
      </c>
      <c r="I469">
        <f t="shared" si="46"/>
        <v>1527.98</v>
      </c>
      <c r="J469">
        <f t="shared" si="43"/>
        <v>235.99</v>
      </c>
      <c r="K469" s="8">
        <f t="shared" si="44"/>
        <v>0.13378345436713776</v>
      </c>
      <c r="L469" t="str">
        <f t="shared" si="47"/>
        <v>2024-03</v>
      </c>
      <c r="M469">
        <f t="shared" si="45"/>
        <v>235.99</v>
      </c>
    </row>
    <row r="470" spans="1:13" x14ac:dyDescent="0.25">
      <c r="A470" s="1">
        <v>45190</v>
      </c>
      <c r="B470" t="s">
        <v>19</v>
      </c>
      <c r="C470" t="s">
        <v>20</v>
      </c>
      <c r="D470" t="s">
        <v>18</v>
      </c>
      <c r="E470">
        <v>1728.89</v>
      </c>
      <c r="F470">
        <v>1469.02</v>
      </c>
      <c r="G470">
        <v>4</v>
      </c>
      <c r="H470">
        <f t="shared" si="42"/>
        <v>6915.56</v>
      </c>
      <c r="I470">
        <f t="shared" si="46"/>
        <v>5876.08</v>
      </c>
      <c r="J470">
        <f t="shared" si="43"/>
        <v>1039.4800000000005</v>
      </c>
      <c r="K470" s="8">
        <f t="shared" si="44"/>
        <v>0.15031031471059472</v>
      </c>
      <c r="L470" t="str">
        <f t="shared" si="47"/>
        <v>2023-09</v>
      </c>
      <c r="M470">
        <f t="shared" si="45"/>
        <v>1039.4800000000005</v>
      </c>
    </row>
    <row r="471" spans="1:13" x14ac:dyDescent="0.25">
      <c r="A471" s="1">
        <v>45289</v>
      </c>
      <c r="B471" t="s">
        <v>21</v>
      </c>
      <c r="C471" t="s">
        <v>20</v>
      </c>
      <c r="D471" t="s">
        <v>13</v>
      </c>
      <c r="E471">
        <v>1373.72</v>
      </c>
      <c r="F471">
        <v>796.33</v>
      </c>
      <c r="G471">
        <v>9</v>
      </c>
      <c r="H471">
        <f t="shared" si="42"/>
        <v>12363.48</v>
      </c>
      <c r="I471">
        <f t="shared" si="46"/>
        <v>7166.97</v>
      </c>
      <c r="J471">
        <f t="shared" si="43"/>
        <v>5196.5099999999993</v>
      </c>
      <c r="K471" s="8">
        <f t="shared" si="44"/>
        <v>0.42031127158372883</v>
      </c>
      <c r="L471" t="str">
        <f t="shared" si="47"/>
        <v>2023-12</v>
      </c>
      <c r="M471">
        <f t="shared" si="45"/>
        <v>5196.5099999999993</v>
      </c>
    </row>
    <row r="472" spans="1:13" x14ac:dyDescent="0.25">
      <c r="A472" s="1">
        <v>45535</v>
      </c>
      <c r="B472" t="s">
        <v>22</v>
      </c>
      <c r="C472" t="s">
        <v>8</v>
      </c>
      <c r="D472" t="s">
        <v>9</v>
      </c>
      <c r="E472">
        <v>1129.57</v>
      </c>
      <c r="F472">
        <v>837.56</v>
      </c>
      <c r="G472">
        <v>9</v>
      </c>
      <c r="H472">
        <f t="shared" si="42"/>
        <v>10166.129999999999</v>
      </c>
      <c r="I472">
        <f t="shared" si="46"/>
        <v>7538.0399999999991</v>
      </c>
      <c r="J472">
        <f t="shared" si="43"/>
        <v>2628.09</v>
      </c>
      <c r="K472" s="8">
        <f t="shared" si="44"/>
        <v>0.25851430190249391</v>
      </c>
      <c r="L472" t="str">
        <f t="shared" si="47"/>
        <v>2024-08</v>
      </c>
      <c r="M472">
        <f t="shared" si="45"/>
        <v>2628.09</v>
      </c>
    </row>
    <row r="473" spans="1:13" x14ac:dyDescent="0.25">
      <c r="A473" s="1">
        <v>44770</v>
      </c>
      <c r="B473" t="s">
        <v>22</v>
      </c>
      <c r="C473" t="s">
        <v>8</v>
      </c>
      <c r="D473" t="s">
        <v>9</v>
      </c>
      <c r="E473">
        <v>1878.37</v>
      </c>
      <c r="F473">
        <v>1203.67</v>
      </c>
      <c r="G473">
        <v>4</v>
      </c>
      <c r="H473">
        <f t="shared" si="42"/>
        <v>7513.48</v>
      </c>
      <c r="I473">
        <f t="shared" si="46"/>
        <v>4814.68</v>
      </c>
      <c r="J473">
        <f t="shared" si="43"/>
        <v>2698.7999999999993</v>
      </c>
      <c r="K473" s="8">
        <f t="shared" si="44"/>
        <v>0.35919440791750284</v>
      </c>
      <c r="L473" t="str">
        <f t="shared" si="47"/>
        <v>2022-07</v>
      </c>
      <c r="M473">
        <f t="shared" si="45"/>
        <v>2698.7999999999993</v>
      </c>
    </row>
    <row r="474" spans="1:13" x14ac:dyDescent="0.25">
      <c r="A474" s="1">
        <v>44658</v>
      </c>
      <c r="B474" t="s">
        <v>16</v>
      </c>
      <c r="C474" t="s">
        <v>15</v>
      </c>
      <c r="D474" t="s">
        <v>17</v>
      </c>
      <c r="E474">
        <v>1121.45</v>
      </c>
      <c r="F474">
        <v>814.56</v>
      </c>
      <c r="G474">
        <v>4</v>
      </c>
      <c r="H474">
        <f t="shared" si="42"/>
        <v>4485.8</v>
      </c>
      <c r="I474">
        <f t="shared" si="46"/>
        <v>3258.24</v>
      </c>
      <c r="J474">
        <f t="shared" si="43"/>
        <v>1227.5600000000004</v>
      </c>
      <c r="K474" s="8">
        <f t="shared" si="44"/>
        <v>0.27365464354184321</v>
      </c>
      <c r="L474" t="str">
        <f t="shared" si="47"/>
        <v>2022-04</v>
      </c>
      <c r="M474">
        <f t="shared" si="45"/>
        <v>1227.5600000000004</v>
      </c>
    </row>
    <row r="475" spans="1:13" x14ac:dyDescent="0.25">
      <c r="A475" s="1">
        <v>44581</v>
      </c>
      <c r="B475" t="s">
        <v>10</v>
      </c>
      <c r="C475" t="s">
        <v>11</v>
      </c>
      <c r="D475" t="s">
        <v>9</v>
      </c>
      <c r="E475">
        <v>416.79</v>
      </c>
      <c r="F475">
        <v>353.3</v>
      </c>
      <c r="G475">
        <v>7</v>
      </c>
      <c r="H475">
        <f t="shared" si="42"/>
        <v>2917.53</v>
      </c>
      <c r="I475">
        <f t="shared" si="46"/>
        <v>2473.1</v>
      </c>
      <c r="J475">
        <f t="shared" si="43"/>
        <v>444.43000000000029</v>
      </c>
      <c r="K475" s="8">
        <f t="shared" si="44"/>
        <v>0.1523309100506251</v>
      </c>
      <c r="L475" t="str">
        <f t="shared" si="47"/>
        <v>2022-01</v>
      </c>
      <c r="M475">
        <f t="shared" si="45"/>
        <v>444.43000000000029</v>
      </c>
    </row>
    <row r="476" spans="1:13" x14ac:dyDescent="0.25">
      <c r="A476" s="1">
        <v>44845</v>
      </c>
      <c r="B476" t="s">
        <v>22</v>
      </c>
      <c r="C476" t="s">
        <v>8</v>
      </c>
      <c r="D476" t="s">
        <v>13</v>
      </c>
      <c r="E476">
        <v>1156.6500000000001</v>
      </c>
      <c r="F476">
        <v>884.65</v>
      </c>
      <c r="G476">
        <v>5</v>
      </c>
      <c r="H476">
        <f t="shared" si="42"/>
        <v>5783.25</v>
      </c>
      <c r="I476">
        <f t="shared" si="46"/>
        <v>4423.25</v>
      </c>
      <c r="J476">
        <f t="shared" si="43"/>
        <v>1360</v>
      </c>
      <c r="K476" s="8">
        <f t="shared" si="44"/>
        <v>0.23516188994077725</v>
      </c>
      <c r="L476" t="str">
        <f t="shared" si="47"/>
        <v>2022-10</v>
      </c>
      <c r="M476">
        <f t="shared" si="45"/>
        <v>1360</v>
      </c>
    </row>
    <row r="477" spans="1:13" x14ac:dyDescent="0.25">
      <c r="A477" s="1">
        <v>44847</v>
      </c>
      <c r="B477" t="s">
        <v>12</v>
      </c>
      <c r="C477" t="s">
        <v>8</v>
      </c>
      <c r="D477" t="s">
        <v>17</v>
      </c>
      <c r="E477">
        <v>1686.7</v>
      </c>
      <c r="F477">
        <v>855.52</v>
      </c>
      <c r="G477">
        <v>6</v>
      </c>
      <c r="H477">
        <f t="shared" si="42"/>
        <v>10120.200000000001</v>
      </c>
      <c r="I477">
        <f t="shared" si="46"/>
        <v>5133.12</v>
      </c>
      <c r="J477">
        <f t="shared" si="43"/>
        <v>4987.0800000000008</v>
      </c>
      <c r="K477" s="8">
        <f t="shared" si="44"/>
        <v>0.49278472757455388</v>
      </c>
      <c r="L477" t="str">
        <f t="shared" si="47"/>
        <v>2022-10</v>
      </c>
      <c r="M477">
        <f t="shared" si="45"/>
        <v>4987.0800000000008</v>
      </c>
    </row>
    <row r="478" spans="1:13" x14ac:dyDescent="0.25">
      <c r="A478" s="1">
        <v>44694</v>
      </c>
      <c r="B478" t="s">
        <v>24</v>
      </c>
      <c r="C478" t="s">
        <v>20</v>
      </c>
      <c r="D478" t="s">
        <v>18</v>
      </c>
      <c r="E478">
        <v>586.66999999999996</v>
      </c>
      <c r="F478">
        <v>331.62</v>
      </c>
      <c r="G478">
        <v>5</v>
      </c>
      <c r="H478">
        <f t="shared" si="42"/>
        <v>2933.35</v>
      </c>
      <c r="I478">
        <f t="shared" si="46"/>
        <v>1658.1</v>
      </c>
      <c r="J478">
        <f t="shared" si="43"/>
        <v>1275.25</v>
      </c>
      <c r="K478" s="8">
        <f t="shared" si="44"/>
        <v>0.43474184805768151</v>
      </c>
      <c r="L478" t="str">
        <f t="shared" si="47"/>
        <v>2022-05</v>
      </c>
      <c r="M478">
        <f t="shared" si="45"/>
        <v>1275.25</v>
      </c>
    </row>
    <row r="479" spans="1:13" x14ac:dyDescent="0.25">
      <c r="A479" s="1">
        <v>45586</v>
      </c>
      <c r="B479" t="s">
        <v>7</v>
      </c>
      <c r="C479" t="s">
        <v>8</v>
      </c>
      <c r="D479" t="s">
        <v>18</v>
      </c>
      <c r="E479">
        <v>1940.69</v>
      </c>
      <c r="F479">
        <v>1408.57</v>
      </c>
      <c r="G479">
        <v>2</v>
      </c>
      <c r="H479">
        <f t="shared" si="42"/>
        <v>3881.38</v>
      </c>
      <c r="I479">
        <f t="shared" si="46"/>
        <v>2817.14</v>
      </c>
      <c r="J479">
        <f t="shared" si="43"/>
        <v>1064.2400000000002</v>
      </c>
      <c r="K479" s="8">
        <f t="shared" si="44"/>
        <v>0.27419113820342256</v>
      </c>
      <c r="L479" t="str">
        <f t="shared" si="47"/>
        <v>2024-10</v>
      </c>
      <c r="M479">
        <f t="shared" si="45"/>
        <v>1064.2400000000002</v>
      </c>
    </row>
    <row r="480" spans="1:13" x14ac:dyDescent="0.25">
      <c r="A480" s="1">
        <v>45639</v>
      </c>
      <c r="B480" t="s">
        <v>21</v>
      </c>
      <c r="C480" t="s">
        <v>20</v>
      </c>
      <c r="D480" t="s">
        <v>9</v>
      </c>
      <c r="E480">
        <v>242.18</v>
      </c>
      <c r="F480">
        <v>193.76</v>
      </c>
      <c r="G480">
        <v>5</v>
      </c>
      <c r="H480">
        <f t="shared" si="42"/>
        <v>1210.9000000000001</v>
      </c>
      <c r="I480">
        <f t="shared" si="46"/>
        <v>968.8</v>
      </c>
      <c r="J480">
        <f t="shared" si="43"/>
        <v>242.10000000000014</v>
      </c>
      <c r="K480" s="8">
        <f t="shared" si="44"/>
        <v>0.19993393343793883</v>
      </c>
      <c r="L480" t="str">
        <f t="shared" si="47"/>
        <v>2024-12</v>
      </c>
      <c r="M480">
        <f t="shared" si="45"/>
        <v>242.10000000000014</v>
      </c>
    </row>
    <row r="481" spans="1:13" x14ac:dyDescent="0.25">
      <c r="A481" s="1">
        <v>45626</v>
      </c>
      <c r="B481" t="s">
        <v>19</v>
      </c>
      <c r="C481" t="s">
        <v>20</v>
      </c>
      <c r="D481" t="s">
        <v>17</v>
      </c>
      <c r="E481">
        <v>240.68</v>
      </c>
      <c r="F481">
        <v>188.08</v>
      </c>
      <c r="G481">
        <v>10</v>
      </c>
      <c r="H481">
        <f t="shared" si="42"/>
        <v>2406.8000000000002</v>
      </c>
      <c r="I481">
        <f t="shared" si="46"/>
        <v>1880.8000000000002</v>
      </c>
      <c r="J481">
        <f t="shared" si="43"/>
        <v>526</v>
      </c>
      <c r="K481" s="8">
        <f t="shared" si="44"/>
        <v>0.21854744889479805</v>
      </c>
      <c r="L481" t="str">
        <f t="shared" si="47"/>
        <v>2024-11</v>
      </c>
      <c r="M481">
        <f t="shared" si="45"/>
        <v>526</v>
      </c>
    </row>
    <row r="482" spans="1:13" x14ac:dyDescent="0.25">
      <c r="A482" s="1">
        <v>45174</v>
      </c>
      <c r="B482" t="s">
        <v>22</v>
      </c>
      <c r="C482" t="s">
        <v>8</v>
      </c>
      <c r="D482" t="s">
        <v>18</v>
      </c>
      <c r="E482">
        <v>75.48</v>
      </c>
      <c r="F482">
        <v>64.13</v>
      </c>
      <c r="G482">
        <v>6</v>
      </c>
      <c r="H482">
        <f t="shared" si="42"/>
        <v>452.88</v>
      </c>
      <c r="I482">
        <f t="shared" si="46"/>
        <v>384.78</v>
      </c>
      <c r="J482">
        <f t="shared" si="43"/>
        <v>68.100000000000023</v>
      </c>
      <c r="K482" s="8">
        <f t="shared" si="44"/>
        <v>0.15037095919448865</v>
      </c>
      <c r="L482" t="str">
        <f t="shared" si="47"/>
        <v>2023-09</v>
      </c>
      <c r="M482">
        <f t="shared" si="45"/>
        <v>68.100000000000023</v>
      </c>
    </row>
    <row r="483" spans="1:13" x14ac:dyDescent="0.25">
      <c r="A483" s="1">
        <v>45517</v>
      </c>
      <c r="B483" t="s">
        <v>16</v>
      </c>
      <c r="C483" t="s">
        <v>15</v>
      </c>
      <c r="D483" t="s">
        <v>9</v>
      </c>
      <c r="E483">
        <v>497</v>
      </c>
      <c r="F483">
        <v>273.5</v>
      </c>
      <c r="G483">
        <v>2</v>
      </c>
      <c r="H483">
        <f t="shared" si="42"/>
        <v>994</v>
      </c>
      <c r="I483">
        <f t="shared" si="46"/>
        <v>547</v>
      </c>
      <c r="J483">
        <f t="shared" si="43"/>
        <v>447</v>
      </c>
      <c r="K483" s="8">
        <f t="shared" si="44"/>
        <v>0.44969818913480886</v>
      </c>
      <c r="L483" t="str">
        <f t="shared" si="47"/>
        <v>2024-08</v>
      </c>
      <c r="M483">
        <f t="shared" si="45"/>
        <v>447</v>
      </c>
    </row>
    <row r="484" spans="1:13" x14ac:dyDescent="0.25">
      <c r="A484" s="1">
        <v>45247</v>
      </c>
      <c r="B484" t="s">
        <v>7</v>
      </c>
      <c r="C484" t="s">
        <v>8</v>
      </c>
      <c r="D484" t="s">
        <v>18</v>
      </c>
      <c r="E484">
        <v>309.58999999999997</v>
      </c>
      <c r="F484">
        <v>246.12</v>
      </c>
      <c r="G484">
        <v>7</v>
      </c>
      <c r="H484">
        <f t="shared" si="42"/>
        <v>2167.1299999999997</v>
      </c>
      <c r="I484">
        <f t="shared" si="46"/>
        <v>1722.8400000000001</v>
      </c>
      <c r="J484">
        <f t="shared" si="43"/>
        <v>444.28999999999951</v>
      </c>
      <c r="K484" s="8">
        <f t="shared" si="44"/>
        <v>0.20501308181788799</v>
      </c>
      <c r="L484" t="str">
        <f t="shared" si="47"/>
        <v>2023-11</v>
      </c>
      <c r="M484">
        <f t="shared" si="45"/>
        <v>444.28999999999951</v>
      </c>
    </row>
    <row r="485" spans="1:13" x14ac:dyDescent="0.25">
      <c r="A485" s="1">
        <v>44965</v>
      </c>
      <c r="B485" t="s">
        <v>19</v>
      </c>
      <c r="C485" t="s">
        <v>20</v>
      </c>
      <c r="D485" t="s">
        <v>9</v>
      </c>
      <c r="E485">
        <v>1304.93</v>
      </c>
      <c r="F485">
        <v>680.78</v>
      </c>
      <c r="G485">
        <v>7</v>
      </c>
      <c r="H485">
        <f t="shared" si="42"/>
        <v>9134.51</v>
      </c>
      <c r="I485">
        <f t="shared" si="46"/>
        <v>4765.46</v>
      </c>
      <c r="J485">
        <f t="shared" si="43"/>
        <v>4369.05</v>
      </c>
      <c r="K485" s="8">
        <f t="shared" si="44"/>
        <v>0.47830151808909294</v>
      </c>
      <c r="L485" t="str">
        <f t="shared" si="47"/>
        <v>2023-02</v>
      </c>
      <c r="M485">
        <f t="shared" si="45"/>
        <v>4369.05</v>
      </c>
    </row>
    <row r="486" spans="1:13" x14ac:dyDescent="0.25">
      <c r="A486" s="1">
        <v>45433</v>
      </c>
      <c r="B486" t="s">
        <v>19</v>
      </c>
      <c r="C486" t="s">
        <v>20</v>
      </c>
      <c r="D486" t="s">
        <v>13</v>
      </c>
      <c r="E486">
        <v>365.63</v>
      </c>
      <c r="F486">
        <v>320.54000000000002</v>
      </c>
      <c r="G486">
        <v>2</v>
      </c>
      <c r="H486">
        <f t="shared" si="42"/>
        <v>731.26</v>
      </c>
      <c r="I486">
        <f t="shared" si="46"/>
        <v>641.08000000000004</v>
      </c>
      <c r="J486">
        <f t="shared" si="43"/>
        <v>90.17999999999995</v>
      </c>
      <c r="K486" s="8">
        <f t="shared" si="44"/>
        <v>0.12332139047671137</v>
      </c>
      <c r="L486" t="str">
        <f t="shared" si="47"/>
        <v>2024-05</v>
      </c>
      <c r="M486">
        <f t="shared" si="45"/>
        <v>90.17999999999995</v>
      </c>
    </row>
    <row r="487" spans="1:13" x14ac:dyDescent="0.25">
      <c r="A487" s="1">
        <v>45004</v>
      </c>
      <c r="B487" t="s">
        <v>16</v>
      </c>
      <c r="C487" t="s">
        <v>15</v>
      </c>
      <c r="D487" t="s">
        <v>18</v>
      </c>
      <c r="E487">
        <v>1995.81</v>
      </c>
      <c r="F487">
        <v>1247.55</v>
      </c>
      <c r="G487">
        <v>9</v>
      </c>
      <c r="H487">
        <f t="shared" si="42"/>
        <v>17962.29</v>
      </c>
      <c r="I487">
        <f t="shared" si="46"/>
        <v>11227.949999999999</v>
      </c>
      <c r="J487">
        <f t="shared" si="43"/>
        <v>6734.340000000002</v>
      </c>
      <c r="K487" s="8">
        <f t="shared" si="44"/>
        <v>0.37491544786327363</v>
      </c>
      <c r="L487" t="str">
        <f t="shared" si="47"/>
        <v>2023-03</v>
      </c>
      <c r="M487">
        <f t="shared" si="45"/>
        <v>6734.340000000002</v>
      </c>
    </row>
    <row r="488" spans="1:13" x14ac:dyDescent="0.25">
      <c r="A488" s="1">
        <v>45153</v>
      </c>
      <c r="B488" t="s">
        <v>7</v>
      </c>
      <c r="C488" t="s">
        <v>8</v>
      </c>
      <c r="D488" t="s">
        <v>17</v>
      </c>
      <c r="E488">
        <v>1166.99</v>
      </c>
      <c r="F488">
        <v>964.42</v>
      </c>
      <c r="G488">
        <v>10</v>
      </c>
      <c r="H488">
        <f t="shared" si="42"/>
        <v>11669.9</v>
      </c>
      <c r="I488">
        <f t="shared" si="46"/>
        <v>9644.1999999999989</v>
      </c>
      <c r="J488">
        <f t="shared" si="43"/>
        <v>2025.7000000000007</v>
      </c>
      <c r="K488" s="8">
        <f t="shared" si="44"/>
        <v>0.17358332119384062</v>
      </c>
      <c r="L488" t="str">
        <f t="shared" si="47"/>
        <v>2023-08</v>
      </c>
      <c r="M488">
        <f t="shared" si="45"/>
        <v>2025.7000000000007</v>
      </c>
    </row>
    <row r="489" spans="1:13" x14ac:dyDescent="0.25">
      <c r="A489" s="1">
        <v>44660</v>
      </c>
      <c r="B489" t="s">
        <v>7</v>
      </c>
      <c r="C489" t="s">
        <v>8</v>
      </c>
      <c r="D489" t="s">
        <v>18</v>
      </c>
      <c r="E489">
        <v>1876.39</v>
      </c>
      <c r="F489">
        <v>1379.46</v>
      </c>
      <c r="G489">
        <v>1</v>
      </c>
      <c r="H489">
        <f t="shared" si="42"/>
        <v>1876.39</v>
      </c>
      <c r="I489">
        <f t="shared" si="46"/>
        <v>1379.46</v>
      </c>
      <c r="J489">
        <f t="shared" si="43"/>
        <v>496.93000000000006</v>
      </c>
      <c r="K489" s="8">
        <f t="shared" si="44"/>
        <v>0.26483300379984975</v>
      </c>
      <c r="L489" t="str">
        <f t="shared" si="47"/>
        <v>2022-04</v>
      </c>
      <c r="M489">
        <f t="shared" si="45"/>
        <v>496.93000000000006</v>
      </c>
    </row>
    <row r="490" spans="1:13" x14ac:dyDescent="0.25">
      <c r="A490" s="1">
        <v>45141</v>
      </c>
      <c r="B490" t="s">
        <v>22</v>
      </c>
      <c r="C490" t="s">
        <v>8</v>
      </c>
      <c r="D490" t="s">
        <v>9</v>
      </c>
      <c r="E490">
        <v>378.2</v>
      </c>
      <c r="F490">
        <v>307.07</v>
      </c>
      <c r="G490">
        <v>9</v>
      </c>
      <c r="H490">
        <f t="shared" si="42"/>
        <v>3403.7999999999997</v>
      </c>
      <c r="I490">
        <f t="shared" si="46"/>
        <v>2763.63</v>
      </c>
      <c r="J490">
        <f t="shared" si="43"/>
        <v>640.16999999999962</v>
      </c>
      <c r="K490" s="8">
        <f t="shared" si="44"/>
        <v>0.18807509254362761</v>
      </c>
      <c r="L490" t="str">
        <f t="shared" si="47"/>
        <v>2023-08</v>
      </c>
      <c r="M490">
        <f t="shared" si="45"/>
        <v>640.16999999999962</v>
      </c>
    </row>
    <row r="491" spans="1:13" x14ac:dyDescent="0.25">
      <c r="A491" s="1">
        <v>45572</v>
      </c>
      <c r="B491" t="s">
        <v>25</v>
      </c>
      <c r="C491" t="s">
        <v>15</v>
      </c>
      <c r="D491" t="s">
        <v>13</v>
      </c>
      <c r="E491">
        <v>1142.4100000000001</v>
      </c>
      <c r="F491">
        <v>726.29</v>
      </c>
      <c r="G491">
        <v>4</v>
      </c>
      <c r="H491">
        <f t="shared" si="42"/>
        <v>4569.6400000000003</v>
      </c>
      <c r="I491">
        <f t="shared" si="46"/>
        <v>2905.16</v>
      </c>
      <c r="J491">
        <f t="shared" si="43"/>
        <v>1664.4800000000005</v>
      </c>
      <c r="K491" s="8">
        <f t="shared" si="44"/>
        <v>0.36424751183900711</v>
      </c>
      <c r="L491" t="str">
        <f t="shared" si="47"/>
        <v>2024-10</v>
      </c>
      <c r="M491">
        <f t="shared" si="45"/>
        <v>1664.4800000000005</v>
      </c>
    </row>
    <row r="492" spans="1:13" x14ac:dyDescent="0.25">
      <c r="A492" s="1">
        <v>45458</v>
      </c>
      <c r="B492" t="s">
        <v>10</v>
      </c>
      <c r="C492" t="s">
        <v>11</v>
      </c>
      <c r="D492" t="s">
        <v>17</v>
      </c>
      <c r="E492">
        <v>1508.68</v>
      </c>
      <c r="F492">
        <v>1012.92</v>
      </c>
      <c r="G492">
        <v>2</v>
      </c>
      <c r="H492">
        <f t="shared" si="42"/>
        <v>3017.36</v>
      </c>
      <c r="I492">
        <f t="shared" si="46"/>
        <v>2025.84</v>
      </c>
      <c r="J492">
        <f t="shared" si="43"/>
        <v>991.52000000000021</v>
      </c>
      <c r="K492" s="8">
        <f t="shared" si="44"/>
        <v>0.32860513826656418</v>
      </c>
      <c r="L492" t="str">
        <f t="shared" si="47"/>
        <v>2024-06</v>
      </c>
      <c r="M492">
        <f t="shared" si="45"/>
        <v>991.52000000000021</v>
      </c>
    </row>
    <row r="493" spans="1:13" x14ac:dyDescent="0.25">
      <c r="A493" s="1">
        <v>45397</v>
      </c>
      <c r="B493" t="s">
        <v>23</v>
      </c>
      <c r="C493" t="s">
        <v>11</v>
      </c>
      <c r="D493" t="s">
        <v>18</v>
      </c>
      <c r="E493">
        <v>1444.8</v>
      </c>
      <c r="F493">
        <v>1237.43</v>
      </c>
      <c r="G493">
        <v>2</v>
      </c>
      <c r="H493">
        <f t="shared" si="42"/>
        <v>2889.6</v>
      </c>
      <c r="I493">
        <f t="shared" si="46"/>
        <v>2474.86</v>
      </c>
      <c r="J493">
        <f t="shared" si="43"/>
        <v>414.73999999999978</v>
      </c>
      <c r="K493" s="8">
        <f t="shared" si="44"/>
        <v>0.14352851605758576</v>
      </c>
      <c r="L493" t="str">
        <f t="shared" si="47"/>
        <v>2024-04</v>
      </c>
      <c r="M493">
        <f t="shared" si="45"/>
        <v>414.73999999999978</v>
      </c>
    </row>
    <row r="494" spans="1:13" x14ac:dyDescent="0.25">
      <c r="A494" s="1">
        <v>45321</v>
      </c>
      <c r="B494" t="s">
        <v>10</v>
      </c>
      <c r="C494" t="s">
        <v>11</v>
      </c>
      <c r="D494" t="s">
        <v>9</v>
      </c>
      <c r="E494">
        <v>1882.04</v>
      </c>
      <c r="F494">
        <v>1519.12</v>
      </c>
      <c r="G494">
        <v>7</v>
      </c>
      <c r="H494">
        <f t="shared" si="42"/>
        <v>13174.279999999999</v>
      </c>
      <c r="I494">
        <f t="shared" si="46"/>
        <v>10633.84</v>
      </c>
      <c r="J494">
        <f t="shared" si="43"/>
        <v>2540.4399999999987</v>
      </c>
      <c r="K494" s="8">
        <f t="shared" si="44"/>
        <v>0.1928333085375443</v>
      </c>
      <c r="L494" t="str">
        <f t="shared" si="47"/>
        <v>2024-01</v>
      </c>
      <c r="M494">
        <f t="shared" si="45"/>
        <v>2540.4399999999987</v>
      </c>
    </row>
    <row r="495" spans="1:13" x14ac:dyDescent="0.25">
      <c r="A495" s="1">
        <v>45467</v>
      </c>
      <c r="B495" t="s">
        <v>14</v>
      </c>
      <c r="C495" t="s">
        <v>15</v>
      </c>
      <c r="D495" t="s">
        <v>18</v>
      </c>
      <c r="E495">
        <v>1790.29</v>
      </c>
      <c r="F495">
        <v>1208.04</v>
      </c>
      <c r="G495">
        <v>2</v>
      </c>
      <c r="H495">
        <f t="shared" si="42"/>
        <v>3580.58</v>
      </c>
      <c r="I495">
        <f t="shared" si="46"/>
        <v>2416.08</v>
      </c>
      <c r="J495">
        <f t="shared" si="43"/>
        <v>1164.5</v>
      </c>
      <c r="K495" s="8">
        <f t="shared" si="44"/>
        <v>0.3252266392595613</v>
      </c>
      <c r="L495" t="str">
        <f t="shared" si="47"/>
        <v>2024-06</v>
      </c>
      <c r="M495">
        <f t="shared" si="45"/>
        <v>1164.5</v>
      </c>
    </row>
    <row r="496" spans="1:13" x14ac:dyDescent="0.25">
      <c r="A496" s="1">
        <v>44706</v>
      </c>
      <c r="B496" t="s">
        <v>7</v>
      </c>
      <c r="C496" t="s">
        <v>8</v>
      </c>
      <c r="D496" t="s">
        <v>13</v>
      </c>
      <c r="E496">
        <v>613.42999999999995</v>
      </c>
      <c r="F496">
        <v>350.58</v>
      </c>
      <c r="G496">
        <v>6</v>
      </c>
      <c r="H496">
        <f t="shared" si="42"/>
        <v>3680.58</v>
      </c>
      <c r="I496">
        <f t="shared" si="46"/>
        <v>2103.48</v>
      </c>
      <c r="J496">
        <f t="shared" si="43"/>
        <v>1577.1</v>
      </c>
      <c r="K496" s="8">
        <f t="shared" si="44"/>
        <v>0.42849224850431178</v>
      </c>
      <c r="L496" t="str">
        <f t="shared" si="47"/>
        <v>2022-05</v>
      </c>
      <c r="M496">
        <f t="shared" si="45"/>
        <v>1577.1</v>
      </c>
    </row>
    <row r="497" spans="1:13" x14ac:dyDescent="0.25">
      <c r="A497" s="1">
        <v>44774</v>
      </c>
      <c r="B497" t="s">
        <v>19</v>
      </c>
      <c r="C497" t="s">
        <v>20</v>
      </c>
      <c r="D497" t="s">
        <v>13</v>
      </c>
      <c r="E497">
        <v>589.66999999999996</v>
      </c>
      <c r="F497">
        <v>514.03</v>
      </c>
      <c r="G497">
        <v>4</v>
      </c>
      <c r="H497">
        <f t="shared" si="42"/>
        <v>2358.6799999999998</v>
      </c>
      <c r="I497">
        <f t="shared" si="46"/>
        <v>2056.12</v>
      </c>
      <c r="J497">
        <f t="shared" si="43"/>
        <v>302.55999999999995</v>
      </c>
      <c r="K497" s="8">
        <f t="shared" si="44"/>
        <v>0.12827513694100087</v>
      </c>
      <c r="L497" t="str">
        <f t="shared" si="47"/>
        <v>2022-08</v>
      </c>
      <c r="M497">
        <f t="shared" si="45"/>
        <v>302.55999999999995</v>
      </c>
    </row>
    <row r="498" spans="1:13" x14ac:dyDescent="0.25">
      <c r="A498" s="1">
        <v>45387</v>
      </c>
      <c r="B498" t="s">
        <v>22</v>
      </c>
      <c r="C498" t="s">
        <v>8</v>
      </c>
      <c r="D498" t="s">
        <v>18</v>
      </c>
      <c r="E498">
        <v>1002.73</v>
      </c>
      <c r="F498">
        <v>894.05</v>
      </c>
      <c r="G498">
        <v>9</v>
      </c>
      <c r="H498">
        <f t="shared" si="42"/>
        <v>9024.57</v>
      </c>
      <c r="I498">
        <f t="shared" si="46"/>
        <v>8046.45</v>
      </c>
      <c r="J498">
        <f t="shared" si="43"/>
        <v>978.11999999999989</v>
      </c>
      <c r="K498" s="8">
        <f t="shared" si="44"/>
        <v>0.10838411137594367</v>
      </c>
      <c r="L498" t="str">
        <f t="shared" si="47"/>
        <v>2024-04</v>
      </c>
      <c r="M498">
        <f t="shared" si="45"/>
        <v>978.11999999999989</v>
      </c>
    </row>
    <row r="499" spans="1:13" x14ac:dyDescent="0.25">
      <c r="A499" s="1">
        <v>45630</v>
      </c>
      <c r="B499" t="s">
        <v>23</v>
      </c>
      <c r="C499" t="s">
        <v>11</v>
      </c>
      <c r="D499" t="s">
        <v>9</v>
      </c>
      <c r="E499">
        <v>1931.71</v>
      </c>
      <c r="F499">
        <v>1305.8499999999999</v>
      </c>
      <c r="G499">
        <v>6</v>
      </c>
      <c r="H499">
        <f t="shared" si="42"/>
        <v>11590.26</v>
      </c>
      <c r="I499">
        <f t="shared" si="46"/>
        <v>7835.0999999999995</v>
      </c>
      <c r="J499">
        <f t="shared" si="43"/>
        <v>3755.1600000000008</v>
      </c>
      <c r="K499" s="8">
        <f t="shared" si="44"/>
        <v>0.32399273182827654</v>
      </c>
      <c r="L499" t="str">
        <f t="shared" si="47"/>
        <v>2024-12</v>
      </c>
      <c r="M499">
        <f t="shared" si="45"/>
        <v>3755.1600000000008</v>
      </c>
    </row>
    <row r="500" spans="1:13" x14ac:dyDescent="0.25">
      <c r="A500" s="1">
        <v>44614</v>
      </c>
      <c r="B500" t="s">
        <v>25</v>
      </c>
      <c r="C500" t="s">
        <v>15</v>
      </c>
      <c r="D500" t="s">
        <v>9</v>
      </c>
      <c r="E500">
        <v>1945.11</v>
      </c>
      <c r="F500">
        <v>1441.78</v>
      </c>
      <c r="G500">
        <v>4</v>
      </c>
      <c r="H500">
        <f t="shared" si="42"/>
        <v>7780.44</v>
      </c>
      <c r="I500">
        <f t="shared" si="46"/>
        <v>5767.12</v>
      </c>
      <c r="J500">
        <f t="shared" si="43"/>
        <v>2013.3199999999997</v>
      </c>
      <c r="K500" s="8">
        <f t="shared" si="44"/>
        <v>0.25876685637316138</v>
      </c>
      <c r="L500" t="str">
        <f t="shared" si="47"/>
        <v>2022-02</v>
      </c>
      <c r="M500">
        <f t="shared" si="45"/>
        <v>2013.3199999999997</v>
      </c>
    </row>
    <row r="501" spans="1:13" x14ac:dyDescent="0.25">
      <c r="A501" s="1">
        <v>44764</v>
      </c>
      <c r="B501" t="s">
        <v>19</v>
      </c>
      <c r="C501" t="s">
        <v>20</v>
      </c>
      <c r="D501" t="s">
        <v>9</v>
      </c>
      <c r="E501">
        <v>1458.87</v>
      </c>
      <c r="F501">
        <v>971.72</v>
      </c>
      <c r="G501">
        <v>9</v>
      </c>
      <c r="H501">
        <f t="shared" si="42"/>
        <v>13129.829999999998</v>
      </c>
      <c r="I501">
        <f t="shared" si="46"/>
        <v>8745.48</v>
      </c>
      <c r="J501">
        <f t="shared" si="43"/>
        <v>4384.3499999999985</v>
      </c>
      <c r="K501" s="8">
        <f t="shared" si="44"/>
        <v>0.33392283068402251</v>
      </c>
      <c r="L501" t="str">
        <f t="shared" si="47"/>
        <v>2022-07</v>
      </c>
      <c r="M501">
        <f t="shared" si="45"/>
        <v>4384.3499999999985</v>
      </c>
    </row>
    <row r="502" spans="1:13" x14ac:dyDescent="0.25">
      <c r="A502" s="1">
        <v>45594</v>
      </c>
      <c r="B502" t="s">
        <v>22</v>
      </c>
      <c r="C502" t="s">
        <v>8</v>
      </c>
      <c r="D502" t="s">
        <v>9</v>
      </c>
      <c r="E502">
        <v>94.3</v>
      </c>
      <c r="F502">
        <v>73.53</v>
      </c>
      <c r="G502">
        <v>7</v>
      </c>
      <c r="H502">
        <f t="shared" si="42"/>
        <v>660.1</v>
      </c>
      <c r="I502">
        <f t="shared" si="46"/>
        <v>514.71</v>
      </c>
      <c r="J502">
        <f t="shared" si="43"/>
        <v>145.38999999999999</v>
      </c>
      <c r="K502" s="8">
        <f t="shared" si="44"/>
        <v>0.220254506892895</v>
      </c>
      <c r="L502" t="str">
        <f t="shared" si="47"/>
        <v>2024-10</v>
      </c>
      <c r="M502">
        <f t="shared" si="45"/>
        <v>145.38999999999999</v>
      </c>
    </row>
    <row r="503" spans="1:13" x14ac:dyDescent="0.25">
      <c r="A503" s="1">
        <v>44670</v>
      </c>
      <c r="B503" t="s">
        <v>7</v>
      </c>
      <c r="C503" t="s">
        <v>8</v>
      </c>
      <c r="D503" t="s">
        <v>9</v>
      </c>
      <c r="E503">
        <v>1617.92</v>
      </c>
      <c r="F503">
        <v>1323.37</v>
      </c>
      <c r="G503">
        <v>7</v>
      </c>
      <c r="H503">
        <f t="shared" si="42"/>
        <v>11325.44</v>
      </c>
      <c r="I503">
        <f t="shared" si="46"/>
        <v>9263.59</v>
      </c>
      <c r="J503">
        <f t="shared" si="43"/>
        <v>2061.8500000000004</v>
      </c>
      <c r="K503" s="8">
        <f t="shared" si="44"/>
        <v>0.18205473694620256</v>
      </c>
      <c r="L503" t="str">
        <f t="shared" si="47"/>
        <v>2022-04</v>
      </c>
      <c r="M503">
        <f t="shared" si="45"/>
        <v>2061.8500000000004</v>
      </c>
    </row>
    <row r="504" spans="1:13" x14ac:dyDescent="0.25">
      <c r="A504" s="1">
        <v>45290</v>
      </c>
      <c r="B504" t="s">
        <v>12</v>
      </c>
      <c r="C504" t="s">
        <v>8</v>
      </c>
      <c r="D504" t="s">
        <v>13</v>
      </c>
      <c r="E504">
        <v>1809.93</v>
      </c>
      <c r="F504">
        <v>1463.6</v>
      </c>
      <c r="G504">
        <v>1</v>
      </c>
      <c r="H504">
        <f t="shared" si="42"/>
        <v>1809.93</v>
      </c>
      <c r="I504">
        <f t="shared" si="46"/>
        <v>1463.6</v>
      </c>
      <c r="J504">
        <f t="shared" si="43"/>
        <v>346.33000000000015</v>
      </c>
      <c r="K504" s="8">
        <f t="shared" si="44"/>
        <v>0.19134994171045297</v>
      </c>
      <c r="L504" t="str">
        <f t="shared" si="47"/>
        <v>2023-12</v>
      </c>
      <c r="M504">
        <f t="shared" si="45"/>
        <v>346.33000000000015</v>
      </c>
    </row>
    <row r="505" spans="1:13" x14ac:dyDescent="0.25">
      <c r="A505" s="1">
        <v>45209</v>
      </c>
      <c r="B505" t="s">
        <v>22</v>
      </c>
      <c r="C505" t="s">
        <v>8</v>
      </c>
      <c r="D505" t="s">
        <v>13</v>
      </c>
      <c r="E505">
        <v>96.89</v>
      </c>
      <c r="F505">
        <v>52.63</v>
      </c>
      <c r="G505">
        <v>2</v>
      </c>
      <c r="H505">
        <f t="shared" si="42"/>
        <v>193.78</v>
      </c>
      <c r="I505">
        <f t="shared" si="46"/>
        <v>105.26</v>
      </c>
      <c r="J505">
        <f t="shared" si="43"/>
        <v>88.52</v>
      </c>
      <c r="K505" s="8">
        <f t="shared" si="44"/>
        <v>0.45680668799669727</v>
      </c>
      <c r="L505" t="str">
        <f t="shared" si="47"/>
        <v>2023-10</v>
      </c>
      <c r="M505">
        <f t="shared" si="45"/>
        <v>88.52</v>
      </c>
    </row>
    <row r="506" spans="1:13" x14ac:dyDescent="0.25">
      <c r="A506" s="1">
        <v>45606</v>
      </c>
      <c r="B506" t="s">
        <v>22</v>
      </c>
      <c r="C506" t="s">
        <v>8</v>
      </c>
      <c r="D506" t="s">
        <v>17</v>
      </c>
      <c r="E506">
        <v>203.19</v>
      </c>
      <c r="F506">
        <v>151.13</v>
      </c>
      <c r="G506">
        <v>2</v>
      </c>
      <c r="H506">
        <f t="shared" si="42"/>
        <v>406.38</v>
      </c>
      <c r="I506">
        <f t="shared" si="46"/>
        <v>302.26</v>
      </c>
      <c r="J506">
        <f t="shared" si="43"/>
        <v>104.12</v>
      </c>
      <c r="K506" s="8">
        <f t="shared" si="44"/>
        <v>0.2562133963285595</v>
      </c>
      <c r="L506" t="str">
        <f t="shared" si="47"/>
        <v>2024-11</v>
      </c>
      <c r="M506">
        <f t="shared" si="45"/>
        <v>104.12</v>
      </c>
    </row>
    <row r="507" spans="1:13" x14ac:dyDescent="0.25">
      <c r="A507" s="1">
        <v>45527</v>
      </c>
      <c r="B507" t="s">
        <v>12</v>
      </c>
      <c r="C507" t="s">
        <v>8</v>
      </c>
      <c r="D507" t="s">
        <v>13</v>
      </c>
      <c r="E507">
        <v>1181.06</v>
      </c>
      <c r="F507">
        <v>931.47</v>
      </c>
      <c r="G507">
        <v>10</v>
      </c>
      <c r="H507">
        <f t="shared" si="42"/>
        <v>11810.599999999999</v>
      </c>
      <c r="I507">
        <f t="shared" si="46"/>
        <v>9314.7000000000007</v>
      </c>
      <c r="J507">
        <f t="shared" si="43"/>
        <v>2495.8999999999978</v>
      </c>
      <c r="K507" s="8">
        <f t="shared" si="44"/>
        <v>0.21132711293245035</v>
      </c>
      <c r="L507" t="str">
        <f t="shared" si="47"/>
        <v>2024-08</v>
      </c>
      <c r="M507">
        <f t="shared" si="45"/>
        <v>2495.8999999999978</v>
      </c>
    </row>
    <row r="508" spans="1:13" x14ac:dyDescent="0.25">
      <c r="A508" s="1">
        <v>45377</v>
      </c>
      <c r="B508" t="s">
        <v>22</v>
      </c>
      <c r="C508" t="s">
        <v>8</v>
      </c>
      <c r="D508" t="s">
        <v>13</v>
      </c>
      <c r="E508">
        <v>374.85</v>
      </c>
      <c r="F508">
        <v>316.67</v>
      </c>
      <c r="G508">
        <v>8</v>
      </c>
      <c r="H508">
        <f t="shared" si="42"/>
        <v>2998.8</v>
      </c>
      <c r="I508">
        <f t="shared" si="46"/>
        <v>2533.36</v>
      </c>
      <c r="J508">
        <f t="shared" si="43"/>
        <v>465.44000000000005</v>
      </c>
      <c r="K508" s="8">
        <f t="shared" si="44"/>
        <v>0.15520875016673336</v>
      </c>
      <c r="L508" t="str">
        <f t="shared" si="47"/>
        <v>2024-03</v>
      </c>
      <c r="M508">
        <f t="shared" si="45"/>
        <v>465.44000000000005</v>
      </c>
    </row>
    <row r="509" spans="1:13" x14ac:dyDescent="0.25">
      <c r="A509" s="1">
        <v>45123</v>
      </c>
      <c r="B509" t="s">
        <v>22</v>
      </c>
      <c r="C509" t="s">
        <v>8</v>
      </c>
      <c r="D509" t="s">
        <v>9</v>
      </c>
      <c r="E509">
        <v>841.75</v>
      </c>
      <c r="F509">
        <v>683.89</v>
      </c>
      <c r="G509">
        <v>6</v>
      </c>
      <c r="H509">
        <f t="shared" si="42"/>
        <v>5050.5</v>
      </c>
      <c r="I509">
        <f t="shared" si="46"/>
        <v>4103.34</v>
      </c>
      <c r="J509">
        <f t="shared" si="43"/>
        <v>947.15999999999985</v>
      </c>
      <c r="K509" s="8">
        <f t="shared" si="44"/>
        <v>0.1875378675378675</v>
      </c>
      <c r="L509" t="str">
        <f t="shared" si="47"/>
        <v>2023-07</v>
      </c>
      <c r="M509">
        <f t="shared" si="45"/>
        <v>947.15999999999985</v>
      </c>
    </row>
    <row r="510" spans="1:13" x14ac:dyDescent="0.25">
      <c r="A510" s="1">
        <v>44576</v>
      </c>
      <c r="B510" t="s">
        <v>19</v>
      </c>
      <c r="C510" t="s">
        <v>20</v>
      </c>
      <c r="D510" t="s">
        <v>9</v>
      </c>
      <c r="E510">
        <v>1360.15</v>
      </c>
      <c r="F510">
        <v>879.58</v>
      </c>
      <c r="G510">
        <v>8</v>
      </c>
      <c r="H510">
        <f t="shared" si="42"/>
        <v>10881.2</v>
      </c>
      <c r="I510">
        <f t="shared" si="46"/>
        <v>7036.64</v>
      </c>
      <c r="J510">
        <f t="shared" si="43"/>
        <v>3844.5600000000004</v>
      </c>
      <c r="K510" s="8">
        <f t="shared" si="44"/>
        <v>0.35332132485387641</v>
      </c>
      <c r="L510" t="str">
        <f t="shared" si="47"/>
        <v>2022-01</v>
      </c>
      <c r="M510">
        <f t="shared" si="45"/>
        <v>3844.5600000000004</v>
      </c>
    </row>
    <row r="511" spans="1:13" x14ac:dyDescent="0.25">
      <c r="A511" s="1">
        <v>45113</v>
      </c>
      <c r="B511" t="s">
        <v>19</v>
      </c>
      <c r="C511" t="s">
        <v>20</v>
      </c>
      <c r="D511" t="s">
        <v>18</v>
      </c>
      <c r="E511">
        <v>1071.72</v>
      </c>
      <c r="F511">
        <v>652.42999999999995</v>
      </c>
      <c r="G511">
        <v>4</v>
      </c>
      <c r="H511">
        <f t="shared" si="42"/>
        <v>4286.88</v>
      </c>
      <c r="I511">
        <f t="shared" si="46"/>
        <v>2609.7199999999998</v>
      </c>
      <c r="J511">
        <f t="shared" si="43"/>
        <v>1677.1600000000003</v>
      </c>
      <c r="K511" s="8">
        <f t="shared" si="44"/>
        <v>0.39123091852349501</v>
      </c>
      <c r="L511" t="str">
        <f t="shared" si="47"/>
        <v>2023-07</v>
      </c>
      <c r="M511">
        <f t="shared" si="45"/>
        <v>1677.1600000000003</v>
      </c>
    </row>
    <row r="512" spans="1:13" x14ac:dyDescent="0.25">
      <c r="A512" s="1">
        <v>44801</v>
      </c>
      <c r="B512" t="s">
        <v>21</v>
      </c>
      <c r="C512" t="s">
        <v>20</v>
      </c>
      <c r="D512" t="s">
        <v>13</v>
      </c>
      <c r="E512">
        <v>1659.47</v>
      </c>
      <c r="F512">
        <v>1441.43</v>
      </c>
      <c r="G512">
        <v>5</v>
      </c>
      <c r="H512">
        <f t="shared" si="42"/>
        <v>8297.35</v>
      </c>
      <c r="I512">
        <f t="shared" si="46"/>
        <v>7207.1500000000005</v>
      </c>
      <c r="J512">
        <f t="shared" si="43"/>
        <v>1090.1999999999998</v>
      </c>
      <c r="K512" s="8">
        <f t="shared" si="44"/>
        <v>0.13139134783997297</v>
      </c>
      <c r="L512" t="str">
        <f t="shared" si="47"/>
        <v>2022-08</v>
      </c>
      <c r="M512">
        <f t="shared" si="45"/>
        <v>1090.1999999999998</v>
      </c>
    </row>
    <row r="513" spans="1:13" x14ac:dyDescent="0.25">
      <c r="A513" s="1">
        <v>45475</v>
      </c>
      <c r="B513" t="s">
        <v>10</v>
      </c>
      <c r="C513" t="s">
        <v>11</v>
      </c>
      <c r="D513" t="s">
        <v>17</v>
      </c>
      <c r="E513">
        <v>1619.02</v>
      </c>
      <c r="F513">
        <v>1442.73</v>
      </c>
      <c r="G513">
        <v>5</v>
      </c>
      <c r="H513">
        <f t="shared" si="42"/>
        <v>8095.1</v>
      </c>
      <c r="I513">
        <f t="shared" si="46"/>
        <v>7213.65</v>
      </c>
      <c r="J513">
        <f t="shared" si="43"/>
        <v>881.45000000000073</v>
      </c>
      <c r="K513" s="8">
        <f t="shared" si="44"/>
        <v>0.10888685748168654</v>
      </c>
      <c r="L513" t="str">
        <f t="shared" si="47"/>
        <v>2024-07</v>
      </c>
      <c r="M513">
        <f t="shared" si="45"/>
        <v>881.45000000000073</v>
      </c>
    </row>
    <row r="514" spans="1:13" x14ac:dyDescent="0.25">
      <c r="A514" s="1">
        <v>44572</v>
      </c>
      <c r="B514" t="s">
        <v>10</v>
      </c>
      <c r="C514" t="s">
        <v>11</v>
      </c>
      <c r="D514" t="s">
        <v>9</v>
      </c>
      <c r="E514">
        <v>561.6</v>
      </c>
      <c r="F514">
        <v>424.2</v>
      </c>
      <c r="G514">
        <v>6</v>
      </c>
      <c r="H514">
        <f t="shared" si="42"/>
        <v>3369.6000000000004</v>
      </c>
      <c r="I514">
        <f t="shared" si="46"/>
        <v>2545.1999999999998</v>
      </c>
      <c r="J514">
        <f t="shared" si="43"/>
        <v>824.40000000000055</v>
      </c>
      <c r="K514" s="8">
        <f t="shared" si="44"/>
        <v>0.24465811965811979</v>
      </c>
      <c r="L514" t="str">
        <f t="shared" si="47"/>
        <v>2022-01</v>
      </c>
      <c r="M514">
        <f t="shared" si="45"/>
        <v>824.40000000000055</v>
      </c>
    </row>
    <row r="515" spans="1:13" x14ac:dyDescent="0.25">
      <c r="A515" s="1">
        <v>44864</v>
      </c>
      <c r="B515" t="s">
        <v>16</v>
      </c>
      <c r="C515" t="s">
        <v>15</v>
      </c>
      <c r="D515" t="s">
        <v>18</v>
      </c>
      <c r="E515">
        <v>857.89</v>
      </c>
      <c r="F515">
        <v>557.32000000000005</v>
      </c>
      <c r="G515">
        <v>6</v>
      </c>
      <c r="H515">
        <f t="shared" ref="H515:H578" si="48">E515*G515</f>
        <v>5147.34</v>
      </c>
      <c r="I515">
        <f t="shared" si="46"/>
        <v>3343.92</v>
      </c>
      <c r="J515">
        <f t="shared" ref="J515:J578" si="49">H515-I515</f>
        <v>1803.42</v>
      </c>
      <c r="K515" s="8">
        <f t="shared" ref="K515:K578" si="50">(H515-I515)/H515</f>
        <v>0.35035960321253307</v>
      </c>
      <c r="L515" t="str">
        <f t="shared" si="47"/>
        <v>2022-10</v>
      </c>
      <c r="M515">
        <f t="shared" ref="M515:M578" si="51">H515-I515</f>
        <v>1803.42</v>
      </c>
    </row>
    <row r="516" spans="1:13" x14ac:dyDescent="0.25">
      <c r="A516" s="1">
        <v>45475</v>
      </c>
      <c r="B516" t="s">
        <v>7</v>
      </c>
      <c r="C516" t="s">
        <v>8</v>
      </c>
      <c r="D516" t="s">
        <v>9</v>
      </c>
      <c r="E516">
        <v>1424.8</v>
      </c>
      <c r="F516">
        <v>1230.42</v>
      </c>
      <c r="G516">
        <v>1</v>
      </c>
      <c r="H516">
        <f t="shared" si="48"/>
        <v>1424.8</v>
      </c>
      <c r="I516">
        <f t="shared" ref="I516:I579" si="52">F516*G516</f>
        <v>1230.42</v>
      </c>
      <c r="J516">
        <f t="shared" si="49"/>
        <v>194.37999999999988</v>
      </c>
      <c r="K516" s="8">
        <f t="shared" si="50"/>
        <v>0.13642616507580002</v>
      </c>
      <c r="L516" t="str">
        <f t="shared" ref="L516:L579" si="53">TEXT(A516,"rrrr-mm")</f>
        <v>2024-07</v>
      </c>
      <c r="M516">
        <f t="shared" si="51"/>
        <v>194.37999999999988</v>
      </c>
    </row>
    <row r="517" spans="1:13" x14ac:dyDescent="0.25">
      <c r="A517" s="1">
        <v>45509</v>
      </c>
      <c r="B517" t="s">
        <v>23</v>
      </c>
      <c r="C517" t="s">
        <v>11</v>
      </c>
      <c r="D517" t="s">
        <v>9</v>
      </c>
      <c r="E517">
        <v>922.78</v>
      </c>
      <c r="F517">
        <v>791.62</v>
      </c>
      <c r="G517">
        <v>2</v>
      </c>
      <c r="H517">
        <f t="shared" si="48"/>
        <v>1845.56</v>
      </c>
      <c r="I517">
        <f t="shared" si="52"/>
        <v>1583.24</v>
      </c>
      <c r="J517">
        <f t="shared" si="49"/>
        <v>262.31999999999994</v>
      </c>
      <c r="K517" s="8">
        <f t="shared" si="50"/>
        <v>0.14213572032337066</v>
      </c>
      <c r="L517" t="str">
        <f t="shared" si="53"/>
        <v>2024-08</v>
      </c>
      <c r="M517">
        <f t="shared" si="51"/>
        <v>262.31999999999994</v>
      </c>
    </row>
    <row r="518" spans="1:13" x14ac:dyDescent="0.25">
      <c r="A518" s="1">
        <v>45174</v>
      </c>
      <c r="B518" t="s">
        <v>16</v>
      </c>
      <c r="C518" t="s">
        <v>15</v>
      </c>
      <c r="D518" t="s">
        <v>13</v>
      </c>
      <c r="E518">
        <v>567.42999999999995</v>
      </c>
      <c r="F518">
        <v>480.37</v>
      </c>
      <c r="G518">
        <v>5</v>
      </c>
      <c r="H518">
        <f t="shared" si="48"/>
        <v>2837.1499999999996</v>
      </c>
      <c r="I518">
        <f t="shared" si="52"/>
        <v>2401.85</v>
      </c>
      <c r="J518">
        <f t="shared" si="49"/>
        <v>435.29999999999973</v>
      </c>
      <c r="K518" s="8">
        <f t="shared" si="50"/>
        <v>0.15342861674567781</v>
      </c>
      <c r="L518" t="str">
        <f t="shared" si="53"/>
        <v>2023-09</v>
      </c>
      <c r="M518">
        <f t="shared" si="51"/>
        <v>435.29999999999973</v>
      </c>
    </row>
    <row r="519" spans="1:13" x14ac:dyDescent="0.25">
      <c r="A519" s="1">
        <v>44930</v>
      </c>
      <c r="B519" t="s">
        <v>19</v>
      </c>
      <c r="C519" t="s">
        <v>20</v>
      </c>
      <c r="D519" t="s">
        <v>18</v>
      </c>
      <c r="E519">
        <v>1233.98</v>
      </c>
      <c r="F519">
        <v>1040.94</v>
      </c>
      <c r="G519">
        <v>9</v>
      </c>
      <c r="H519">
        <f t="shared" si="48"/>
        <v>11105.82</v>
      </c>
      <c r="I519">
        <f t="shared" si="52"/>
        <v>9368.4600000000009</v>
      </c>
      <c r="J519">
        <f t="shared" si="49"/>
        <v>1737.3599999999988</v>
      </c>
      <c r="K519" s="8">
        <f t="shared" si="50"/>
        <v>0.1564368952495177</v>
      </c>
      <c r="L519" t="str">
        <f t="shared" si="53"/>
        <v>2023-01</v>
      </c>
      <c r="M519">
        <f t="shared" si="51"/>
        <v>1737.3599999999988</v>
      </c>
    </row>
    <row r="520" spans="1:13" x14ac:dyDescent="0.25">
      <c r="A520" s="1">
        <v>44613</v>
      </c>
      <c r="B520" t="s">
        <v>23</v>
      </c>
      <c r="C520" t="s">
        <v>11</v>
      </c>
      <c r="D520" t="s">
        <v>17</v>
      </c>
      <c r="E520">
        <v>1123.28</v>
      </c>
      <c r="F520">
        <v>659.38</v>
      </c>
      <c r="G520">
        <v>10</v>
      </c>
      <c r="H520">
        <f t="shared" si="48"/>
        <v>11232.8</v>
      </c>
      <c r="I520">
        <f t="shared" si="52"/>
        <v>6593.8</v>
      </c>
      <c r="J520">
        <f t="shared" si="49"/>
        <v>4638.9999999999991</v>
      </c>
      <c r="K520" s="8">
        <f t="shared" si="50"/>
        <v>0.41298696674026059</v>
      </c>
      <c r="L520" t="str">
        <f t="shared" si="53"/>
        <v>2022-02</v>
      </c>
      <c r="M520">
        <f t="shared" si="51"/>
        <v>4638.9999999999991</v>
      </c>
    </row>
    <row r="521" spans="1:13" x14ac:dyDescent="0.25">
      <c r="A521" s="1">
        <v>45579</v>
      </c>
      <c r="B521" t="s">
        <v>7</v>
      </c>
      <c r="C521" t="s">
        <v>8</v>
      </c>
      <c r="D521" t="s">
        <v>18</v>
      </c>
      <c r="E521">
        <v>883.04</v>
      </c>
      <c r="F521">
        <v>447.73</v>
      </c>
      <c r="G521">
        <v>9</v>
      </c>
      <c r="H521">
        <f t="shared" si="48"/>
        <v>7947.36</v>
      </c>
      <c r="I521">
        <f t="shared" si="52"/>
        <v>4029.57</v>
      </c>
      <c r="J521">
        <f t="shared" si="49"/>
        <v>3917.7899999999995</v>
      </c>
      <c r="K521" s="8">
        <f t="shared" si="50"/>
        <v>0.4929674759920275</v>
      </c>
      <c r="L521" t="str">
        <f t="shared" si="53"/>
        <v>2024-10</v>
      </c>
      <c r="M521">
        <f t="shared" si="51"/>
        <v>3917.7899999999995</v>
      </c>
    </row>
    <row r="522" spans="1:13" x14ac:dyDescent="0.25">
      <c r="A522" s="1">
        <v>44797</v>
      </c>
      <c r="B522" t="s">
        <v>10</v>
      </c>
      <c r="C522" t="s">
        <v>11</v>
      </c>
      <c r="D522" t="s">
        <v>17</v>
      </c>
      <c r="E522">
        <v>370.48</v>
      </c>
      <c r="F522">
        <v>248.81</v>
      </c>
      <c r="G522">
        <v>10</v>
      </c>
      <c r="H522">
        <f t="shared" si="48"/>
        <v>3704.8</v>
      </c>
      <c r="I522">
        <f t="shared" si="52"/>
        <v>2488.1</v>
      </c>
      <c r="J522">
        <f t="shared" si="49"/>
        <v>1216.7000000000003</v>
      </c>
      <c r="K522" s="8">
        <f t="shared" si="50"/>
        <v>0.32841179011012744</v>
      </c>
      <c r="L522" t="str">
        <f t="shared" si="53"/>
        <v>2022-08</v>
      </c>
      <c r="M522">
        <f t="shared" si="51"/>
        <v>1216.7000000000003</v>
      </c>
    </row>
    <row r="523" spans="1:13" x14ac:dyDescent="0.25">
      <c r="A523" s="1">
        <v>44835</v>
      </c>
      <c r="B523" t="s">
        <v>24</v>
      </c>
      <c r="C523" t="s">
        <v>20</v>
      </c>
      <c r="D523" t="s">
        <v>9</v>
      </c>
      <c r="E523">
        <v>792.35</v>
      </c>
      <c r="F523">
        <v>440.26</v>
      </c>
      <c r="G523">
        <v>5</v>
      </c>
      <c r="H523">
        <f t="shared" si="48"/>
        <v>3961.75</v>
      </c>
      <c r="I523">
        <f t="shared" si="52"/>
        <v>2201.3000000000002</v>
      </c>
      <c r="J523">
        <f t="shared" si="49"/>
        <v>1760.4499999999998</v>
      </c>
      <c r="K523" s="8">
        <f t="shared" si="50"/>
        <v>0.44436170884079002</v>
      </c>
      <c r="L523" t="str">
        <f t="shared" si="53"/>
        <v>2022-10</v>
      </c>
      <c r="M523">
        <f t="shared" si="51"/>
        <v>1760.4499999999998</v>
      </c>
    </row>
    <row r="524" spans="1:13" x14ac:dyDescent="0.25">
      <c r="A524" s="1">
        <v>45058</v>
      </c>
      <c r="B524" t="s">
        <v>12</v>
      </c>
      <c r="C524" t="s">
        <v>8</v>
      </c>
      <c r="D524" t="s">
        <v>13</v>
      </c>
      <c r="E524">
        <v>1801.97</v>
      </c>
      <c r="F524">
        <v>1197.23</v>
      </c>
      <c r="G524">
        <v>10</v>
      </c>
      <c r="H524">
        <f t="shared" si="48"/>
        <v>18019.7</v>
      </c>
      <c r="I524">
        <f t="shared" si="52"/>
        <v>11972.3</v>
      </c>
      <c r="J524">
        <f t="shared" si="49"/>
        <v>6047.4000000000015</v>
      </c>
      <c r="K524" s="8">
        <f t="shared" si="50"/>
        <v>0.33559937179864269</v>
      </c>
      <c r="L524" t="str">
        <f t="shared" si="53"/>
        <v>2023-05</v>
      </c>
      <c r="M524">
        <f t="shared" si="51"/>
        <v>6047.4000000000015</v>
      </c>
    </row>
    <row r="525" spans="1:13" x14ac:dyDescent="0.25">
      <c r="A525" s="1">
        <v>44925</v>
      </c>
      <c r="B525" t="s">
        <v>25</v>
      </c>
      <c r="C525" t="s">
        <v>15</v>
      </c>
      <c r="D525" t="s">
        <v>17</v>
      </c>
      <c r="E525">
        <v>1594.16</v>
      </c>
      <c r="F525">
        <v>1134.1099999999999</v>
      </c>
      <c r="G525">
        <v>3</v>
      </c>
      <c r="H525">
        <f t="shared" si="48"/>
        <v>4782.4800000000005</v>
      </c>
      <c r="I525">
        <f t="shared" si="52"/>
        <v>3402.33</v>
      </c>
      <c r="J525">
        <f t="shared" si="49"/>
        <v>1380.1500000000005</v>
      </c>
      <c r="K525" s="8">
        <f t="shared" si="50"/>
        <v>0.28858458373061685</v>
      </c>
      <c r="L525" t="str">
        <f t="shared" si="53"/>
        <v>2022-12</v>
      </c>
      <c r="M525">
        <f t="shared" si="51"/>
        <v>1380.1500000000005</v>
      </c>
    </row>
    <row r="526" spans="1:13" x14ac:dyDescent="0.25">
      <c r="A526" s="1">
        <v>45296</v>
      </c>
      <c r="B526" t="s">
        <v>22</v>
      </c>
      <c r="C526" t="s">
        <v>8</v>
      </c>
      <c r="D526" t="s">
        <v>9</v>
      </c>
      <c r="E526">
        <v>1487.62</v>
      </c>
      <c r="F526">
        <v>1160.6400000000001</v>
      </c>
      <c r="G526">
        <v>10</v>
      </c>
      <c r="H526">
        <f t="shared" si="48"/>
        <v>14876.199999999999</v>
      </c>
      <c r="I526">
        <f t="shared" si="52"/>
        <v>11606.400000000001</v>
      </c>
      <c r="J526">
        <f t="shared" si="49"/>
        <v>3269.7999999999975</v>
      </c>
      <c r="K526" s="8">
        <f t="shared" si="50"/>
        <v>0.21980075556929846</v>
      </c>
      <c r="L526" t="str">
        <f t="shared" si="53"/>
        <v>2024-01</v>
      </c>
      <c r="M526">
        <f t="shared" si="51"/>
        <v>3269.7999999999975</v>
      </c>
    </row>
    <row r="527" spans="1:13" x14ac:dyDescent="0.25">
      <c r="A527" s="1">
        <v>45256</v>
      </c>
      <c r="B527" t="s">
        <v>23</v>
      </c>
      <c r="C527" t="s">
        <v>11</v>
      </c>
      <c r="D527" t="s">
        <v>17</v>
      </c>
      <c r="E527">
        <v>1522.68</v>
      </c>
      <c r="F527">
        <v>1136.25</v>
      </c>
      <c r="G527">
        <v>9</v>
      </c>
      <c r="H527">
        <f t="shared" si="48"/>
        <v>13704.12</v>
      </c>
      <c r="I527">
        <f t="shared" si="52"/>
        <v>10226.25</v>
      </c>
      <c r="J527">
        <f t="shared" si="49"/>
        <v>3477.8700000000008</v>
      </c>
      <c r="K527" s="8">
        <f t="shared" si="50"/>
        <v>0.25378280400346759</v>
      </c>
      <c r="L527" t="str">
        <f t="shared" si="53"/>
        <v>2023-11</v>
      </c>
      <c r="M527">
        <f t="shared" si="51"/>
        <v>3477.8700000000008</v>
      </c>
    </row>
    <row r="528" spans="1:13" x14ac:dyDescent="0.25">
      <c r="A528" s="1">
        <v>44988</v>
      </c>
      <c r="B528" t="s">
        <v>14</v>
      </c>
      <c r="C528" t="s">
        <v>15</v>
      </c>
      <c r="D528" t="s">
        <v>9</v>
      </c>
      <c r="E528">
        <v>563.84</v>
      </c>
      <c r="F528">
        <v>308.77</v>
      </c>
      <c r="G528">
        <v>3</v>
      </c>
      <c r="H528">
        <f t="shared" si="48"/>
        <v>1691.52</v>
      </c>
      <c r="I528">
        <f t="shared" si="52"/>
        <v>926.31</v>
      </c>
      <c r="J528">
        <f t="shared" si="49"/>
        <v>765.21</v>
      </c>
      <c r="K528" s="8">
        <f t="shared" si="50"/>
        <v>0.4523801078320091</v>
      </c>
      <c r="L528" t="str">
        <f t="shared" si="53"/>
        <v>2023-03</v>
      </c>
      <c r="M528">
        <f t="shared" si="51"/>
        <v>765.21</v>
      </c>
    </row>
    <row r="529" spans="1:13" x14ac:dyDescent="0.25">
      <c r="A529" s="1">
        <v>45162</v>
      </c>
      <c r="B529" t="s">
        <v>25</v>
      </c>
      <c r="C529" t="s">
        <v>15</v>
      </c>
      <c r="D529" t="s">
        <v>17</v>
      </c>
      <c r="E529">
        <v>836.79</v>
      </c>
      <c r="F529">
        <v>490.42</v>
      </c>
      <c r="G529">
        <v>8</v>
      </c>
      <c r="H529">
        <f t="shared" si="48"/>
        <v>6694.32</v>
      </c>
      <c r="I529">
        <f t="shared" si="52"/>
        <v>3923.36</v>
      </c>
      <c r="J529">
        <f t="shared" si="49"/>
        <v>2770.9599999999996</v>
      </c>
      <c r="K529" s="8">
        <f t="shared" si="50"/>
        <v>0.41392703067675279</v>
      </c>
      <c r="L529" t="str">
        <f t="shared" si="53"/>
        <v>2023-08</v>
      </c>
      <c r="M529">
        <f t="shared" si="51"/>
        <v>2770.9599999999996</v>
      </c>
    </row>
    <row r="530" spans="1:13" x14ac:dyDescent="0.25">
      <c r="A530" s="1">
        <v>45158</v>
      </c>
      <c r="B530" t="s">
        <v>7</v>
      </c>
      <c r="C530" t="s">
        <v>8</v>
      </c>
      <c r="D530" t="s">
        <v>9</v>
      </c>
      <c r="E530">
        <v>1404.36</v>
      </c>
      <c r="F530">
        <v>1213.74</v>
      </c>
      <c r="G530">
        <v>9</v>
      </c>
      <c r="H530">
        <f t="shared" si="48"/>
        <v>12639.24</v>
      </c>
      <c r="I530">
        <f t="shared" si="52"/>
        <v>10923.66</v>
      </c>
      <c r="J530">
        <f t="shared" si="49"/>
        <v>1715.58</v>
      </c>
      <c r="K530" s="8">
        <f t="shared" si="50"/>
        <v>0.13573442706998204</v>
      </c>
      <c r="L530" t="str">
        <f t="shared" si="53"/>
        <v>2023-08</v>
      </c>
      <c r="M530">
        <f t="shared" si="51"/>
        <v>1715.58</v>
      </c>
    </row>
    <row r="531" spans="1:13" x14ac:dyDescent="0.25">
      <c r="A531" s="1">
        <v>45577</v>
      </c>
      <c r="B531" t="s">
        <v>14</v>
      </c>
      <c r="C531" t="s">
        <v>15</v>
      </c>
      <c r="D531" t="s">
        <v>18</v>
      </c>
      <c r="E531">
        <v>574.45000000000005</v>
      </c>
      <c r="F531">
        <v>444.03</v>
      </c>
      <c r="G531">
        <v>2</v>
      </c>
      <c r="H531">
        <f t="shared" si="48"/>
        <v>1148.9000000000001</v>
      </c>
      <c r="I531">
        <f t="shared" si="52"/>
        <v>888.06</v>
      </c>
      <c r="J531">
        <f t="shared" si="49"/>
        <v>260.84000000000015</v>
      </c>
      <c r="K531" s="8">
        <f t="shared" si="50"/>
        <v>0.22703455479153983</v>
      </c>
      <c r="L531" t="str">
        <f t="shared" si="53"/>
        <v>2024-10</v>
      </c>
      <c r="M531">
        <f t="shared" si="51"/>
        <v>260.84000000000015</v>
      </c>
    </row>
    <row r="532" spans="1:13" x14ac:dyDescent="0.25">
      <c r="A532" s="1">
        <v>45577</v>
      </c>
      <c r="B532" t="s">
        <v>25</v>
      </c>
      <c r="C532" t="s">
        <v>15</v>
      </c>
      <c r="D532" t="s">
        <v>18</v>
      </c>
      <c r="E532">
        <v>276.99</v>
      </c>
      <c r="F532">
        <v>218.6</v>
      </c>
      <c r="G532">
        <v>1</v>
      </c>
      <c r="H532">
        <f t="shared" si="48"/>
        <v>276.99</v>
      </c>
      <c r="I532">
        <f t="shared" si="52"/>
        <v>218.6</v>
      </c>
      <c r="J532">
        <f t="shared" si="49"/>
        <v>58.390000000000015</v>
      </c>
      <c r="K532" s="8">
        <f t="shared" si="50"/>
        <v>0.21080183400122754</v>
      </c>
      <c r="L532" t="str">
        <f t="shared" si="53"/>
        <v>2024-10</v>
      </c>
      <c r="M532">
        <f t="shared" si="51"/>
        <v>58.390000000000015</v>
      </c>
    </row>
    <row r="533" spans="1:13" x14ac:dyDescent="0.25">
      <c r="A533" s="1">
        <v>44846</v>
      </c>
      <c r="B533" t="s">
        <v>24</v>
      </c>
      <c r="C533" t="s">
        <v>20</v>
      </c>
      <c r="D533" t="s">
        <v>9</v>
      </c>
      <c r="E533">
        <v>1246.05</v>
      </c>
      <c r="F533">
        <v>741.81</v>
      </c>
      <c r="G533">
        <v>9</v>
      </c>
      <c r="H533">
        <f t="shared" si="48"/>
        <v>11214.449999999999</v>
      </c>
      <c r="I533">
        <f t="shared" si="52"/>
        <v>6676.2899999999991</v>
      </c>
      <c r="J533">
        <f t="shared" si="49"/>
        <v>4538.16</v>
      </c>
      <c r="K533" s="8">
        <f t="shared" si="50"/>
        <v>0.4046707596003371</v>
      </c>
      <c r="L533" t="str">
        <f t="shared" si="53"/>
        <v>2022-10</v>
      </c>
      <c r="M533">
        <f t="shared" si="51"/>
        <v>4538.16</v>
      </c>
    </row>
    <row r="534" spans="1:13" x14ac:dyDescent="0.25">
      <c r="A534" s="1">
        <v>44793</v>
      </c>
      <c r="B534" t="s">
        <v>12</v>
      </c>
      <c r="C534" t="s">
        <v>8</v>
      </c>
      <c r="D534" t="s">
        <v>18</v>
      </c>
      <c r="E534">
        <v>1520.7</v>
      </c>
      <c r="F534">
        <v>1122.54</v>
      </c>
      <c r="G534">
        <v>5</v>
      </c>
      <c r="H534">
        <f t="shared" si="48"/>
        <v>7603.5</v>
      </c>
      <c r="I534">
        <f t="shared" si="52"/>
        <v>5612.7</v>
      </c>
      <c r="J534">
        <f t="shared" si="49"/>
        <v>1990.8000000000002</v>
      </c>
      <c r="K534" s="8">
        <f t="shared" si="50"/>
        <v>0.26182679029394362</v>
      </c>
      <c r="L534" t="str">
        <f t="shared" si="53"/>
        <v>2022-08</v>
      </c>
      <c r="M534">
        <f t="shared" si="51"/>
        <v>1990.8000000000002</v>
      </c>
    </row>
    <row r="535" spans="1:13" x14ac:dyDescent="0.25">
      <c r="A535" s="1">
        <v>44936</v>
      </c>
      <c r="B535" t="s">
        <v>12</v>
      </c>
      <c r="C535" t="s">
        <v>8</v>
      </c>
      <c r="D535" t="s">
        <v>9</v>
      </c>
      <c r="E535">
        <v>990.86</v>
      </c>
      <c r="F535">
        <v>794.68</v>
      </c>
      <c r="G535">
        <v>9</v>
      </c>
      <c r="H535">
        <f t="shared" si="48"/>
        <v>8917.74</v>
      </c>
      <c r="I535">
        <f t="shared" si="52"/>
        <v>7152.12</v>
      </c>
      <c r="J535">
        <f t="shared" si="49"/>
        <v>1765.62</v>
      </c>
      <c r="K535" s="8">
        <f t="shared" si="50"/>
        <v>0.19798962517409119</v>
      </c>
      <c r="L535" t="str">
        <f t="shared" si="53"/>
        <v>2023-01</v>
      </c>
      <c r="M535">
        <f t="shared" si="51"/>
        <v>1765.62</v>
      </c>
    </row>
    <row r="536" spans="1:13" x14ac:dyDescent="0.25">
      <c r="A536" s="1">
        <v>45554</v>
      </c>
      <c r="B536" t="s">
        <v>14</v>
      </c>
      <c r="C536" t="s">
        <v>15</v>
      </c>
      <c r="D536" t="s">
        <v>9</v>
      </c>
      <c r="E536">
        <v>470.45</v>
      </c>
      <c r="F536">
        <v>356.86</v>
      </c>
      <c r="G536">
        <v>4</v>
      </c>
      <c r="H536">
        <f t="shared" si="48"/>
        <v>1881.8</v>
      </c>
      <c r="I536">
        <f t="shared" si="52"/>
        <v>1427.44</v>
      </c>
      <c r="J536">
        <f t="shared" si="49"/>
        <v>454.3599999999999</v>
      </c>
      <c r="K536" s="8">
        <f t="shared" si="50"/>
        <v>0.24144967584227861</v>
      </c>
      <c r="L536" t="str">
        <f t="shared" si="53"/>
        <v>2024-09</v>
      </c>
      <c r="M536">
        <f t="shared" si="51"/>
        <v>454.3599999999999</v>
      </c>
    </row>
    <row r="537" spans="1:13" x14ac:dyDescent="0.25">
      <c r="A537" s="1">
        <v>45526</v>
      </c>
      <c r="B537" t="s">
        <v>10</v>
      </c>
      <c r="C537" t="s">
        <v>11</v>
      </c>
      <c r="D537" t="s">
        <v>9</v>
      </c>
      <c r="E537">
        <v>128.65</v>
      </c>
      <c r="F537">
        <v>86.86</v>
      </c>
      <c r="G537">
        <v>7</v>
      </c>
      <c r="H537">
        <f t="shared" si="48"/>
        <v>900.55000000000007</v>
      </c>
      <c r="I537">
        <f t="shared" si="52"/>
        <v>608.02</v>
      </c>
      <c r="J537">
        <f t="shared" si="49"/>
        <v>292.53000000000009</v>
      </c>
      <c r="K537" s="8">
        <f t="shared" si="50"/>
        <v>0.32483482316362228</v>
      </c>
      <c r="L537" t="str">
        <f t="shared" si="53"/>
        <v>2024-08</v>
      </c>
      <c r="M537">
        <f t="shared" si="51"/>
        <v>292.53000000000009</v>
      </c>
    </row>
    <row r="538" spans="1:13" x14ac:dyDescent="0.25">
      <c r="A538" s="1">
        <v>44886</v>
      </c>
      <c r="B538" t="s">
        <v>23</v>
      </c>
      <c r="C538" t="s">
        <v>11</v>
      </c>
      <c r="D538" t="s">
        <v>9</v>
      </c>
      <c r="E538">
        <v>367.42</v>
      </c>
      <c r="F538">
        <v>329.71</v>
      </c>
      <c r="G538">
        <v>1</v>
      </c>
      <c r="H538">
        <f t="shared" si="48"/>
        <v>367.42</v>
      </c>
      <c r="I538">
        <f t="shared" si="52"/>
        <v>329.71</v>
      </c>
      <c r="J538">
        <f t="shared" si="49"/>
        <v>37.710000000000036</v>
      </c>
      <c r="K538" s="8">
        <f t="shared" si="50"/>
        <v>0.10263458712100602</v>
      </c>
      <c r="L538" t="str">
        <f t="shared" si="53"/>
        <v>2022-11</v>
      </c>
      <c r="M538">
        <f t="shared" si="51"/>
        <v>37.710000000000036</v>
      </c>
    </row>
    <row r="539" spans="1:13" x14ac:dyDescent="0.25">
      <c r="A539" s="1">
        <v>45225</v>
      </c>
      <c r="B539" t="s">
        <v>16</v>
      </c>
      <c r="C539" t="s">
        <v>15</v>
      </c>
      <c r="D539" t="s">
        <v>17</v>
      </c>
      <c r="E539">
        <v>1701.01</v>
      </c>
      <c r="F539">
        <v>858.05</v>
      </c>
      <c r="G539">
        <v>9</v>
      </c>
      <c r="H539">
        <f t="shared" si="48"/>
        <v>15309.09</v>
      </c>
      <c r="I539">
        <f t="shared" si="52"/>
        <v>7722.45</v>
      </c>
      <c r="J539">
        <f t="shared" si="49"/>
        <v>7586.64</v>
      </c>
      <c r="K539" s="8">
        <f t="shared" si="50"/>
        <v>0.49556439997413304</v>
      </c>
      <c r="L539" t="str">
        <f t="shared" si="53"/>
        <v>2023-10</v>
      </c>
      <c r="M539">
        <f t="shared" si="51"/>
        <v>7586.64</v>
      </c>
    </row>
    <row r="540" spans="1:13" x14ac:dyDescent="0.25">
      <c r="A540" s="1">
        <v>44869</v>
      </c>
      <c r="B540" t="s">
        <v>24</v>
      </c>
      <c r="C540" t="s">
        <v>20</v>
      </c>
      <c r="D540" t="s">
        <v>9</v>
      </c>
      <c r="E540">
        <v>1430.27</v>
      </c>
      <c r="F540">
        <v>816.76</v>
      </c>
      <c r="G540">
        <v>8</v>
      </c>
      <c r="H540">
        <f t="shared" si="48"/>
        <v>11442.16</v>
      </c>
      <c r="I540">
        <f t="shared" si="52"/>
        <v>6534.08</v>
      </c>
      <c r="J540">
        <f t="shared" si="49"/>
        <v>4908.08</v>
      </c>
      <c r="K540" s="8">
        <f t="shared" si="50"/>
        <v>0.42894698203835641</v>
      </c>
      <c r="L540" t="str">
        <f t="shared" si="53"/>
        <v>2022-11</v>
      </c>
      <c r="M540">
        <f t="shared" si="51"/>
        <v>4908.08</v>
      </c>
    </row>
    <row r="541" spans="1:13" x14ac:dyDescent="0.25">
      <c r="A541" s="1">
        <v>44849</v>
      </c>
      <c r="B541" t="s">
        <v>24</v>
      </c>
      <c r="C541" t="s">
        <v>20</v>
      </c>
      <c r="D541" t="s">
        <v>17</v>
      </c>
      <c r="E541">
        <v>1615.46</v>
      </c>
      <c r="F541">
        <v>1160.24</v>
      </c>
      <c r="G541">
        <v>3</v>
      </c>
      <c r="H541">
        <f t="shared" si="48"/>
        <v>4846.38</v>
      </c>
      <c r="I541">
        <f t="shared" si="52"/>
        <v>3480.7200000000003</v>
      </c>
      <c r="J541">
        <f t="shared" si="49"/>
        <v>1365.6599999999999</v>
      </c>
      <c r="K541" s="8">
        <f t="shared" si="50"/>
        <v>0.28178970695653249</v>
      </c>
      <c r="L541" t="str">
        <f t="shared" si="53"/>
        <v>2022-10</v>
      </c>
      <c r="M541">
        <f t="shared" si="51"/>
        <v>1365.6599999999999</v>
      </c>
    </row>
    <row r="542" spans="1:13" x14ac:dyDescent="0.25">
      <c r="A542" s="1">
        <v>44792</v>
      </c>
      <c r="B542" t="s">
        <v>21</v>
      </c>
      <c r="C542" t="s">
        <v>20</v>
      </c>
      <c r="D542" t="s">
        <v>9</v>
      </c>
      <c r="E542">
        <v>571.6</v>
      </c>
      <c r="F542">
        <v>446.88</v>
      </c>
      <c r="G542">
        <v>8</v>
      </c>
      <c r="H542">
        <f t="shared" si="48"/>
        <v>4572.8</v>
      </c>
      <c r="I542">
        <f t="shared" si="52"/>
        <v>3575.04</v>
      </c>
      <c r="J542">
        <f t="shared" si="49"/>
        <v>997.76000000000022</v>
      </c>
      <c r="K542" s="8">
        <f t="shared" si="50"/>
        <v>0.21819454163750879</v>
      </c>
      <c r="L542" t="str">
        <f t="shared" si="53"/>
        <v>2022-08</v>
      </c>
      <c r="M542">
        <f t="shared" si="51"/>
        <v>997.76000000000022</v>
      </c>
    </row>
    <row r="543" spans="1:13" x14ac:dyDescent="0.25">
      <c r="A543" s="1">
        <v>44988</v>
      </c>
      <c r="B543" t="s">
        <v>21</v>
      </c>
      <c r="C543" t="s">
        <v>20</v>
      </c>
      <c r="D543" t="s">
        <v>9</v>
      </c>
      <c r="E543">
        <v>1895.92</v>
      </c>
      <c r="F543">
        <v>1210.23</v>
      </c>
      <c r="G543">
        <v>4</v>
      </c>
      <c r="H543">
        <f t="shared" si="48"/>
        <v>7583.68</v>
      </c>
      <c r="I543">
        <f t="shared" si="52"/>
        <v>4840.92</v>
      </c>
      <c r="J543">
        <f t="shared" si="49"/>
        <v>2742.76</v>
      </c>
      <c r="K543" s="8">
        <f t="shared" si="50"/>
        <v>0.36166610405502342</v>
      </c>
      <c r="L543" t="str">
        <f t="shared" si="53"/>
        <v>2023-03</v>
      </c>
      <c r="M543">
        <f t="shared" si="51"/>
        <v>2742.76</v>
      </c>
    </row>
    <row r="544" spans="1:13" x14ac:dyDescent="0.25">
      <c r="A544" s="1">
        <v>44645</v>
      </c>
      <c r="B544" t="s">
        <v>10</v>
      </c>
      <c r="C544" t="s">
        <v>11</v>
      </c>
      <c r="D544" t="s">
        <v>13</v>
      </c>
      <c r="E544">
        <v>58.33</v>
      </c>
      <c r="F544">
        <v>37.619999999999997</v>
      </c>
      <c r="G544">
        <v>4</v>
      </c>
      <c r="H544">
        <f t="shared" si="48"/>
        <v>233.32</v>
      </c>
      <c r="I544">
        <f t="shared" si="52"/>
        <v>150.47999999999999</v>
      </c>
      <c r="J544">
        <f t="shared" si="49"/>
        <v>82.84</v>
      </c>
      <c r="K544" s="8">
        <f t="shared" si="50"/>
        <v>0.35504885993485347</v>
      </c>
      <c r="L544" t="str">
        <f t="shared" si="53"/>
        <v>2022-03</v>
      </c>
      <c r="M544">
        <f t="shared" si="51"/>
        <v>82.84</v>
      </c>
    </row>
    <row r="545" spans="1:13" x14ac:dyDescent="0.25">
      <c r="A545" s="1">
        <v>45248</v>
      </c>
      <c r="B545" t="s">
        <v>10</v>
      </c>
      <c r="C545" t="s">
        <v>11</v>
      </c>
      <c r="D545" t="s">
        <v>17</v>
      </c>
      <c r="E545">
        <v>338.27</v>
      </c>
      <c r="F545">
        <v>176.49</v>
      </c>
      <c r="G545">
        <v>1</v>
      </c>
      <c r="H545">
        <f t="shared" si="48"/>
        <v>338.27</v>
      </c>
      <c r="I545">
        <f t="shared" si="52"/>
        <v>176.49</v>
      </c>
      <c r="J545">
        <f t="shared" si="49"/>
        <v>161.77999999999997</v>
      </c>
      <c r="K545" s="8">
        <f t="shared" si="50"/>
        <v>0.4782570136281668</v>
      </c>
      <c r="L545" t="str">
        <f t="shared" si="53"/>
        <v>2023-11</v>
      </c>
      <c r="M545">
        <f t="shared" si="51"/>
        <v>161.77999999999997</v>
      </c>
    </row>
    <row r="546" spans="1:13" x14ac:dyDescent="0.25">
      <c r="A546" s="1">
        <v>45188</v>
      </c>
      <c r="B546" t="s">
        <v>12</v>
      </c>
      <c r="C546" t="s">
        <v>8</v>
      </c>
      <c r="D546" t="s">
        <v>17</v>
      </c>
      <c r="E546">
        <v>1818.65</v>
      </c>
      <c r="F546">
        <v>1592.69</v>
      </c>
      <c r="G546">
        <v>6</v>
      </c>
      <c r="H546">
        <f t="shared" si="48"/>
        <v>10911.900000000001</v>
      </c>
      <c r="I546">
        <f t="shared" si="52"/>
        <v>9556.14</v>
      </c>
      <c r="J546">
        <f t="shared" si="49"/>
        <v>1355.760000000002</v>
      </c>
      <c r="K546" s="8">
        <f t="shared" si="50"/>
        <v>0.12424600665328694</v>
      </c>
      <c r="L546" t="str">
        <f t="shared" si="53"/>
        <v>2023-09</v>
      </c>
      <c r="M546">
        <f t="shared" si="51"/>
        <v>1355.760000000002</v>
      </c>
    </row>
    <row r="547" spans="1:13" x14ac:dyDescent="0.25">
      <c r="A547" s="1">
        <v>45606</v>
      </c>
      <c r="B547" t="s">
        <v>23</v>
      </c>
      <c r="C547" t="s">
        <v>11</v>
      </c>
      <c r="D547" t="s">
        <v>13</v>
      </c>
      <c r="E547">
        <v>925.07</v>
      </c>
      <c r="F547">
        <v>744.24</v>
      </c>
      <c r="G547">
        <v>5</v>
      </c>
      <c r="H547">
        <f t="shared" si="48"/>
        <v>4625.3500000000004</v>
      </c>
      <c r="I547">
        <f t="shared" si="52"/>
        <v>3721.2</v>
      </c>
      <c r="J547">
        <f t="shared" si="49"/>
        <v>904.15000000000055</v>
      </c>
      <c r="K547" s="8">
        <f t="shared" si="50"/>
        <v>0.19547709903034374</v>
      </c>
      <c r="L547" t="str">
        <f t="shared" si="53"/>
        <v>2024-11</v>
      </c>
      <c r="M547">
        <f t="shared" si="51"/>
        <v>904.15000000000055</v>
      </c>
    </row>
    <row r="548" spans="1:13" x14ac:dyDescent="0.25">
      <c r="A548" s="1">
        <v>44664</v>
      </c>
      <c r="B548" t="s">
        <v>14</v>
      </c>
      <c r="C548" t="s">
        <v>15</v>
      </c>
      <c r="D548" t="s">
        <v>18</v>
      </c>
      <c r="E548">
        <v>944.32</v>
      </c>
      <c r="F548">
        <v>498.78</v>
      </c>
      <c r="G548">
        <v>10</v>
      </c>
      <c r="H548">
        <f t="shared" si="48"/>
        <v>9443.2000000000007</v>
      </c>
      <c r="I548">
        <f t="shared" si="52"/>
        <v>4987.7999999999993</v>
      </c>
      <c r="J548">
        <f t="shared" si="49"/>
        <v>4455.4000000000015</v>
      </c>
      <c r="K548" s="8">
        <f t="shared" si="50"/>
        <v>0.47181040325313467</v>
      </c>
      <c r="L548" t="str">
        <f t="shared" si="53"/>
        <v>2022-04</v>
      </c>
      <c r="M548">
        <f t="shared" si="51"/>
        <v>4455.4000000000015</v>
      </c>
    </row>
    <row r="549" spans="1:13" x14ac:dyDescent="0.25">
      <c r="A549" s="1">
        <v>44764</v>
      </c>
      <c r="B549" t="s">
        <v>23</v>
      </c>
      <c r="C549" t="s">
        <v>11</v>
      </c>
      <c r="D549" t="s">
        <v>18</v>
      </c>
      <c r="E549">
        <v>1651.26</v>
      </c>
      <c r="F549">
        <v>1208.26</v>
      </c>
      <c r="G549">
        <v>2</v>
      </c>
      <c r="H549">
        <f t="shared" si="48"/>
        <v>3302.52</v>
      </c>
      <c r="I549">
        <f t="shared" si="52"/>
        <v>2416.52</v>
      </c>
      <c r="J549">
        <f t="shared" si="49"/>
        <v>886</v>
      </c>
      <c r="K549" s="8">
        <f t="shared" si="50"/>
        <v>0.26827998013638071</v>
      </c>
      <c r="L549" t="str">
        <f t="shared" si="53"/>
        <v>2022-07</v>
      </c>
      <c r="M549">
        <f t="shared" si="51"/>
        <v>886</v>
      </c>
    </row>
    <row r="550" spans="1:13" x14ac:dyDescent="0.25">
      <c r="A550" s="1">
        <v>44707</v>
      </c>
      <c r="B550" t="s">
        <v>21</v>
      </c>
      <c r="C550" t="s">
        <v>20</v>
      </c>
      <c r="D550" t="s">
        <v>17</v>
      </c>
      <c r="E550">
        <v>1138.47</v>
      </c>
      <c r="F550">
        <v>1007.19</v>
      </c>
      <c r="G550">
        <v>5</v>
      </c>
      <c r="H550">
        <f t="shared" si="48"/>
        <v>5692.35</v>
      </c>
      <c r="I550">
        <f t="shared" si="52"/>
        <v>5035.9500000000007</v>
      </c>
      <c r="J550">
        <f t="shared" si="49"/>
        <v>656.39999999999964</v>
      </c>
      <c r="K550" s="8">
        <f t="shared" si="50"/>
        <v>0.1153126564599857</v>
      </c>
      <c r="L550" t="str">
        <f t="shared" si="53"/>
        <v>2022-05</v>
      </c>
      <c r="M550">
        <f t="shared" si="51"/>
        <v>656.39999999999964</v>
      </c>
    </row>
    <row r="551" spans="1:13" x14ac:dyDescent="0.25">
      <c r="A551" s="1">
        <v>44658</v>
      </c>
      <c r="B551" t="s">
        <v>21</v>
      </c>
      <c r="C551" t="s">
        <v>20</v>
      </c>
      <c r="D551" t="s">
        <v>17</v>
      </c>
      <c r="E551">
        <v>1273.1199999999999</v>
      </c>
      <c r="F551">
        <v>788.83</v>
      </c>
      <c r="G551">
        <v>4</v>
      </c>
      <c r="H551">
        <f t="shared" si="48"/>
        <v>5092.4799999999996</v>
      </c>
      <c r="I551">
        <f t="shared" si="52"/>
        <v>3155.32</v>
      </c>
      <c r="J551">
        <f t="shared" si="49"/>
        <v>1937.1599999999994</v>
      </c>
      <c r="K551" s="8">
        <f t="shared" si="50"/>
        <v>0.38039619203217284</v>
      </c>
      <c r="L551" t="str">
        <f t="shared" si="53"/>
        <v>2022-04</v>
      </c>
      <c r="M551">
        <f t="shared" si="51"/>
        <v>1937.1599999999994</v>
      </c>
    </row>
    <row r="552" spans="1:13" x14ac:dyDescent="0.25">
      <c r="A552" s="1">
        <v>44870</v>
      </c>
      <c r="B552" t="s">
        <v>25</v>
      </c>
      <c r="C552" t="s">
        <v>15</v>
      </c>
      <c r="D552" t="s">
        <v>13</v>
      </c>
      <c r="E552">
        <v>308.89999999999998</v>
      </c>
      <c r="F552">
        <v>192.7</v>
      </c>
      <c r="G552">
        <v>3</v>
      </c>
      <c r="H552">
        <f t="shared" si="48"/>
        <v>926.69999999999993</v>
      </c>
      <c r="I552">
        <f t="shared" si="52"/>
        <v>578.09999999999991</v>
      </c>
      <c r="J552">
        <f t="shared" si="49"/>
        <v>348.6</v>
      </c>
      <c r="K552" s="8">
        <f t="shared" si="50"/>
        <v>0.37617351893816775</v>
      </c>
      <c r="L552" t="str">
        <f t="shared" si="53"/>
        <v>2022-11</v>
      </c>
      <c r="M552">
        <f t="shared" si="51"/>
        <v>348.6</v>
      </c>
    </row>
    <row r="553" spans="1:13" x14ac:dyDescent="0.25">
      <c r="A553" s="1">
        <v>45268</v>
      </c>
      <c r="B553" t="s">
        <v>7</v>
      </c>
      <c r="C553" t="s">
        <v>8</v>
      </c>
      <c r="D553" t="s">
        <v>13</v>
      </c>
      <c r="E553">
        <v>691.9</v>
      </c>
      <c r="F553">
        <v>562.13</v>
      </c>
      <c r="G553">
        <v>4</v>
      </c>
      <c r="H553">
        <f t="shared" si="48"/>
        <v>2767.6</v>
      </c>
      <c r="I553">
        <f t="shared" si="52"/>
        <v>2248.52</v>
      </c>
      <c r="J553">
        <f t="shared" si="49"/>
        <v>519.07999999999993</v>
      </c>
      <c r="K553" s="8">
        <f t="shared" si="50"/>
        <v>0.18755600520306401</v>
      </c>
      <c r="L553" t="str">
        <f t="shared" si="53"/>
        <v>2023-12</v>
      </c>
      <c r="M553">
        <f t="shared" si="51"/>
        <v>519.07999999999993</v>
      </c>
    </row>
    <row r="554" spans="1:13" x14ac:dyDescent="0.25">
      <c r="A554" s="1">
        <v>44757</v>
      </c>
      <c r="B554" t="s">
        <v>16</v>
      </c>
      <c r="C554" t="s">
        <v>15</v>
      </c>
      <c r="D554" t="s">
        <v>18</v>
      </c>
      <c r="E554">
        <v>1398.66</v>
      </c>
      <c r="F554">
        <v>1125.47</v>
      </c>
      <c r="G554">
        <v>2</v>
      </c>
      <c r="H554">
        <f t="shared" si="48"/>
        <v>2797.32</v>
      </c>
      <c r="I554">
        <f t="shared" si="52"/>
        <v>2250.94</v>
      </c>
      <c r="J554">
        <f t="shared" si="49"/>
        <v>546.38000000000011</v>
      </c>
      <c r="K554" s="8">
        <f t="shared" si="50"/>
        <v>0.19532266598029546</v>
      </c>
      <c r="L554" t="str">
        <f t="shared" si="53"/>
        <v>2022-07</v>
      </c>
      <c r="M554">
        <f t="shared" si="51"/>
        <v>546.38000000000011</v>
      </c>
    </row>
    <row r="555" spans="1:13" x14ac:dyDescent="0.25">
      <c r="A555" s="1">
        <v>45216</v>
      </c>
      <c r="B555" t="s">
        <v>14</v>
      </c>
      <c r="C555" t="s">
        <v>15</v>
      </c>
      <c r="D555" t="s">
        <v>9</v>
      </c>
      <c r="E555">
        <v>1604.01</v>
      </c>
      <c r="F555">
        <v>1351.05</v>
      </c>
      <c r="G555">
        <v>9</v>
      </c>
      <c r="H555">
        <f t="shared" si="48"/>
        <v>14436.09</v>
      </c>
      <c r="I555">
        <f t="shared" si="52"/>
        <v>12159.449999999999</v>
      </c>
      <c r="J555">
        <f t="shared" si="49"/>
        <v>2276.6400000000012</v>
      </c>
      <c r="K555" s="8">
        <f t="shared" si="50"/>
        <v>0.15770475246413684</v>
      </c>
      <c r="L555" t="str">
        <f t="shared" si="53"/>
        <v>2023-10</v>
      </c>
      <c r="M555">
        <f t="shared" si="51"/>
        <v>2276.6400000000012</v>
      </c>
    </row>
    <row r="556" spans="1:13" x14ac:dyDescent="0.25">
      <c r="A556" s="1">
        <v>45278</v>
      </c>
      <c r="B556" t="s">
        <v>19</v>
      </c>
      <c r="C556" t="s">
        <v>20</v>
      </c>
      <c r="D556" t="s">
        <v>17</v>
      </c>
      <c r="E556">
        <v>459.55</v>
      </c>
      <c r="F556">
        <v>354.87</v>
      </c>
      <c r="G556">
        <v>1</v>
      </c>
      <c r="H556">
        <f t="shared" si="48"/>
        <v>459.55</v>
      </c>
      <c r="I556">
        <f t="shared" si="52"/>
        <v>354.87</v>
      </c>
      <c r="J556">
        <f t="shared" si="49"/>
        <v>104.68</v>
      </c>
      <c r="K556" s="8">
        <f t="shared" si="50"/>
        <v>0.22778805353062781</v>
      </c>
      <c r="L556" t="str">
        <f t="shared" si="53"/>
        <v>2023-12</v>
      </c>
      <c r="M556">
        <f t="shared" si="51"/>
        <v>104.68</v>
      </c>
    </row>
    <row r="557" spans="1:13" x14ac:dyDescent="0.25">
      <c r="A557" s="1">
        <v>45040</v>
      </c>
      <c r="B557" t="s">
        <v>21</v>
      </c>
      <c r="C557" t="s">
        <v>20</v>
      </c>
      <c r="D557" t="s">
        <v>17</v>
      </c>
      <c r="E557">
        <v>86.49</v>
      </c>
      <c r="F557">
        <v>59.88</v>
      </c>
      <c r="G557">
        <v>5</v>
      </c>
      <c r="H557">
        <f t="shared" si="48"/>
        <v>432.45</v>
      </c>
      <c r="I557">
        <f t="shared" si="52"/>
        <v>299.40000000000003</v>
      </c>
      <c r="J557">
        <f t="shared" si="49"/>
        <v>133.04999999999995</v>
      </c>
      <c r="K557" s="8">
        <f t="shared" si="50"/>
        <v>0.30766562608394027</v>
      </c>
      <c r="L557" t="str">
        <f t="shared" si="53"/>
        <v>2023-04</v>
      </c>
      <c r="M557">
        <f t="shared" si="51"/>
        <v>133.04999999999995</v>
      </c>
    </row>
    <row r="558" spans="1:13" x14ac:dyDescent="0.25">
      <c r="A558" s="1">
        <v>45271</v>
      </c>
      <c r="B558" t="s">
        <v>22</v>
      </c>
      <c r="C558" t="s">
        <v>8</v>
      </c>
      <c r="D558" t="s">
        <v>18</v>
      </c>
      <c r="E558">
        <v>1353.46</v>
      </c>
      <c r="F558">
        <v>697.19</v>
      </c>
      <c r="G558">
        <v>1</v>
      </c>
      <c r="H558">
        <f t="shared" si="48"/>
        <v>1353.46</v>
      </c>
      <c r="I558">
        <f t="shared" si="52"/>
        <v>697.19</v>
      </c>
      <c r="J558">
        <f t="shared" si="49"/>
        <v>656.27</v>
      </c>
      <c r="K558" s="8">
        <f t="shared" si="50"/>
        <v>0.48488318827301874</v>
      </c>
      <c r="L558" t="str">
        <f t="shared" si="53"/>
        <v>2023-12</v>
      </c>
      <c r="M558">
        <f t="shared" si="51"/>
        <v>656.27</v>
      </c>
    </row>
    <row r="559" spans="1:13" x14ac:dyDescent="0.25">
      <c r="A559" s="1">
        <v>45492</v>
      </c>
      <c r="B559" t="s">
        <v>10</v>
      </c>
      <c r="C559" t="s">
        <v>11</v>
      </c>
      <c r="D559" t="s">
        <v>17</v>
      </c>
      <c r="E559">
        <v>77.73</v>
      </c>
      <c r="F559">
        <v>44.78</v>
      </c>
      <c r="G559">
        <v>8</v>
      </c>
      <c r="H559">
        <f t="shared" si="48"/>
        <v>621.84</v>
      </c>
      <c r="I559">
        <f t="shared" si="52"/>
        <v>358.24</v>
      </c>
      <c r="J559">
        <f t="shared" si="49"/>
        <v>263.60000000000002</v>
      </c>
      <c r="K559" s="8">
        <f t="shared" si="50"/>
        <v>0.42390325485655478</v>
      </c>
      <c r="L559" t="str">
        <f t="shared" si="53"/>
        <v>2024-07</v>
      </c>
      <c r="M559">
        <f t="shared" si="51"/>
        <v>263.60000000000002</v>
      </c>
    </row>
    <row r="560" spans="1:13" x14ac:dyDescent="0.25">
      <c r="A560" s="1">
        <v>45147</v>
      </c>
      <c r="B560" t="s">
        <v>22</v>
      </c>
      <c r="C560" t="s">
        <v>8</v>
      </c>
      <c r="D560" t="s">
        <v>13</v>
      </c>
      <c r="E560">
        <v>1020.59</v>
      </c>
      <c r="F560">
        <v>599.63</v>
      </c>
      <c r="G560">
        <v>5</v>
      </c>
      <c r="H560">
        <f t="shared" si="48"/>
        <v>5102.95</v>
      </c>
      <c r="I560">
        <f t="shared" si="52"/>
        <v>2998.15</v>
      </c>
      <c r="J560">
        <f t="shared" si="49"/>
        <v>2104.7999999999997</v>
      </c>
      <c r="K560" s="8">
        <f t="shared" si="50"/>
        <v>0.412467298327438</v>
      </c>
      <c r="L560" t="str">
        <f t="shared" si="53"/>
        <v>2023-08</v>
      </c>
      <c r="M560">
        <f t="shared" si="51"/>
        <v>2104.7999999999997</v>
      </c>
    </row>
    <row r="561" spans="1:13" x14ac:dyDescent="0.25">
      <c r="A561" s="1">
        <v>44712</v>
      </c>
      <c r="B561" t="s">
        <v>22</v>
      </c>
      <c r="C561" t="s">
        <v>8</v>
      </c>
      <c r="D561" t="s">
        <v>13</v>
      </c>
      <c r="E561">
        <v>1505.02</v>
      </c>
      <c r="F561">
        <v>1161.73</v>
      </c>
      <c r="G561">
        <v>10</v>
      </c>
      <c r="H561">
        <f t="shared" si="48"/>
        <v>15050.2</v>
      </c>
      <c r="I561">
        <f t="shared" si="52"/>
        <v>11617.3</v>
      </c>
      <c r="J561">
        <f t="shared" si="49"/>
        <v>3432.9000000000015</v>
      </c>
      <c r="K561" s="8">
        <f t="shared" si="50"/>
        <v>0.22809663658954707</v>
      </c>
      <c r="L561" t="str">
        <f t="shared" si="53"/>
        <v>2022-05</v>
      </c>
      <c r="M561">
        <f t="shared" si="51"/>
        <v>3432.9000000000015</v>
      </c>
    </row>
    <row r="562" spans="1:13" x14ac:dyDescent="0.25">
      <c r="A562" s="1">
        <v>45313</v>
      </c>
      <c r="B562" t="s">
        <v>7</v>
      </c>
      <c r="C562" t="s">
        <v>8</v>
      </c>
      <c r="D562" t="s">
        <v>13</v>
      </c>
      <c r="E562">
        <v>504.36</v>
      </c>
      <c r="F562">
        <v>261.61</v>
      </c>
      <c r="G562">
        <v>3</v>
      </c>
      <c r="H562">
        <f t="shared" si="48"/>
        <v>1513.08</v>
      </c>
      <c r="I562">
        <f t="shared" si="52"/>
        <v>784.83</v>
      </c>
      <c r="J562">
        <f t="shared" si="49"/>
        <v>728.24999999999989</v>
      </c>
      <c r="K562" s="8">
        <f t="shared" si="50"/>
        <v>0.48130303751288755</v>
      </c>
      <c r="L562" t="str">
        <f t="shared" si="53"/>
        <v>2024-01</v>
      </c>
      <c r="M562">
        <f t="shared" si="51"/>
        <v>728.24999999999989</v>
      </c>
    </row>
    <row r="563" spans="1:13" x14ac:dyDescent="0.25">
      <c r="A563" s="1">
        <v>45520</v>
      </c>
      <c r="B563" t="s">
        <v>10</v>
      </c>
      <c r="C563" t="s">
        <v>11</v>
      </c>
      <c r="D563" t="s">
        <v>18</v>
      </c>
      <c r="E563">
        <v>1117.81</v>
      </c>
      <c r="F563">
        <v>928.4</v>
      </c>
      <c r="G563">
        <v>10</v>
      </c>
      <c r="H563">
        <f t="shared" si="48"/>
        <v>11178.099999999999</v>
      </c>
      <c r="I563">
        <f t="shared" si="52"/>
        <v>9284</v>
      </c>
      <c r="J563">
        <f t="shared" si="49"/>
        <v>1894.0999999999985</v>
      </c>
      <c r="K563" s="8">
        <f t="shared" si="50"/>
        <v>0.16944740161565908</v>
      </c>
      <c r="L563" t="str">
        <f t="shared" si="53"/>
        <v>2024-08</v>
      </c>
      <c r="M563">
        <f t="shared" si="51"/>
        <v>1894.0999999999985</v>
      </c>
    </row>
    <row r="564" spans="1:13" x14ac:dyDescent="0.25">
      <c r="A564" s="1">
        <v>44669</v>
      </c>
      <c r="B564" t="s">
        <v>24</v>
      </c>
      <c r="C564" t="s">
        <v>20</v>
      </c>
      <c r="D564" t="s">
        <v>9</v>
      </c>
      <c r="E564">
        <v>1767.69</v>
      </c>
      <c r="F564">
        <v>1225.19</v>
      </c>
      <c r="G564">
        <v>5</v>
      </c>
      <c r="H564">
        <f t="shared" si="48"/>
        <v>8838.4500000000007</v>
      </c>
      <c r="I564">
        <f t="shared" si="52"/>
        <v>6125.9500000000007</v>
      </c>
      <c r="J564">
        <f t="shared" si="49"/>
        <v>2712.5</v>
      </c>
      <c r="K564" s="8">
        <f t="shared" si="50"/>
        <v>0.30689770265148297</v>
      </c>
      <c r="L564" t="str">
        <f t="shared" si="53"/>
        <v>2022-04</v>
      </c>
      <c r="M564">
        <f t="shared" si="51"/>
        <v>2712.5</v>
      </c>
    </row>
    <row r="565" spans="1:13" x14ac:dyDescent="0.25">
      <c r="A565" s="1">
        <v>45374</v>
      </c>
      <c r="B565" t="s">
        <v>10</v>
      </c>
      <c r="C565" t="s">
        <v>11</v>
      </c>
      <c r="D565" t="s">
        <v>13</v>
      </c>
      <c r="E565">
        <v>610.20000000000005</v>
      </c>
      <c r="F565">
        <v>334.07</v>
      </c>
      <c r="G565">
        <v>5</v>
      </c>
      <c r="H565">
        <f t="shared" si="48"/>
        <v>3051</v>
      </c>
      <c r="I565">
        <f t="shared" si="52"/>
        <v>1670.35</v>
      </c>
      <c r="J565">
        <f t="shared" si="49"/>
        <v>1380.65</v>
      </c>
      <c r="K565" s="8">
        <f t="shared" si="50"/>
        <v>0.4525237627007539</v>
      </c>
      <c r="L565" t="str">
        <f t="shared" si="53"/>
        <v>2024-03</v>
      </c>
      <c r="M565">
        <f t="shared" si="51"/>
        <v>1380.65</v>
      </c>
    </row>
    <row r="566" spans="1:13" x14ac:dyDescent="0.25">
      <c r="A566" s="1">
        <v>44868</v>
      </c>
      <c r="B566" t="s">
        <v>12</v>
      </c>
      <c r="C566" t="s">
        <v>8</v>
      </c>
      <c r="D566" t="s">
        <v>13</v>
      </c>
      <c r="E566">
        <v>426.61</v>
      </c>
      <c r="F566">
        <v>360.61</v>
      </c>
      <c r="G566">
        <v>3</v>
      </c>
      <c r="H566">
        <f t="shared" si="48"/>
        <v>1279.83</v>
      </c>
      <c r="I566">
        <f t="shared" si="52"/>
        <v>1081.83</v>
      </c>
      <c r="J566">
        <f t="shared" si="49"/>
        <v>198</v>
      </c>
      <c r="K566" s="8">
        <f t="shared" si="50"/>
        <v>0.15470804716251377</v>
      </c>
      <c r="L566" t="str">
        <f t="shared" si="53"/>
        <v>2022-11</v>
      </c>
      <c r="M566">
        <f t="shared" si="51"/>
        <v>198</v>
      </c>
    </row>
    <row r="567" spans="1:13" x14ac:dyDescent="0.25">
      <c r="A567" s="1">
        <v>44757</v>
      </c>
      <c r="B567" t="s">
        <v>7</v>
      </c>
      <c r="C567" t="s">
        <v>8</v>
      </c>
      <c r="D567" t="s">
        <v>18</v>
      </c>
      <c r="E567">
        <v>946.32</v>
      </c>
      <c r="F567">
        <v>721.91</v>
      </c>
      <c r="G567">
        <v>7</v>
      </c>
      <c r="H567">
        <f t="shared" si="48"/>
        <v>6624.2400000000007</v>
      </c>
      <c r="I567">
        <f t="shared" si="52"/>
        <v>5053.37</v>
      </c>
      <c r="J567">
        <f t="shared" si="49"/>
        <v>1570.8700000000008</v>
      </c>
      <c r="K567" s="8">
        <f t="shared" si="50"/>
        <v>0.23713965677572077</v>
      </c>
      <c r="L567" t="str">
        <f t="shared" si="53"/>
        <v>2022-07</v>
      </c>
      <c r="M567">
        <f t="shared" si="51"/>
        <v>1570.8700000000008</v>
      </c>
    </row>
    <row r="568" spans="1:13" x14ac:dyDescent="0.25">
      <c r="A568" s="1">
        <v>45297</v>
      </c>
      <c r="B568" t="s">
        <v>21</v>
      </c>
      <c r="C568" t="s">
        <v>20</v>
      </c>
      <c r="D568" t="s">
        <v>13</v>
      </c>
      <c r="E568">
        <v>1683.11</v>
      </c>
      <c r="F568">
        <v>1367.21</v>
      </c>
      <c r="G568">
        <v>2</v>
      </c>
      <c r="H568">
        <f t="shared" si="48"/>
        <v>3366.22</v>
      </c>
      <c r="I568">
        <f t="shared" si="52"/>
        <v>2734.42</v>
      </c>
      <c r="J568">
        <f t="shared" si="49"/>
        <v>631.79999999999973</v>
      </c>
      <c r="K568" s="8">
        <f t="shared" si="50"/>
        <v>0.18768826755232865</v>
      </c>
      <c r="L568" t="str">
        <f t="shared" si="53"/>
        <v>2024-01</v>
      </c>
      <c r="M568">
        <f t="shared" si="51"/>
        <v>631.79999999999973</v>
      </c>
    </row>
    <row r="569" spans="1:13" x14ac:dyDescent="0.25">
      <c r="A569" s="1">
        <v>45107</v>
      </c>
      <c r="B569" t="s">
        <v>25</v>
      </c>
      <c r="C569" t="s">
        <v>15</v>
      </c>
      <c r="D569" t="s">
        <v>18</v>
      </c>
      <c r="E569">
        <v>1923.53</v>
      </c>
      <c r="F569">
        <v>1462.39</v>
      </c>
      <c r="G569">
        <v>1</v>
      </c>
      <c r="H569">
        <f t="shared" si="48"/>
        <v>1923.53</v>
      </c>
      <c r="I569">
        <f t="shared" si="52"/>
        <v>1462.39</v>
      </c>
      <c r="J569">
        <f t="shared" si="49"/>
        <v>461.13999999999987</v>
      </c>
      <c r="K569" s="8">
        <f t="shared" si="50"/>
        <v>0.23973631812345006</v>
      </c>
      <c r="L569" t="str">
        <f t="shared" si="53"/>
        <v>2023-06</v>
      </c>
      <c r="M569">
        <f t="shared" si="51"/>
        <v>461.13999999999987</v>
      </c>
    </row>
    <row r="570" spans="1:13" x14ac:dyDescent="0.25">
      <c r="A570" s="1">
        <v>45607</v>
      </c>
      <c r="B570" t="s">
        <v>7</v>
      </c>
      <c r="C570" t="s">
        <v>8</v>
      </c>
      <c r="D570" t="s">
        <v>18</v>
      </c>
      <c r="E570">
        <v>143.65</v>
      </c>
      <c r="F570">
        <v>75.81</v>
      </c>
      <c r="G570">
        <v>1</v>
      </c>
      <c r="H570">
        <f t="shared" si="48"/>
        <v>143.65</v>
      </c>
      <c r="I570">
        <f t="shared" si="52"/>
        <v>75.81</v>
      </c>
      <c r="J570">
        <f t="shared" si="49"/>
        <v>67.84</v>
      </c>
      <c r="K570" s="8">
        <f t="shared" si="50"/>
        <v>0.47225896275670032</v>
      </c>
      <c r="L570" t="str">
        <f t="shared" si="53"/>
        <v>2024-11</v>
      </c>
      <c r="M570">
        <f t="shared" si="51"/>
        <v>67.84</v>
      </c>
    </row>
    <row r="571" spans="1:13" x14ac:dyDescent="0.25">
      <c r="A571" s="1">
        <v>44836</v>
      </c>
      <c r="B571" t="s">
        <v>12</v>
      </c>
      <c r="C571" t="s">
        <v>8</v>
      </c>
      <c r="D571" t="s">
        <v>9</v>
      </c>
      <c r="E571">
        <v>212.36</v>
      </c>
      <c r="F571">
        <v>165.46</v>
      </c>
      <c r="G571">
        <v>5</v>
      </c>
      <c r="H571">
        <f t="shared" si="48"/>
        <v>1061.8000000000002</v>
      </c>
      <c r="I571">
        <f t="shared" si="52"/>
        <v>827.30000000000007</v>
      </c>
      <c r="J571">
        <f t="shared" si="49"/>
        <v>234.50000000000011</v>
      </c>
      <c r="K571" s="8">
        <f t="shared" si="50"/>
        <v>0.22085138444151448</v>
      </c>
      <c r="L571" t="str">
        <f t="shared" si="53"/>
        <v>2022-10</v>
      </c>
      <c r="M571">
        <f t="shared" si="51"/>
        <v>234.50000000000011</v>
      </c>
    </row>
    <row r="572" spans="1:13" x14ac:dyDescent="0.25">
      <c r="A572" s="1">
        <v>44846</v>
      </c>
      <c r="B572" t="s">
        <v>14</v>
      </c>
      <c r="C572" t="s">
        <v>15</v>
      </c>
      <c r="D572" t="s">
        <v>18</v>
      </c>
      <c r="E572">
        <v>294.33</v>
      </c>
      <c r="F572">
        <v>241.04</v>
      </c>
      <c r="G572">
        <v>9</v>
      </c>
      <c r="H572">
        <f t="shared" si="48"/>
        <v>2648.97</v>
      </c>
      <c r="I572">
        <f t="shared" si="52"/>
        <v>2169.36</v>
      </c>
      <c r="J572">
        <f t="shared" si="49"/>
        <v>479.60999999999967</v>
      </c>
      <c r="K572" s="8">
        <f t="shared" si="50"/>
        <v>0.18105527808921948</v>
      </c>
      <c r="L572" t="str">
        <f t="shared" si="53"/>
        <v>2022-10</v>
      </c>
      <c r="M572">
        <f t="shared" si="51"/>
        <v>479.60999999999967</v>
      </c>
    </row>
    <row r="573" spans="1:13" x14ac:dyDescent="0.25">
      <c r="A573" s="1">
        <v>44605</v>
      </c>
      <c r="B573" t="s">
        <v>16</v>
      </c>
      <c r="C573" t="s">
        <v>15</v>
      </c>
      <c r="D573" t="s">
        <v>9</v>
      </c>
      <c r="E573">
        <v>623.16999999999996</v>
      </c>
      <c r="F573">
        <v>377.94</v>
      </c>
      <c r="G573">
        <v>3</v>
      </c>
      <c r="H573">
        <f t="shared" si="48"/>
        <v>1869.5099999999998</v>
      </c>
      <c r="I573">
        <f t="shared" si="52"/>
        <v>1133.82</v>
      </c>
      <c r="J573">
        <f t="shared" si="49"/>
        <v>735.68999999999983</v>
      </c>
      <c r="K573" s="8">
        <f t="shared" si="50"/>
        <v>0.39352022722531566</v>
      </c>
      <c r="L573" t="str">
        <f t="shared" si="53"/>
        <v>2022-02</v>
      </c>
      <c r="M573">
        <f t="shared" si="51"/>
        <v>735.68999999999983</v>
      </c>
    </row>
    <row r="574" spans="1:13" x14ac:dyDescent="0.25">
      <c r="A574" s="1">
        <v>44597</v>
      </c>
      <c r="B574" t="s">
        <v>14</v>
      </c>
      <c r="C574" t="s">
        <v>15</v>
      </c>
      <c r="D574" t="s">
        <v>17</v>
      </c>
      <c r="E574">
        <v>515.04</v>
      </c>
      <c r="F574">
        <v>296.51</v>
      </c>
      <c r="G574">
        <v>5</v>
      </c>
      <c r="H574">
        <f t="shared" si="48"/>
        <v>2575.1999999999998</v>
      </c>
      <c r="I574">
        <f t="shared" si="52"/>
        <v>1482.55</v>
      </c>
      <c r="J574">
        <f t="shared" si="49"/>
        <v>1092.6499999999999</v>
      </c>
      <c r="K574" s="8">
        <f t="shared" si="50"/>
        <v>0.42429714196955576</v>
      </c>
      <c r="L574" t="str">
        <f t="shared" si="53"/>
        <v>2022-02</v>
      </c>
      <c r="M574">
        <f t="shared" si="51"/>
        <v>1092.6499999999999</v>
      </c>
    </row>
    <row r="575" spans="1:13" x14ac:dyDescent="0.25">
      <c r="A575" s="1">
        <v>44680</v>
      </c>
      <c r="B575" t="s">
        <v>21</v>
      </c>
      <c r="C575" t="s">
        <v>20</v>
      </c>
      <c r="D575" t="s">
        <v>17</v>
      </c>
      <c r="E575">
        <v>858.14</v>
      </c>
      <c r="F575">
        <v>692.4</v>
      </c>
      <c r="G575">
        <v>9</v>
      </c>
      <c r="H575">
        <f t="shared" si="48"/>
        <v>7723.26</v>
      </c>
      <c r="I575">
        <f t="shared" si="52"/>
        <v>6231.5999999999995</v>
      </c>
      <c r="J575">
        <f t="shared" si="49"/>
        <v>1491.6600000000008</v>
      </c>
      <c r="K575" s="8">
        <f t="shared" si="50"/>
        <v>0.19313864870533956</v>
      </c>
      <c r="L575" t="str">
        <f t="shared" si="53"/>
        <v>2022-04</v>
      </c>
      <c r="M575">
        <f t="shared" si="51"/>
        <v>1491.6600000000008</v>
      </c>
    </row>
    <row r="576" spans="1:13" x14ac:dyDescent="0.25">
      <c r="A576" s="1">
        <v>45601</v>
      </c>
      <c r="B576" t="s">
        <v>14</v>
      </c>
      <c r="C576" t="s">
        <v>15</v>
      </c>
      <c r="D576" t="s">
        <v>17</v>
      </c>
      <c r="E576">
        <v>966.16</v>
      </c>
      <c r="F576">
        <v>579.70000000000005</v>
      </c>
      <c r="G576">
        <v>9</v>
      </c>
      <c r="H576">
        <f t="shared" si="48"/>
        <v>8695.44</v>
      </c>
      <c r="I576">
        <f t="shared" si="52"/>
        <v>5217.3</v>
      </c>
      <c r="J576">
        <f t="shared" si="49"/>
        <v>3478.1400000000003</v>
      </c>
      <c r="K576" s="8">
        <f t="shared" si="50"/>
        <v>0.39999585989898157</v>
      </c>
      <c r="L576" t="str">
        <f t="shared" si="53"/>
        <v>2024-11</v>
      </c>
      <c r="M576">
        <f t="shared" si="51"/>
        <v>3478.1400000000003</v>
      </c>
    </row>
    <row r="577" spans="1:13" x14ac:dyDescent="0.25">
      <c r="A577" s="1">
        <v>45460</v>
      </c>
      <c r="B577" t="s">
        <v>16</v>
      </c>
      <c r="C577" t="s">
        <v>15</v>
      </c>
      <c r="D577" t="s">
        <v>17</v>
      </c>
      <c r="E577">
        <v>381.39</v>
      </c>
      <c r="F577">
        <v>225.63</v>
      </c>
      <c r="G577">
        <v>7</v>
      </c>
      <c r="H577">
        <f t="shared" si="48"/>
        <v>2669.73</v>
      </c>
      <c r="I577">
        <f t="shared" si="52"/>
        <v>1579.4099999999999</v>
      </c>
      <c r="J577">
        <f t="shared" si="49"/>
        <v>1090.3200000000002</v>
      </c>
      <c r="K577" s="8">
        <f t="shared" si="50"/>
        <v>0.40840084952410921</v>
      </c>
      <c r="L577" t="str">
        <f t="shared" si="53"/>
        <v>2024-06</v>
      </c>
      <c r="M577">
        <f t="shared" si="51"/>
        <v>1090.3200000000002</v>
      </c>
    </row>
    <row r="578" spans="1:13" x14ac:dyDescent="0.25">
      <c r="A578" s="1">
        <v>45481</v>
      </c>
      <c r="B578" t="s">
        <v>7</v>
      </c>
      <c r="C578" t="s">
        <v>8</v>
      </c>
      <c r="D578" t="s">
        <v>9</v>
      </c>
      <c r="E578">
        <v>1887.95</v>
      </c>
      <c r="F578">
        <v>1404.43</v>
      </c>
      <c r="G578">
        <v>2</v>
      </c>
      <c r="H578">
        <f t="shared" si="48"/>
        <v>3775.9</v>
      </c>
      <c r="I578">
        <f t="shared" si="52"/>
        <v>2808.86</v>
      </c>
      <c r="J578">
        <f t="shared" si="49"/>
        <v>967.04</v>
      </c>
      <c r="K578" s="8">
        <f t="shared" si="50"/>
        <v>0.25610847744908499</v>
      </c>
      <c r="L578" t="str">
        <f t="shared" si="53"/>
        <v>2024-07</v>
      </c>
      <c r="M578">
        <f t="shared" si="51"/>
        <v>967.04</v>
      </c>
    </row>
    <row r="579" spans="1:13" x14ac:dyDescent="0.25">
      <c r="A579" s="1">
        <v>45253</v>
      </c>
      <c r="B579" t="s">
        <v>22</v>
      </c>
      <c r="C579" t="s">
        <v>8</v>
      </c>
      <c r="D579" t="s">
        <v>13</v>
      </c>
      <c r="E579">
        <v>1700.51</v>
      </c>
      <c r="F579">
        <v>1044.67</v>
      </c>
      <c r="G579">
        <v>3</v>
      </c>
      <c r="H579">
        <f t="shared" ref="H579:H642" si="54">E579*G579</f>
        <v>5101.53</v>
      </c>
      <c r="I579">
        <f t="shared" si="52"/>
        <v>3134.01</v>
      </c>
      <c r="J579">
        <f t="shared" ref="J579:J642" si="55">H579-I579</f>
        <v>1967.5199999999995</v>
      </c>
      <c r="K579" s="8">
        <f t="shared" ref="K579:K642" si="56">(H579-I579)/H579</f>
        <v>0.38567253353405734</v>
      </c>
      <c r="L579" t="str">
        <f t="shared" si="53"/>
        <v>2023-11</v>
      </c>
      <c r="M579">
        <f t="shared" ref="M579:M642" si="57">H579-I579</f>
        <v>1967.5199999999995</v>
      </c>
    </row>
    <row r="580" spans="1:13" x14ac:dyDescent="0.25">
      <c r="A580" s="1">
        <v>45197</v>
      </c>
      <c r="B580" t="s">
        <v>19</v>
      </c>
      <c r="C580" t="s">
        <v>20</v>
      </c>
      <c r="D580" t="s">
        <v>18</v>
      </c>
      <c r="E580">
        <v>1317.49</v>
      </c>
      <c r="F580">
        <v>741.46</v>
      </c>
      <c r="G580">
        <v>5</v>
      </c>
      <c r="H580">
        <f t="shared" si="54"/>
        <v>6587.45</v>
      </c>
      <c r="I580">
        <f t="shared" ref="I580:I643" si="58">F580*G580</f>
        <v>3707.3</v>
      </c>
      <c r="J580">
        <f t="shared" si="55"/>
        <v>2880.1499999999996</v>
      </c>
      <c r="K580" s="8">
        <f t="shared" si="56"/>
        <v>0.43721773979309136</v>
      </c>
      <c r="L580" t="str">
        <f t="shared" ref="L580:L643" si="59">TEXT(A580,"rrrr-mm")</f>
        <v>2023-09</v>
      </c>
      <c r="M580">
        <f t="shared" si="57"/>
        <v>2880.1499999999996</v>
      </c>
    </row>
    <row r="581" spans="1:13" x14ac:dyDescent="0.25">
      <c r="A581" s="1">
        <v>45516</v>
      </c>
      <c r="B581" t="s">
        <v>12</v>
      </c>
      <c r="C581" t="s">
        <v>8</v>
      </c>
      <c r="D581" t="s">
        <v>13</v>
      </c>
      <c r="E581">
        <v>974.09</v>
      </c>
      <c r="F581">
        <v>497.91</v>
      </c>
      <c r="G581">
        <v>7</v>
      </c>
      <c r="H581">
        <f t="shared" si="54"/>
        <v>6818.63</v>
      </c>
      <c r="I581">
        <f t="shared" si="58"/>
        <v>3485.3700000000003</v>
      </c>
      <c r="J581">
        <f t="shared" si="55"/>
        <v>3333.2599999999998</v>
      </c>
      <c r="K581" s="8">
        <f t="shared" si="56"/>
        <v>0.48884599985627608</v>
      </c>
      <c r="L581" t="str">
        <f t="shared" si="59"/>
        <v>2024-08</v>
      </c>
      <c r="M581">
        <f t="shared" si="57"/>
        <v>3333.2599999999998</v>
      </c>
    </row>
    <row r="582" spans="1:13" x14ac:dyDescent="0.25">
      <c r="A582" s="1">
        <v>45052</v>
      </c>
      <c r="B582" t="s">
        <v>25</v>
      </c>
      <c r="C582" t="s">
        <v>15</v>
      </c>
      <c r="D582" t="s">
        <v>9</v>
      </c>
      <c r="E582">
        <v>62.73</v>
      </c>
      <c r="F582">
        <v>41.08</v>
      </c>
      <c r="G582">
        <v>7</v>
      </c>
      <c r="H582">
        <f t="shared" si="54"/>
        <v>439.10999999999996</v>
      </c>
      <c r="I582">
        <f t="shared" si="58"/>
        <v>287.56</v>
      </c>
      <c r="J582">
        <f t="shared" si="55"/>
        <v>151.54999999999995</v>
      </c>
      <c r="K582" s="8">
        <f t="shared" si="56"/>
        <v>0.34512992188745412</v>
      </c>
      <c r="L582" t="str">
        <f t="shared" si="59"/>
        <v>2023-05</v>
      </c>
      <c r="M582">
        <f t="shared" si="57"/>
        <v>151.54999999999995</v>
      </c>
    </row>
    <row r="583" spans="1:13" x14ac:dyDescent="0.25">
      <c r="A583" s="1">
        <v>45026</v>
      </c>
      <c r="B583" t="s">
        <v>22</v>
      </c>
      <c r="C583" t="s">
        <v>8</v>
      </c>
      <c r="D583" t="s">
        <v>13</v>
      </c>
      <c r="E583">
        <v>93.61</v>
      </c>
      <c r="F583">
        <v>47.22</v>
      </c>
      <c r="G583">
        <v>2</v>
      </c>
      <c r="H583">
        <f t="shared" si="54"/>
        <v>187.22</v>
      </c>
      <c r="I583">
        <f t="shared" si="58"/>
        <v>94.44</v>
      </c>
      <c r="J583">
        <f t="shared" si="55"/>
        <v>92.78</v>
      </c>
      <c r="K583" s="8">
        <f t="shared" si="56"/>
        <v>0.4955667129580173</v>
      </c>
      <c r="L583" t="str">
        <f t="shared" si="59"/>
        <v>2023-04</v>
      </c>
      <c r="M583">
        <f t="shared" si="57"/>
        <v>92.78</v>
      </c>
    </row>
    <row r="584" spans="1:13" x14ac:dyDescent="0.25">
      <c r="A584" s="1">
        <v>44819</v>
      </c>
      <c r="B584" t="s">
        <v>12</v>
      </c>
      <c r="C584" t="s">
        <v>8</v>
      </c>
      <c r="D584" t="s">
        <v>9</v>
      </c>
      <c r="E584">
        <v>590.17999999999995</v>
      </c>
      <c r="F584">
        <v>476.7</v>
      </c>
      <c r="G584">
        <v>8</v>
      </c>
      <c r="H584">
        <f t="shared" si="54"/>
        <v>4721.4399999999996</v>
      </c>
      <c r="I584">
        <f t="shared" si="58"/>
        <v>3813.6</v>
      </c>
      <c r="J584">
        <f t="shared" si="55"/>
        <v>907.83999999999969</v>
      </c>
      <c r="K584" s="8">
        <f t="shared" si="56"/>
        <v>0.19228032125792127</v>
      </c>
      <c r="L584" t="str">
        <f t="shared" si="59"/>
        <v>2022-09</v>
      </c>
      <c r="M584">
        <f t="shared" si="57"/>
        <v>907.83999999999969</v>
      </c>
    </row>
    <row r="585" spans="1:13" x14ac:dyDescent="0.25">
      <c r="A585" s="1">
        <v>44591</v>
      </c>
      <c r="B585" t="s">
        <v>19</v>
      </c>
      <c r="C585" t="s">
        <v>20</v>
      </c>
      <c r="D585" t="s">
        <v>9</v>
      </c>
      <c r="E585">
        <v>1388.24</v>
      </c>
      <c r="F585">
        <v>1232.99</v>
      </c>
      <c r="G585">
        <v>1</v>
      </c>
      <c r="H585">
        <f t="shared" si="54"/>
        <v>1388.24</v>
      </c>
      <c r="I585">
        <f t="shared" si="58"/>
        <v>1232.99</v>
      </c>
      <c r="J585">
        <f t="shared" si="55"/>
        <v>155.25</v>
      </c>
      <c r="K585" s="8">
        <f t="shared" si="56"/>
        <v>0.11183224802627788</v>
      </c>
      <c r="L585" t="str">
        <f t="shared" si="59"/>
        <v>2022-01</v>
      </c>
      <c r="M585">
        <f t="shared" si="57"/>
        <v>155.25</v>
      </c>
    </row>
    <row r="586" spans="1:13" x14ac:dyDescent="0.25">
      <c r="A586" s="1">
        <v>45503</v>
      </c>
      <c r="B586" t="s">
        <v>22</v>
      </c>
      <c r="C586" t="s">
        <v>8</v>
      </c>
      <c r="D586" t="s">
        <v>13</v>
      </c>
      <c r="E586">
        <v>1296.4100000000001</v>
      </c>
      <c r="F586">
        <v>888</v>
      </c>
      <c r="G586">
        <v>3</v>
      </c>
      <c r="H586">
        <f t="shared" si="54"/>
        <v>3889.2300000000005</v>
      </c>
      <c r="I586">
        <f t="shared" si="58"/>
        <v>2664</v>
      </c>
      <c r="J586">
        <f t="shared" si="55"/>
        <v>1225.2300000000005</v>
      </c>
      <c r="K586" s="8">
        <f t="shared" si="56"/>
        <v>0.31503151009325764</v>
      </c>
      <c r="L586" t="str">
        <f t="shared" si="59"/>
        <v>2024-07</v>
      </c>
      <c r="M586">
        <f t="shared" si="57"/>
        <v>1225.2300000000005</v>
      </c>
    </row>
    <row r="587" spans="1:13" x14ac:dyDescent="0.25">
      <c r="A587" s="1">
        <v>44906</v>
      </c>
      <c r="B587" t="s">
        <v>22</v>
      </c>
      <c r="C587" t="s">
        <v>8</v>
      </c>
      <c r="D587" t="s">
        <v>18</v>
      </c>
      <c r="E587">
        <v>130.82</v>
      </c>
      <c r="F587">
        <v>69.41</v>
      </c>
      <c r="G587">
        <v>1</v>
      </c>
      <c r="H587">
        <f t="shared" si="54"/>
        <v>130.82</v>
      </c>
      <c r="I587">
        <f t="shared" si="58"/>
        <v>69.41</v>
      </c>
      <c r="J587">
        <f t="shared" si="55"/>
        <v>61.41</v>
      </c>
      <c r="K587" s="8">
        <f t="shared" si="56"/>
        <v>0.46942363552973554</v>
      </c>
      <c r="L587" t="str">
        <f t="shared" si="59"/>
        <v>2022-12</v>
      </c>
      <c r="M587">
        <f t="shared" si="57"/>
        <v>61.41</v>
      </c>
    </row>
    <row r="588" spans="1:13" x14ac:dyDescent="0.25">
      <c r="A588" s="1">
        <v>45443</v>
      </c>
      <c r="B588" t="s">
        <v>21</v>
      </c>
      <c r="C588" t="s">
        <v>20</v>
      </c>
      <c r="D588" t="s">
        <v>18</v>
      </c>
      <c r="E588">
        <v>903.54</v>
      </c>
      <c r="F588">
        <v>672.72</v>
      </c>
      <c r="G588">
        <v>4</v>
      </c>
      <c r="H588">
        <f t="shared" si="54"/>
        <v>3614.16</v>
      </c>
      <c r="I588">
        <f t="shared" si="58"/>
        <v>2690.88</v>
      </c>
      <c r="J588">
        <f t="shared" si="55"/>
        <v>923.27999999999975</v>
      </c>
      <c r="K588" s="8">
        <f t="shared" si="56"/>
        <v>0.25546185005644462</v>
      </c>
      <c r="L588" t="str">
        <f t="shared" si="59"/>
        <v>2024-05</v>
      </c>
      <c r="M588">
        <f t="shared" si="57"/>
        <v>923.27999999999975</v>
      </c>
    </row>
    <row r="589" spans="1:13" x14ac:dyDescent="0.25">
      <c r="A589" s="1">
        <v>44733</v>
      </c>
      <c r="B589" t="s">
        <v>16</v>
      </c>
      <c r="C589" t="s">
        <v>15</v>
      </c>
      <c r="D589" t="s">
        <v>13</v>
      </c>
      <c r="E589">
        <v>1052.3900000000001</v>
      </c>
      <c r="F589">
        <v>703.17</v>
      </c>
      <c r="G589">
        <v>3</v>
      </c>
      <c r="H589">
        <f t="shared" si="54"/>
        <v>3157.17</v>
      </c>
      <c r="I589">
        <f t="shared" si="58"/>
        <v>2109.5099999999998</v>
      </c>
      <c r="J589">
        <f t="shared" si="55"/>
        <v>1047.6600000000003</v>
      </c>
      <c r="K589" s="8">
        <f t="shared" si="56"/>
        <v>0.33183515616834075</v>
      </c>
      <c r="L589" t="str">
        <f t="shared" si="59"/>
        <v>2022-06</v>
      </c>
      <c r="M589">
        <f t="shared" si="57"/>
        <v>1047.6600000000003</v>
      </c>
    </row>
    <row r="590" spans="1:13" x14ac:dyDescent="0.25">
      <c r="A590" s="1">
        <v>45166</v>
      </c>
      <c r="B590" t="s">
        <v>24</v>
      </c>
      <c r="C590" t="s">
        <v>20</v>
      </c>
      <c r="D590" t="s">
        <v>17</v>
      </c>
      <c r="E590">
        <v>1341.21</v>
      </c>
      <c r="F590">
        <v>940.32</v>
      </c>
      <c r="G590">
        <v>9</v>
      </c>
      <c r="H590">
        <f t="shared" si="54"/>
        <v>12070.89</v>
      </c>
      <c r="I590">
        <f t="shared" si="58"/>
        <v>8462.880000000001</v>
      </c>
      <c r="J590">
        <f t="shared" si="55"/>
        <v>3608.0099999999984</v>
      </c>
      <c r="K590" s="8">
        <f t="shared" si="56"/>
        <v>0.29890173798286612</v>
      </c>
      <c r="L590" t="str">
        <f t="shared" si="59"/>
        <v>2023-08</v>
      </c>
      <c r="M590">
        <f t="shared" si="57"/>
        <v>3608.0099999999984</v>
      </c>
    </row>
    <row r="591" spans="1:13" x14ac:dyDescent="0.25">
      <c r="A591" s="1">
        <v>44682</v>
      </c>
      <c r="B591" t="s">
        <v>19</v>
      </c>
      <c r="C591" t="s">
        <v>20</v>
      </c>
      <c r="D591" t="s">
        <v>18</v>
      </c>
      <c r="E591">
        <v>1741.67</v>
      </c>
      <c r="F591">
        <v>1529.56</v>
      </c>
      <c r="G591">
        <v>7</v>
      </c>
      <c r="H591">
        <f t="shared" si="54"/>
        <v>12191.69</v>
      </c>
      <c r="I591">
        <f t="shared" si="58"/>
        <v>10706.92</v>
      </c>
      <c r="J591">
        <f t="shared" si="55"/>
        <v>1484.7700000000004</v>
      </c>
      <c r="K591" s="8">
        <f t="shared" si="56"/>
        <v>0.12178541285088453</v>
      </c>
      <c r="L591" t="str">
        <f t="shared" si="59"/>
        <v>2022-05</v>
      </c>
      <c r="M591">
        <f t="shared" si="57"/>
        <v>1484.7700000000004</v>
      </c>
    </row>
    <row r="592" spans="1:13" x14ac:dyDescent="0.25">
      <c r="A592" s="1">
        <v>45028</v>
      </c>
      <c r="B592" t="s">
        <v>7</v>
      </c>
      <c r="C592" t="s">
        <v>8</v>
      </c>
      <c r="D592" t="s">
        <v>18</v>
      </c>
      <c r="E592">
        <v>852.32</v>
      </c>
      <c r="F592">
        <v>644.75</v>
      </c>
      <c r="G592">
        <v>4</v>
      </c>
      <c r="H592">
        <f t="shared" si="54"/>
        <v>3409.28</v>
      </c>
      <c r="I592">
        <f t="shared" si="58"/>
        <v>2579</v>
      </c>
      <c r="J592">
        <f t="shared" si="55"/>
        <v>830.2800000000002</v>
      </c>
      <c r="K592" s="8">
        <f t="shared" si="56"/>
        <v>0.24353529190914214</v>
      </c>
      <c r="L592" t="str">
        <f t="shared" si="59"/>
        <v>2023-04</v>
      </c>
      <c r="M592">
        <f t="shared" si="57"/>
        <v>830.2800000000002</v>
      </c>
    </row>
    <row r="593" spans="1:13" x14ac:dyDescent="0.25">
      <c r="A593" s="1">
        <v>45089</v>
      </c>
      <c r="B593" t="s">
        <v>19</v>
      </c>
      <c r="C593" t="s">
        <v>20</v>
      </c>
      <c r="D593" t="s">
        <v>17</v>
      </c>
      <c r="E593">
        <v>1702.18</v>
      </c>
      <c r="F593">
        <v>1134.43</v>
      </c>
      <c r="G593">
        <v>9</v>
      </c>
      <c r="H593">
        <f t="shared" si="54"/>
        <v>15319.62</v>
      </c>
      <c r="I593">
        <f t="shared" si="58"/>
        <v>10209.870000000001</v>
      </c>
      <c r="J593">
        <f t="shared" si="55"/>
        <v>5109.75</v>
      </c>
      <c r="K593" s="8">
        <f t="shared" si="56"/>
        <v>0.33354286855679188</v>
      </c>
      <c r="L593" t="str">
        <f t="shared" si="59"/>
        <v>2023-06</v>
      </c>
      <c r="M593">
        <f t="shared" si="57"/>
        <v>5109.75</v>
      </c>
    </row>
    <row r="594" spans="1:13" x14ac:dyDescent="0.25">
      <c r="A594" s="1">
        <v>45651</v>
      </c>
      <c r="B594" t="s">
        <v>14</v>
      </c>
      <c r="C594" t="s">
        <v>15</v>
      </c>
      <c r="D594" t="s">
        <v>18</v>
      </c>
      <c r="E594">
        <v>225.82</v>
      </c>
      <c r="F594">
        <v>144.15</v>
      </c>
      <c r="G594">
        <v>1</v>
      </c>
      <c r="H594">
        <f t="shared" si="54"/>
        <v>225.82</v>
      </c>
      <c r="I594">
        <f t="shared" si="58"/>
        <v>144.15</v>
      </c>
      <c r="J594">
        <f t="shared" si="55"/>
        <v>81.669999999999987</v>
      </c>
      <c r="K594" s="8">
        <f t="shared" si="56"/>
        <v>0.36165972898768928</v>
      </c>
      <c r="L594" t="str">
        <f t="shared" si="59"/>
        <v>2024-12</v>
      </c>
      <c r="M594">
        <f t="shared" si="57"/>
        <v>81.669999999999987</v>
      </c>
    </row>
    <row r="595" spans="1:13" x14ac:dyDescent="0.25">
      <c r="A595" s="1">
        <v>44920</v>
      </c>
      <c r="B595" t="s">
        <v>23</v>
      </c>
      <c r="C595" t="s">
        <v>11</v>
      </c>
      <c r="D595" t="s">
        <v>13</v>
      </c>
      <c r="E595">
        <v>1137.1300000000001</v>
      </c>
      <c r="F595">
        <v>840.9</v>
      </c>
      <c r="G595">
        <v>3</v>
      </c>
      <c r="H595">
        <f t="shared" si="54"/>
        <v>3411.3900000000003</v>
      </c>
      <c r="I595">
        <f t="shared" si="58"/>
        <v>2522.6999999999998</v>
      </c>
      <c r="J595">
        <f t="shared" si="55"/>
        <v>888.69000000000051</v>
      </c>
      <c r="K595" s="8">
        <f t="shared" si="56"/>
        <v>0.26050671427189515</v>
      </c>
      <c r="L595" t="str">
        <f t="shared" si="59"/>
        <v>2022-12</v>
      </c>
      <c r="M595">
        <f t="shared" si="57"/>
        <v>888.69000000000051</v>
      </c>
    </row>
    <row r="596" spans="1:13" x14ac:dyDescent="0.25">
      <c r="A596" s="1">
        <v>45054</v>
      </c>
      <c r="B596" t="s">
        <v>23</v>
      </c>
      <c r="C596" t="s">
        <v>11</v>
      </c>
      <c r="D596" t="s">
        <v>17</v>
      </c>
      <c r="E596">
        <v>1845.58</v>
      </c>
      <c r="F596">
        <v>1651.78</v>
      </c>
      <c r="G596">
        <v>2</v>
      </c>
      <c r="H596">
        <f t="shared" si="54"/>
        <v>3691.16</v>
      </c>
      <c r="I596">
        <f t="shared" si="58"/>
        <v>3303.56</v>
      </c>
      <c r="J596">
        <f t="shared" si="55"/>
        <v>387.59999999999991</v>
      </c>
      <c r="K596" s="8">
        <f t="shared" si="56"/>
        <v>0.10500763987472771</v>
      </c>
      <c r="L596" t="str">
        <f t="shared" si="59"/>
        <v>2023-05</v>
      </c>
      <c r="M596">
        <f t="shared" si="57"/>
        <v>387.59999999999991</v>
      </c>
    </row>
    <row r="597" spans="1:13" x14ac:dyDescent="0.25">
      <c r="A597" s="1">
        <v>44765</v>
      </c>
      <c r="B597" t="s">
        <v>19</v>
      </c>
      <c r="C597" t="s">
        <v>20</v>
      </c>
      <c r="D597" t="s">
        <v>18</v>
      </c>
      <c r="E597">
        <v>494.14</v>
      </c>
      <c r="F597">
        <v>254.07</v>
      </c>
      <c r="G597">
        <v>3</v>
      </c>
      <c r="H597">
        <f t="shared" si="54"/>
        <v>1482.42</v>
      </c>
      <c r="I597">
        <f t="shared" si="58"/>
        <v>762.21</v>
      </c>
      <c r="J597">
        <f t="shared" si="55"/>
        <v>720.21</v>
      </c>
      <c r="K597" s="8">
        <f t="shared" si="56"/>
        <v>0.48583397417735863</v>
      </c>
      <c r="L597" t="str">
        <f t="shared" si="59"/>
        <v>2022-07</v>
      </c>
      <c r="M597">
        <f t="shared" si="57"/>
        <v>720.21</v>
      </c>
    </row>
    <row r="598" spans="1:13" x14ac:dyDescent="0.25">
      <c r="A598" s="1">
        <v>45069</v>
      </c>
      <c r="B598" t="s">
        <v>14</v>
      </c>
      <c r="C598" t="s">
        <v>15</v>
      </c>
      <c r="D598" t="s">
        <v>13</v>
      </c>
      <c r="E598">
        <v>1032.24</v>
      </c>
      <c r="F598">
        <v>625.79</v>
      </c>
      <c r="G598">
        <v>1</v>
      </c>
      <c r="H598">
        <f t="shared" si="54"/>
        <v>1032.24</v>
      </c>
      <c r="I598">
        <f t="shared" si="58"/>
        <v>625.79</v>
      </c>
      <c r="J598">
        <f t="shared" si="55"/>
        <v>406.45000000000005</v>
      </c>
      <c r="K598" s="8">
        <f t="shared" si="56"/>
        <v>0.39375532821824388</v>
      </c>
      <c r="L598" t="str">
        <f t="shared" si="59"/>
        <v>2023-05</v>
      </c>
      <c r="M598">
        <f t="shared" si="57"/>
        <v>406.45000000000005</v>
      </c>
    </row>
    <row r="599" spans="1:13" x14ac:dyDescent="0.25">
      <c r="A599" s="1">
        <v>45299</v>
      </c>
      <c r="B599" t="s">
        <v>7</v>
      </c>
      <c r="C599" t="s">
        <v>8</v>
      </c>
      <c r="D599" t="s">
        <v>13</v>
      </c>
      <c r="E599">
        <v>1341.53</v>
      </c>
      <c r="F599">
        <v>833.4</v>
      </c>
      <c r="G599">
        <v>3</v>
      </c>
      <c r="H599">
        <f t="shared" si="54"/>
        <v>4024.59</v>
      </c>
      <c r="I599">
        <f t="shared" si="58"/>
        <v>2500.1999999999998</v>
      </c>
      <c r="J599">
        <f t="shared" si="55"/>
        <v>1524.3900000000003</v>
      </c>
      <c r="K599" s="8">
        <f t="shared" si="56"/>
        <v>0.37876901746513314</v>
      </c>
      <c r="L599" t="str">
        <f t="shared" si="59"/>
        <v>2024-01</v>
      </c>
      <c r="M599">
        <f t="shared" si="57"/>
        <v>1524.3900000000003</v>
      </c>
    </row>
    <row r="600" spans="1:13" x14ac:dyDescent="0.25">
      <c r="A600" s="1">
        <v>44744</v>
      </c>
      <c r="B600" t="s">
        <v>19</v>
      </c>
      <c r="C600" t="s">
        <v>20</v>
      </c>
      <c r="D600" t="s">
        <v>18</v>
      </c>
      <c r="E600">
        <v>1623.07</v>
      </c>
      <c r="F600">
        <v>1424.1</v>
      </c>
      <c r="G600">
        <v>3</v>
      </c>
      <c r="H600">
        <f t="shared" si="54"/>
        <v>4869.21</v>
      </c>
      <c r="I600">
        <f t="shared" si="58"/>
        <v>4272.2999999999993</v>
      </c>
      <c r="J600">
        <f t="shared" si="55"/>
        <v>596.91000000000076</v>
      </c>
      <c r="K600" s="8">
        <f t="shared" si="56"/>
        <v>0.12258867454884895</v>
      </c>
      <c r="L600" t="str">
        <f t="shared" si="59"/>
        <v>2022-07</v>
      </c>
      <c r="M600">
        <f t="shared" si="57"/>
        <v>596.91000000000076</v>
      </c>
    </row>
    <row r="601" spans="1:13" x14ac:dyDescent="0.25">
      <c r="A601" s="1">
        <v>45637</v>
      </c>
      <c r="B601" t="s">
        <v>19</v>
      </c>
      <c r="C601" t="s">
        <v>20</v>
      </c>
      <c r="D601" t="s">
        <v>13</v>
      </c>
      <c r="E601">
        <v>1920.5</v>
      </c>
      <c r="F601">
        <v>1321.86</v>
      </c>
      <c r="G601">
        <v>5</v>
      </c>
      <c r="H601">
        <f t="shared" si="54"/>
        <v>9602.5</v>
      </c>
      <c r="I601">
        <f t="shared" si="58"/>
        <v>6609.2999999999993</v>
      </c>
      <c r="J601">
        <f t="shared" si="55"/>
        <v>2993.2000000000007</v>
      </c>
      <c r="K601" s="8">
        <f t="shared" si="56"/>
        <v>0.31171049205935963</v>
      </c>
      <c r="L601" t="str">
        <f t="shared" si="59"/>
        <v>2024-12</v>
      </c>
      <c r="M601">
        <f t="shared" si="57"/>
        <v>2993.2000000000007</v>
      </c>
    </row>
    <row r="602" spans="1:13" x14ac:dyDescent="0.25">
      <c r="A602" s="1">
        <v>45355</v>
      </c>
      <c r="B602" t="s">
        <v>19</v>
      </c>
      <c r="C602" t="s">
        <v>20</v>
      </c>
      <c r="D602" t="s">
        <v>18</v>
      </c>
      <c r="E602">
        <v>157.5</v>
      </c>
      <c r="F602">
        <v>95.82</v>
      </c>
      <c r="G602">
        <v>9</v>
      </c>
      <c r="H602">
        <f t="shared" si="54"/>
        <v>1417.5</v>
      </c>
      <c r="I602">
        <f t="shared" si="58"/>
        <v>862.37999999999988</v>
      </c>
      <c r="J602">
        <f t="shared" si="55"/>
        <v>555.12000000000012</v>
      </c>
      <c r="K602" s="8">
        <f t="shared" si="56"/>
        <v>0.3916190476190477</v>
      </c>
      <c r="L602" t="str">
        <f t="shared" si="59"/>
        <v>2024-03</v>
      </c>
      <c r="M602">
        <f t="shared" si="57"/>
        <v>555.12000000000012</v>
      </c>
    </row>
    <row r="603" spans="1:13" x14ac:dyDescent="0.25">
      <c r="A603" s="1">
        <v>44641</v>
      </c>
      <c r="B603" t="s">
        <v>14</v>
      </c>
      <c r="C603" t="s">
        <v>15</v>
      </c>
      <c r="D603" t="s">
        <v>17</v>
      </c>
      <c r="E603">
        <v>934.84</v>
      </c>
      <c r="F603">
        <v>605.45000000000005</v>
      </c>
      <c r="G603">
        <v>3</v>
      </c>
      <c r="H603">
        <f t="shared" si="54"/>
        <v>2804.52</v>
      </c>
      <c r="I603">
        <f t="shared" si="58"/>
        <v>1816.3500000000001</v>
      </c>
      <c r="J603">
        <f t="shared" si="55"/>
        <v>988.16999999999985</v>
      </c>
      <c r="K603" s="8">
        <f t="shared" si="56"/>
        <v>0.35234906508065544</v>
      </c>
      <c r="L603" t="str">
        <f t="shared" si="59"/>
        <v>2022-03</v>
      </c>
      <c r="M603">
        <f t="shared" si="57"/>
        <v>988.16999999999985</v>
      </c>
    </row>
    <row r="604" spans="1:13" x14ac:dyDescent="0.25">
      <c r="A604" s="1">
        <v>45652</v>
      </c>
      <c r="B604" t="s">
        <v>19</v>
      </c>
      <c r="C604" t="s">
        <v>20</v>
      </c>
      <c r="D604" t="s">
        <v>9</v>
      </c>
      <c r="E604">
        <v>246.01</v>
      </c>
      <c r="F604">
        <v>134.87</v>
      </c>
      <c r="G604">
        <v>10</v>
      </c>
      <c r="H604">
        <f t="shared" si="54"/>
        <v>2460.1</v>
      </c>
      <c r="I604">
        <f t="shared" si="58"/>
        <v>1348.7</v>
      </c>
      <c r="J604">
        <f t="shared" si="55"/>
        <v>1111.3999999999999</v>
      </c>
      <c r="K604" s="8">
        <f t="shared" si="56"/>
        <v>0.45177025324173808</v>
      </c>
      <c r="L604" t="str">
        <f t="shared" si="59"/>
        <v>2024-12</v>
      </c>
      <c r="M604">
        <f t="shared" si="57"/>
        <v>1111.3999999999999</v>
      </c>
    </row>
    <row r="605" spans="1:13" x14ac:dyDescent="0.25">
      <c r="A605" s="1">
        <v>45098</v>
      </c>
      <c r="B605" t="s">
        <v>7</v>
      </c>
      <c r="C605" t="s">
        <v>8</v>
      </c>
      <c r="D605" t="s">
        <v>13</v>
      </c>
      <c r="E605">
        <v>983.23</v>
      </c>
      <c r="F605">
        <v>814.06</v>
      </c>
      <c r="G605">
        <v>8</v>
      </c>
      <c r="H605">
        <f t="shared" si="54"/>
        <v>7865.84</v>
      </c>
      <c r="I605">
        <f t="shared" si="58"/>
        <v>6512.48</v>
      </c>
      <c r="J605">
        <f t="shared" si="55"/>
        <v>1353.3600000000006</v>
      </c>
      <c r="K605" s="8">
        <f t="shared" si="56"/>
        <v>0.17205536853025241</v>
      </c>
      <c r="L605" t="str">
        <f t="shared" si="59"/>
        <v>2023-06</v>
      </c>
      <c r="M605">
        <f t="shared" si="57"/>
        <v>1353.3600000000006</v>
      </c>
    </row>
    <row r="606" spans="1:13" x14ac:dyDescent="0.25">
      <c r="A606" s="1">
        <v>45400</v>
      </c>
      <c r="B606" t="s">
        <v>7</v>
      </c>
      <c r="C606" t="s">
        <v>8</v>
      </c>
      <c r="D606" t="s">
        <v>18</v>
      </c>
      <c r="E606">
        <v>1444.62</v>
      </c>
      <c r="F606">
        <v>926.9</v>
      </c>
      <c r="G606">
        <v>4</v>
      </c>
      <c r="H606">
        <f t="shared" si="54"/>
        <v>5778.48</v>
      </c>
      <c r="I606">
        <f t="shared" si="58"/>
        <v>3707.6</v>
      </c>
      <c r="J606">
        <f t="shared" si="55"/>
        <v>2070.8799999999997</v>
      </c>
      <c r="K606" s="8">
        <f t="shared" si="56"/>
        <v>0.35837798175298691</v>
      </c>
      <c r="L606" t="str">
        <f t="shared" si="59"/>
        <v>2024-04</v>
      </c>
      <c r="M606">
        <f t="shared" si="57"/>
        <v>2070.8799999999997</v>
      </c>
    </row>
    <row r="607" spans="1:13" x14ac:dyDescent="0.25">
      <c r="A607" s="1">
        <v>44626</v>
      </c>
      <c r="B607" t="s">
        <v>12</v>
      </c>
      <c r="C607" t="s">
        <v>8</v>
      </c>
      <c r="D607" t="s">
        <v>17</v>
      </c>
      <c r="E607">
        <v>985.39</v>
      </c>
      <c r="F607">
        <v>783.84</v>
      </c>
      <c r="G607">
        <v>3</v>
      </c>
      <c r="H607">
        <f t="shared" si="54"/>
        <v>2956.17</v>
      </c>
      <c r="I607">
        <f t="shared" si="58"/>
        <v>2351.52</v>
      </c>
      <c r="J607">
        <f t="shared" si="55"/>
        <v>604.65000000000009</v>
      </c>
      <c r="K607" s="8">
        <f t="shared" si="56"/>
        <v>0.20453830463065387</v>
      </c>
      <c r="L607" t="str">
        <f t="shared" si="59"/>
        <v>2022-03</v>
      </c>
      <c r="M607">
        <f t="shared" si="57"/>
        <v>604.65000000000009</v>
      </c>
    </row>
    <row r="608" spans="1:13" x14ac:dyDescent="0.25">
      <c r="A608" s="1">
        <v>45631</v>
      </c>
      <c r="B608" t="s">
        <v>19</v>
      </c>
      <c r="C608" t="s">
        <v>20</v>
      </c>
      <c r="D608" t="s">
        <v>18</v>
      </c>
      <c r="E608">
        <v>1118.9000000000001</v>
      </c>
      <c r="F608">
        <v>740.26</v>
      </c>
      <c r="G608">
        <v>8</v>
      </c>
      <c r="H608">
        <f t="shared" si="54"/>
        <v>8951.2000000000007</v>
      </c>
      <c r="I608">
        <f t="shared" si="58"/>
        <v>5922.08</v>
      </c>
      <c r="J608">
        <f t="shared" si="55"/>
        <v>3029.1200000000008</v>
      </c>
      <c r="K608" s="8">
        <f t="shared" si="56"/>
        <v>0.33840378943605331</v>
      </c>
      <c r="L608" t="str">
        <f t="shared" si="59"/>
        <v>2024-12</v>
      </c>
      <c r="M608">
        <f t="shared" si="57"/>
        <v>3029.1200000000008</v>
      </c>
    </row>
    <row r="609" spans="1:13" x14ac:dyDescent="0.25">
      <c r="A609" s="1">
        <v>45336</v>
      </c>
      <c r="B609" t="s">
        <v>23</v>
      </c>
      <c r="C609" t="s">
        <v>11</v>
      </c>
      <c r="D609" t="s">
        <v>17</v>
      </c>
      <c r="E609">
        <v>1142.1099999999999</v>
      </c>
      <c r="F609">
        <v>579.29</v>
      </c>
      <c r="G609">
        <v>7</v>
      </c>
      <c r="H609">
        <f t="shared" si="54"/>
        <v>7994.7699999999995</v>
      </c>
      <c r="I609">
        <f t="shared" si="58"/>
        <v>4055.0299999999997</v>
      </c>
      <c r="J609">
        <f t="shared" si="55"/>
        <v>3939.74</v>
      </c>
      <c r="K609" s="8">
        <f t="shared" si="56"/>
        <v>0.49278966124103635</v>
      </c>
      <c r="L609" t="str">
        <f t="shared" si="59"/>
        <v>2024-02</v>
      </c>
      <c r="M609">
        <f t="shared" si="57"/>
        <v>3939.74</v>
      </c>
    </row>
    <row r="610" spans="1:13" x14ac:dyDescent="0.25">
      <c r="A610" s="1">
        <v>45066</v>
      </c>
      <c r="B610" t="s">
        <v>22</v>
      </c>
      <c r="C610" t="s">
        <v>8</v>
      </c>
      <c r="D610" t="s">
        <v>18</v>
      </c>
      <c r="E610">
        <v>181.55</v>
      </c>
      <c r="F610">
        <v>102.66</v>
      </c>
      <c r="G610">
        <v>6</v>
      </c>
      <c r="H610">
        <f t="shared" si="54"/>
        <v>1089.3000000000002</v>
      </c>
      <c r="I610">
        <f t="shared" si="58"/>
        <v>615.96</v>
      </c>
      <c r="J610">
        <f t="shared" si="55"/>
        <v>473.34000000000015</v>
      </c>
      <c r="K610" s="8">
        <f t="shared" si="56"/>
        <v>0.43453594051225564</v>
      </c>
      <c r="L610" t="str">
        <f t="shared" si="59"/>
        <v>2023-05</v>
      </c>
      <c r="M610">
        <f t="shared" si="57"/>
        <v>473.34000000000015</v>
      </c>
    </row>
    <row r="611" spans="1:13" x14ac:dyDescent="0.25">
      <c r="A611" s="1">
        <v>45323</v>
      </c>
      <c r="B611" t="s">
        <v>21</v>
      </c>
      <c r="C611" t="s">
        <v>20</v>
      </c>
      <c r="D611" t="s">
        <v>18</v>
      </c>
      <c r="E611">
        <v>942.48</v>
      </c>
      <c r="F611">
        <v>761.12</v>
      </c>
      <c r="G611">
        <v>9</v>
      </c>
      <c r="H611">
        <f t="shared" si="54"/>
        <v>8482.32</v>
      </c>
      <c r="I611">
        <f t="shared" si="58"/>
        <v>6850.08</v>
      </c>
      <c r="J611">
        <f t="shared" si="55"/>
        <v>1632.2399999999998</v>
      </c>
      <c r="K611" s="8">
        <f t="shared" si="56"/>
        <v>0.19242848654613359</v>
      </c>
      <c r="L611" t="str">
        <f t="shared" si="59"/>
        <v>2024-02</v>
      </c>
      <c r="M611">
        <f t="shared" si="57"/>
        <v>1632.2399999999998</v>
      </c>
    </row>
    <row r="612" spans="1:13" x14ac:dyDescent="0.25">
      <c r="A612" s="1">
        <v>44707</v>
      </c>
      <c r="B612" t="s">
        <v>14</v>
      </c>
      <c r="C612" t="s">
        <v>15</v>
      </c>
      <c r="D612" t="s">
        <v>13</v>
      </c>
      <c r="E612">
        <v>1239.94</v>
      </c>
      <c r="F612">
        <v>757.91</v>
      </c>
      <c r="G612">
        <v>7</v>
      </c>
      <c r="H612">
        <f t="shared" si="54"/>
        <v>8679.58</v>
      </c>
      <c r="I612">
        <f t="shared" si="58"/>
        <v>5305.37</v>
      </c>
      <c r="J612">
        <f t="shared" si="55"/>
        <v>3374.21</v>
      </c>
      <c r="K612" s="8">
        <f t="shared" si="56"/>
        <v>0.38875268158136683</v>
      </c>
      <c r="L612" t="str">
        <f t="shared" si="59"/>
        <v>2022-05</v>
      </c>
      <c r="M612">
        <f t="shared" si="57"/>
        <v>3374.21</v>
      </c>
    </row>
    <row r="613" spans="1:13" x14ac:dyDescent="0.25">
      <c r="A613" s="1">
        <v>45323</v>
      </c>
      <c r="B613" t="s">
        <v>21</v>
      </c>
      <c r="C613" t="s">
        <v>20</v>
      </c>
      <c r="D613" t="s">
        <v>17</v>
      </c>
      <c r="E613">
        <v>1462.3</v>
      </c>
      <c r="F613">
        <v>1199.98</v>
      </c>
      <c r="G613">
        <v>10</v>
      </c>
      <c r="H613">
        <f t="shared" si="54"/>
        <v>14623</v>
      </c>
      <c r="I613">
        <f t="shared" si="58"/>
        <v>11999.8</v>
      </c>
      <c r="J613">
        <f t="shared" si="55"/>
        <v>2623.2000000000007</v>
      </c>
      <c r="K613" s="8">
        <f t="shared" si="56"/>
        <v>0.17938863434315808</v>
      </c>
      <c r="L613" t="str">
        <f t="shared" si="59"/>
        <v>2024-02</v>
      </c>
      <c r="M613">
        <f t="shared" si="57"/>
        <v>2623.2000000000007</v>
      </c>
    </row>
    <row r="614" spans="1:13" x14ac:dyDescent="0.25">
      <c r="A614" s="1">
        <v>44797</v>
      </c>
      <c r="B614" t="s">
        <v>7</v>
      </c>
      <c r="C614" t="s">
        <v>8</v>
      </c>
      <c r="D614" t="s">
        <v>18</v>
      </c>
      <c r="E614">
        <v>1653.66</v>
      </c>
      <c r="F614">
        <v>1183.46</v>
      </c>
      <c r="G614">
        <v>2</v>
      </c>
      <c r="H614">
        <f t="shared" si="54"/>
        <v>3307.32</v>
      </c>
      <c r="I614">
        <f t="shared" si="58"/>
        <v>2366.92</v>
      </c>
      <c r="J614">
        <f t="shared" si="55"/>
        <v>940.40000000000009</v>
      </c>
      <c r="K614" s="8">
        <f t="shared" si="56"/>
        <v>0.28433898141093089</v>
      </c>
      <c r="L614" t="str">
        <f t="shared" si="59"/>
        <v>2022-08</v>
      </c>
      <c r="M614">
        <f t="shared" si="57"/>
        <v>940.40000000000009</v>
      </c>
    </row>
    <row r="615" spans="1:13" x14ac:dyDescent="0.25">
      <c r="A615" s="1">
        <v>45236</v>
      </c>
      <c r="B615" t="s">
        <v>22</v>
      </c>
      <c r="C615" t="s">
        <v>8</v>
      </c>
      <c r="D615" t="s">
        <v>18</v>
      </c>
      <c r="E615">
        <v>1359.67</v>
      </c>
      <c r="F615">
        <v>775.36</v>
      </c>
      <c r="G615">
        <v>6</v>
      </c>
      <c r="H615">
        <f t="shared" si="54"/>
        <v>8158.02</v>
      </c>
      <c r="I615">
        <f t="shared" si="58"/>
        <v>4652.16</v>
      </c>
      <c r="J615">
        <f t="shared" si="55"/>
        <v>3505.8600000000006</v>
      </c>
      <c r="K615" s="8">
        <f t="shared" si="56"/>
        <v>0.42974398199563135</v>
      </c>
      <c r="L615" t="str">
        <f t="shared" si="59"/>
        <v>2023-11</v>
      </c>
      <c r="M615">
        <f t="shared" si="57"/>
        <v>3505.8600000000006</v>
      </c>
    </row>
    <row r="616" spans="1:13" x14ac:dyDescent="0.25">
      <c r="A616" s="1">
        <v>45318</v>
      </c>
      <c r="B616" t="s">
        <v>22</v>
      </c>
      <c r="C616" t="s">
        <v>8</v>
      </c>
      <c r="D616" t="s">
        <v>13</v>
      </c>
      <c r="E616">
        <v>1839.33</v>
      </c>
      <c r="F616">
        <v>1527.57</v>
      </c>
      <c r="G616">
        <v>6</v>
      </c>
      <c r="H616">
        <f t="shared" si="54"/>
        <v>11035.98</v>
      </c>
      <c r="I616">
        <f t="shared" si="58"/>
        <v>9165.42</v>
      </c>
      <c r="J616">
        <f t="shared" si="55"/>
        <v>1870.5599999999995</v>
      </c>
      <c r="K616" s="8">
        <f t="shared" si="56"/>
        <v>0.16949650144346035</v>
      </c>
      <c r="L616" t="str">
        <f t="shared" si="59"/>
        <v>2024-01</v>
      </c>
      <c r="M616">
        <f t="shared" si="57"/>
        <v>1870.5599999999995</v>
      </c>
    </row>
    <row r="617" spans="1:13" x14ac:dyDescent="0.25">
      <c r="A617" s="1">
        <v>44997</v>
      </c>
      <c r="B617" t="s">
        <v>10</v>
      </c>
      <c r="C617" t="s">
        <v>11</v>
      </c>
      <c r="D617" t="s">
        <v>18</v>
      </c>
      <c r="E617">
        <v>517.26</v>
      </c>
      <c r="F617">
        <v>382.85</v>
      </c>
      <c r="G617">
        <v>7</v>
      </c>
      <c r="H617">
        <f t="shared" si="54"/>
        <v>3620.8199999999997</v>
      </c>
      <c r="I617">
        <f t="shared" si="58"/>
        <v>2679.9500000000003</v>
      </c>
      <c r="J617">
        <f t="shared" si="55"/>
        <v>940.86999999999944</v>
      </c>
      <c r="K617" s="8">
        <f t="shared" si="56"/>
        <v>0.25984997873409876</v>
      </c>
      <c r="L617" t="str">
        <f t="shared" si="59"/>
        <v>2023-03</v>
      </c>
      <c r="M617">
        <f t="shared" si="57"/>
        <v>940.86999999999944</v>
      </c>
    </row>
    <row r="618" spans="1:13" x14ac:dyDescent="0.25">
      <c r="A618" s="1">
        <v>45160</v>
      </c>
      <c r="B618" t="s">
        <v>24</v>
      </c>
      <c r="C618" t="s">
        <v>20</v>
      </c>
      <c r="D618" t="s">
        <v>13</v>
      </c>
      <c r="E618">
        <v>621.11</v>
      </c>
      <c r="F618">
        <v>431.33</v>
      </c>
      <c r="G618">
        <v>8</v>
      </c>
      <c r="H618">
        <f t="shared" si="54"/>
        <v>4968.88</v>
      </c>
      <c r="I618">
        <f t="shared" si="58"/>
        <v>3450.64</v>
      </c>
      <c r="J618">
        <f t="shared" si="55"/>
        <v>1518.2400000000002</v>
      </c>
      <c r="K618" s="8">
        <f t="shared" si="56"/>
        <v>0.30554974159166659</v>
      </c>
      <c r="L618" t="str">
        <f t="shared" si="59"/>
        <v>2023-08</v>
      </c>
      <c r="M618">
        <f t="shared" si="57"/>
        <v>1518.2400000000002</v>
      </c>
    </row>
    <row r="619" spans="1:13" x14ac:dyDescent="0.25">
      <c r="A619" s="1">
        <v>45493</v>
      </c>
      <c r="B619" t="s">
        <v>21</v>
      </c>
      <c r="C619" t="s">
        <v>20</v>
      </c>
      <c r="D619" t="s">
        <v>13</v>
      </c>
      <c r="E619">
        <v>693.64</v>
      </c>
      <c r="F619">
        <v>592.9</v>
      </c>
      <c r="G619">
        <v>8</v>
      </c>
      <c r="H619">
        <f t="shared" si="54"/>
        <v>5549.12</v>
      </c>
      <c r="I619">
        <f t="shared" si="58"/>
        <v>4743.2</v>
      </c>
      <c r="J619">
        <f t="shared" si="55"/>
        <v>805.92000000000007</v>
      </c>
      <c r="K619" s="8">
        <f t="shared" si="56"/>
        <v>0.14523383887895741</v>
      </c>
      <c r="L619" t="str">
        <f t="shared" si="59"/>
        <v>2024-07</v>
      </c>
      <c r="M619">
        <f t="shared" si="57"/>
        <v>805.92000000000007</v>
      </c>
    </row>
    <row r="620" spans="1:13" x14ac:dyDescent="0.25">
      <c r="A620" s="1">
        <v>45046</v>
      </c>
      <c r="B620" t="s">
        <v>23</v>
      </c>
      <c r="C620" t="s">
        <v>11</v>
      </c>
      <c r="D620" t="s">
        <v>13</v>
      </c>
      <c r="E620">
        <v>370.92</v>
      </c>
      <c r="F620">
        <v>207.97</v>
      </c>
      <c r="G620">
        <v>10</v>
      </c>
      <c r="H620">
        <f t="shared" si="54"/>
        <v>3709.2000000000003</v>
      </c>
      <c r="I620">
        <f t="shared" si="58"/>
        <v>2079.6999999999998</v>
      </c>
      <c r="J620">
        <f t="shared" si="55"/>
        <v>1629.5000000000005</v>
      </c>
      <c r="K620" s="8">
        <f t="shared" si="56"/>
        <v>0.43931305941982107</v>
      </c>
      <c r="L620" t="str">
        <f t="shared" si="59"/>
        <v>2023-04</v>
      </c>
      <c r="M620">
        <f t="shared" si="57"/>
        <v>1629.5000000000005</v>
      </c>
    </row>
    <row r="621" spans="1:13" x14ac:dyDescent="0.25">
      <c r="A621" s="1">
        <v>44759</v>
      </c>
      <c r="B621" t="s">
        <v>21</v>
      </c>
      <c r="C621" t="s">
        <v>20</v>
      </c>
      <c r="D621" t="s">
        <v>18</v>
      </c>
      <c r="E621">
        <v>1928.37</v>
      </c>
      <c r="F621">
        <v>1603.74</v>
      </c>
      <c r="G621">
        <v>6</v>
      </c>
      <c r="H621">
        <f t="shared" si="54"/>
        <v>11570.22</v>
      </c>
      <c r="I621">
        <f t="shared" si="58"/>
        <v>9622.44</v>
      </c>
      <c r="J621">
        <f t="shared" si="55"/>
        <v>1947.7799999999988</v>
      </c>
      <c r="K621" s="8">
        <f t="shared" si="56"/>
        <v>0.16834424928825892</v>
      </c>
      <c r="L621" t="str">
        <f t="shared" si="59"/>
        <v>2022-07</v>
      </c>
      <c r="M621">
        <f t="shared" si="57"/>
        <v>1947.7799999999988</v>
      </c>
    </row>
    <row r="622" spans="1:13" x14ac:dyDescent="0.25">
      <c r="A622" s="1">
        <v>45004</v>
      </c>
      <c r="B622" t="s">
        <v>14</v>
      </c>
      <c r="C622" t="s">
        <v>15</v>
      </c>
      <c r="D622" t="s">
        <v>13</v>
      </c>
      <c r="E622">
        <v>436.58</v>
      </c>
      <c r="F622">
        <v>300.88</v>
      </c>
      <c r="G622">
        <v>9</v>
      </c>
      <c r="H622">
        <f t="shared" si="54"/>
        <v>3929.22</v>
      </c>
      <c r="I622">
        <f t="shared" si="58"/>
        <v>2707.92</v>
      </c>
      <c r="J622">
        <f t="shared" si="55"/>
        <v>1221.2999999999997</v>
      </c>
      <c r="K622" s="8">
        <f t="shared" si="56"/>
        <v>0.31082504924641524</v>
      </c>
      <c r="L622" t="str">
        <f t="shared" si="59"/>
        <v>2023-03</v>
      </c>
      <c r="M622">
        <f t="shared" si="57"/>
        <v>1221.2999999999997</v>
      </c>
    </row>
    <row r="623" spans="1:13" x14ac:dyDescent="0.25">
      <c r="A623" s="1">
        <v>45031</v>
      </c>
      <c r="B623" t="s">
        <v>10</v>
      </c>
      <c r="C623" t="s">
        <v>11</v>
      </c>
      <c r="D623" t="s">
        <v>13</v>
      </c>
      <c r="E623">
        <v>1909.06</v>
      </c>
      <c r="F623">
        <v>1299.07</v>
      </c>
      <c r="G623">
        <v>1</v>
      </c>
      <c r="H623">
        <f t="shared" si="54"/>
        <v>1909.06</v>
      </c>
      <c r="I623">
        <f t="shared" si="58"/>
        <v>1299.07</v>
      </c>
      <c r="J623">
        <f t="shared" si="55"/>
        <v>609.99</v>
      </c>
      <c r="K623" s="8">
        <f t="shared" si="56"/>
        <v>0.31952374467015182</v>
      </c>
      <c r="L623" t="str">
        <f t="shared" si="59"/>
        <v>2023-04</v>
      </c>
      <c r="M623">
        <f t="shared" si="57"/>
        <v>609.99</v>
      </c>
    </row>
    <row r="624" spans="1:13" x14ac:dyDescent="0.25">
      <c r="A624" s="1">
        <v>44736</v>
      </c>
      <c r="B624" t="s">
        <v>23</v>
      </c>
      <c r="C624" t="s">
        <v>11</v>
      </c>
      <c r="D624" t="s">
        <v>13</v>
      </c>
      <c r="E624">
        <v>448.09</v>
      </c>
      <c r="F624">
        <v>344.8</v>
      </c>
      <c r="G624">
        <v>3</v>
      </c>
      <c r="H624">
        <f t="shared" si="54"/>
        <v>1344.27</v>
      </c>
      <c r="I624">
        <f t="shared" si="58"/>
        <v>1034.4000000000001</v>
      </c>
      <c r="J624">
        <f t="shared" si="55"/>
        <v>309.86999999999989</v>
      </c>
      <c r="K624" s="8">
        <f t="shared" si="56"/>
        <v>0.23051172755473223</v>
      </c>
      <c r="L624" t="str">
        <f t="shared" si="59"/>
        <v>2022-06</v>
      </c>
      <c r="M624">
        <f t="shared" si="57"/>
        <v>309.86999999999989</v>
      </c>
    </row>
    <row r="625" spans="1:13" x14ac:dyDescent="0.25">
      <c r="A625" s="1">
        <v>45286</v>
      </c>
      <c r="B625" t="s">
        <v>12</v>
      </c>
      <c r="C625" t="s">
        <v>8</v>
      </c>
      <c r="D625" t="s">
        <v>9</v>
      </c>
      <c r="E625">
        <v>286.49</v>
      </c>
      <c r="F625">
        <v>244.07</v>
      </c>
      <c r="G625">
        <v>9</v>
      </c>
      <c r="H625">
        <f t="shared" si="54"/>
        <v>2578.41</v>
      </c>
      <c r="I625">
        <f t="shared" si="58"/>
        <v>2196.63</v>
      </c>
      <c r="J625">
        <f t="shared" si="55"/>
        <v>381.77999999999975</v>
      </c>
      <c r="K625" s="8">
        <f t="shared" si="56"/>
        <v>0.14806799539250926</v>
      </c>
      <c r="L625" t="str">
        <f t="shared" si="59"/>
        <v>2023-12</v>
      </c>
      <c r="M625">
        <f t="shared" si="57"/>
        <v>381.77999999999975</v>
      </c>
    </row>
    <row r="626" spans="1:13" x14ac:dyDescent="0.25">
      <c r="A626" s="1">
        <v>45107</v>
      </c>
      <c r="B626" t="s">
        <v>22</v>
      </c>
      <c r="C626" t="s">
        <v>8</v>
      </c>
      <c r="D626" t="s">
        <v>13</v>
      </c>
      <c r="E626">
        <v>1408.49</v>
      </c>
      <c r="F626">
        <v>738.27</v>
      </c>
      <c r="G626">
        <v>3</v>
      </c>
      <c r="H626">
        <f t="shared" si="54"/>
        <v>4225.47</v>
      </c>
      <c r="I626">
        <f t="shared" si="58"/>
        <v>2214.81</v>
      </c>
      <c r="J626">
        <f t="shared" si="55"/>
        <v>2010.6600000000003</v>
      </c>
      <c r="K626" s="8">
        <f t="shared" si="56"/>
        <v>0.47584292398242095</v>
      </c>
      <c r="L626" t="str">
        <f t="shared" si="59"/>
        <v>2023-06</v>
      </c>
      <c r="M626">
        <f t="shared" si="57"/>
        <v>2010.6600000000003</v>
      </c>
    </row>
    <row r="627" spans="1:13" x14ac:dyDescent="0.25">
      <c r="A627" s="1">
        <v>44778</v>
      </c>
      <c r="B627" t="s">
        <v>25</v>
      </c>
      <c r="C627" t="s">
        <v>15</v>
      </c>
      <c r="D627" t="s">
        <v>9</v>
      </c>
      <c r="E627">
        <v>653.55999999999995</v>
      </c>
      <c r="F627">
        <v>436.31</v>
      </c>
      <c r="G627">
        <v>6</v>
      </c>
      <c r="H627">
        <f t="shared" si="54"/>
        <v>3921.3599999999997</v>
      </c>
      <c r="I627">
        <f t="shared" si="58"/>
        <v>2617.86</v>
      </c>
      <c r="J627">
        <f t="shared" si="55"/>
        <v>1303.4999999999995</v>
      </c>
      <c r="K627" s="8">
        <f t="shared" si="56"/>
        <v>0.33241018422180052</v>
      </c>
      <c r="L627" t="str">
        <f t="shared" si="59"/>
        <v>2022-08</v>
      </c>
      <c r="M627">
        <f t="shared" si="57"/>
        <v>1303.4999999999995</v>
      </c>
    </row>
    <row r="628" spans="1:13" x14ac:dyDescent="0.25">
      <c r="A628" s="1">
        <v>45437</v>
      </c>
      <c r="B628" t="s">
        <v>14</v>
      </c>
      <c r="C628" t="s">
        <v>15</v>
      </c>
      <c r="D628" t="s">
        <v>9</v>
      </c>
      <c r="E628">
        <v>1470.01</v>
      </c>
      <c r="F628">
        <v>1058.46</v>
      </c>
      <c r="G628">
        <v>10</v>
      </c>
      <c r="H628">
        <f t="shared" si="54"/>
        <v>14700.1</v>
      </c>
      <c r="I628">
        <f t="shared" si="58"/>
        <v>10584.6</v>
      </c>
      <c r="J628">
        <f t="shared" si="55"/>
        <v>4115.5</v>
      </c>
      <c r="K628" s="8">
        <f t="shared" si="56"/>
        <v>0.27996408187699401</v>
      </c>
      <c r="L628" t="str">
        <f t="shared" si="59"/>
        <v>2024-05</v>
      </c>
      <c r="M628">
        <f t="shared" si="57"/>
        <v>4115.5</v>
      </c>
    </row>
    <row r="629" spans="1:13" x14ac:dyDescent="0.25">
      <c r="A629" s="1">
        <v>44981</v>
      </c>
      <c r="B629" t="s">
        <v>22</v>
      </c>
      <c r="C629" t="s">
        <v>8</v>
      </c>
      <c r="D629" t="s">
        <v>17</v>
      </c>
      <c r="E629">
        <v>1105.58</v>
      </c>
      <c r="F629">
        <v>783.78</v>
      </c>
      <c r="G629">
        <v>3</v>
      </c>
      <c r="H629">
        <f t="shared" si="54"/>
        <v>3316.74</v>
      </c>
      <c r="I629">
        <f t="shared" si="58"/>
        <v>2351.34</v>
      </c>
      <c r="J629">
        <f t="shared" si="55"/>
        <v>965.39999999999964</v>
      </c>
      <c r="K629" s="8">
        <f t="shared" si="56"/>
        <v>0.29106894118923993</v>
      </c>
      <c r="L629" t="str">
        <f t="shared" si="59"/>
        <v>2023-02</v>
      </c>
      <c r="M629">
        <f t="shared" si="57"/>
        <v>965.39999999999964</v>
      </c>
    </row>
    <row r="630" spans="1:13" x14ac:dyDescent="0.25">
      <c r="A630" s="1">
        <v>45335</v>
      </c>
      <c r="B630" t="s">
        <v>12</v>
      </c>
      <c r="C630" t="s">
        <v>8</v>
      </c>
      <c r="D630" t="s">
        <v>13</v>
      </c>
      <c r="E630">
        <v>1956.39</v>
      </c>
      <c r="F630">
        <v>991.8</v>
      </c>
      <c r="G630">
        <v>10</v>
      </c>
      <c r="H630">
        <f t="shared" si="54"/>
        <v>19563.900000000001</v>
      </c>
      <c r="I630">
        <f t="shared" si="58"/>
        <v>9918</v>
      </c>
      <c r="J630">
        <f t="shared" si="55"/>
        <v>9645.9000000000015</v>
      </c>
      <c r="K630" s="8">
        <f t="shared" si="56"/>
        <v>0.49304586508824932</v>
      </c>
      <c r="L630" t="str">
        <f t="shared" si="59"/>
        <v>2024-02</v>
      </c>
      <c r="M630">
        <f t="shared" si="57"/>
        <v>9645.9000000000015</v>
      </c>
    </row>
    <row r="631" spans="1:13" x14ac:dyDescent="0.25">
      <c r="A631" s="1">
        <v>44885</v>
      </c>
      <c r="B631" t="s">
        <v>24</v>
      </c>
      <c r="C631" t="s">
        <v>20</v>
      </c>
      <c r="D631" t="s">
        <v>18</v>
      </c>
      <c r="E631">
        <v>823.33</v>
      </c>
      <c r="F631">
        <v>455.81</v>
      </c>
      <c r="G631">
        <v>9</v>
      </c>
      <c r="H631">
        <f t="shared" si="54"/>
        <v>7409.97</v>
      </c>
      <c r="I631">
        <f t="shared" si="58"/>
        <v>4102.29</v>
      </c>
      <c r="J631">
        <f t="shared" si="55"/>
        <v>3307.6800000000003</v>
      </c>
      <c r="K631" s="8">
        <f t="shared" si="56"/>
        <v>0.44638237401770858</v>
      </c>
      <c r="L631" t="str">
        <f t="shared" si="59"/>
        <v>2022-11</v>
      </c>
      <c r="M631">
        <f t="shared" si="57"/>
        <v>3307.6800000000003</v>
      </c>
    </row>
    <row r="632" spans="1:13" x14ac:dyDescent="0.25">
      <c r="A632" s="1">
        <v>45152</v>
      </c>
      <c r="B632" t="s">
        <v>23</v>
      </c>
      <c r="C632" t="s">
        <v>11</v>
      </c>
      <c r="D632" t="s">
        <v>13</v>
      </c>
      <c r="E632">
        <v>1009.98</v>
      </c>
      <c r="F632">
        <v>789.06</v>
      </c>
      <c r="G632">
        <v>3</v>
      </c>
      <c r="H632">
        <f t="shared" si="54"/>
        <v>3029.94</v>
      </c>
      <c r="I632">
        <f t="shared" si="58"/>
        <v>2367.1799999999998</v>
      </c>
      <c r="J632">
        <f t="shared" si="55"/>
        <v>662.76000000000022</v>
      </c>
      <c r="K632" s="8">
        <f t="shared" si="56"/>
        <v>0.21873700469316232</v>
      </c>
      <c r="L632" t="str">
        <f t="shared" si="59"/>
        <v>2023-08</v>
      </c>
      <c r="M632">
        <f t="shared" si="57"/>
        <v>662.76000000000022</v>
      </c>
    </row>
    <row r="633" spans="1:13" x14ac:dyDescent="0.25">
      <c r="A633" s="1">
        <v>45410</v>
      </c>
      <c r="B633" t="s">
        <v>23</v>
      </c>
      <c r="C633" t="s">
        <v>11</v>
      </c>
      <c r="D633" t="s">
        <v>9</v>
      </c>
      <c r="E633">
        <v>1005.31</v>
      </c>
      <c r="F633">
        <v>739.23</v>
      </c>
      <c r="G633">
        <v>2</v>
      </c>
      <c r="H633">
        <f t="shared" si="54"/>
        <v>2010.62</v>
      </c>
      <c r="I633">
        <f t="shared" si="58"/>
        <v>1478.46</v>
      </c>
      <c r="J633">
        <f t="shared" si="55"/>
        <v>532.15999999999985</v>
      </c>
      <c r="K633" s="8">
        <f t="shared" si="56"/>
        <v>0.26467457799086841</v>
      </c>
      <c r="L633" t="str">
        <f t="shared" si="59"/>
        <v>2024-04</v>
      </c>
      <c r="M633">
        <f t="shared" si="57"/>
        <v>532.15999999999985</v>
      </c>
    </row>
    <row r="634" spans="1:13" x14ac:dyDescent="0.25">
      <c r="A634" s="1">
        <v>45200</v>
      </c>
      <c r="B634" t="s">
        <v>21</v>
      </c>
      <c r="C634" t="s">
        <v>20</v>
      </c>
      <c r="D634" t="s">
        <v>17</v>
      </c>
      <c r="E634">
        <v>963.84</v>
      </c>
      <c r="F634">
        <v>668.17</v>
      </c>
      <c r="G634">
        <v>4</v>
      </c>
      <c r="H634">
        <f t="shared" si="54"/>
        <v>3855.36</v>
      </c>
      <c r="I634">
        <f t="shared" si="58"/>
        <v>2672.68</v>
      </c>
      <c r="J634">
        <f t="shared" si="55"/>
        <v>1182.6800000000003</v>
      </c>
      <c r="K634" s="8">
        <f t="shared" si="56"/>
        <v>0.30676253320053126</v>
      </c>
      <c r="L634" t="str">
        <f t="shared" si="59"/>
        <v>2023-10</v>
      </c>
      <c r="M634">
        <f t="shared" si="57"/>
        <v>1182.6800000000003</v>
      </c>
    </row>
    <row r="635" spans="1:13" x14ac:dyDescent="0.25">
      <c r="A635" s="1">
        <v>45585</v>
      </c>
      <c r="B635" t="s">
        <v>22</v>
      </c>
      <c r="C635" t="s">
        <v>8</v>
      </c>
      <c r="D635" t="s">
        <v>18</v>
      </c>
      <c r="E635">
        <v>496.04</v>
      </c>
      <c r="F635">
        <v>436.9</v>
      </c>
      <c r="G635">
        <v>5</v>
      </c>
      <c r="H635">
        <f t="shared" si="54"/>
        <v>2480.2000000000003</v>
      </c>
      <c r="I635">
        <f t="shared" si="58"/>
        <v>2184.5</v>
      </c>
      <c r="J635">
        <f t="shared" si="55"/>
        <v>295.70000000000027</v>
      </c>
      <c r="K635" s="8">
        <f t="shared" si="56"/>
        <v>0.11922425610837846</v>
      </c>
      <c r="L635" t="str">
        <f t="shared" si="59"/>
        <v>2024-10</v>
      </c>
      <c r="M635">
        <f t="shared" si="57"/>
        <v>295.70000000000027</v>
      </c>
    </row>
    <row r="636" spans="1:13" x14ac:dyDescent="0.25">
      <c r="A636" s="1">
        <v>44600</v>
      </c>
      <c r="B636" t="s">
        <v>24</v>
      </c>
      <c r="C636" t="s">
        <v>20</v>
      </c>
      <c r="D636" t="s">
        <v>17</v>
      </c>
      <c r="E636">
        <v>1370.01</v>
      </c>
      <c r="F636">
        <v>830.12</v>
      </c>
      <c r="G636">
        <v>2</v>
      </c>
      <c r="H636">
        <f t="shared" si="54"/>
        <v>2740.02</v>
      </c>
      <c r="I636">
        <f t="shared" si="58"/>
        <v>1660.24</v>
      </c>
      <c r="J636">
        <f t="shared" si="55"/>
        <v>1079.78</v>
      </c>
      <c r="K636" s="8">
        <f t="shared" si="56"/>
        <v>0.39407741549331754</v>
      </c>
      <c r="L636" t="str">
        <f t="shared" si="59"/>
        <v>2022-02</v>
      </c>
      <c r="M636">
        <f t="shared" si="57"/>
        <v>1079.78</v>
      </c>
    </row>
    <row r="637" spans="1:13" x14ac:dyDescent="0.25">
      <c r="A637" s="1">
        <v>44750</v>
      </c>
      <c r="B637" t="s">
        <v>21</v>
      </c>
      <c r="C637" t="s">
        <v>20</v>
      </c>
      <c r="D637" t="s">
        <v>9</v>
      </c>
      <c r="E637">
        <v>1596.94</v>
      </c>
      <c r="F637">
        <v>957.61</v>
      </c>
      <c r="G637">
        <v>3</v>
      </c>
      <c r="H637">
        <f t="shared" si="54"/>
        <v>4790.82</v>
      </c>
      <c r="I637">
        <f t="shared" si="58"/>
        <v>2872.83</v>
      </c>
      <c r="J637">
        <f t="shared" si="55"/>
        <v>1917.9899999999998</v>
      </c>
      <c r="K637" s="8">
        <f t="shared" si="56"/>
        <v>0.40034691347201523</v>
      </c>
      <c r="L637" t="str">
        <f t="shared" si="59"/>
        <v>2022-07</v>
      </c>
      <c r="M637">
        <f t="shared" si="57"/>
        <v>1917.9899999999998</v>
      </c>
    </row>
    <row r="638" spans="1:13" x14ac:dyDescent="0.25">
      <c r="A638" s="1">
        <v>45419</v>
      </c>
      <c r="B638" t="s">
        <v>12</v>
      </c>
      <c r="C638" t="s">
        <v>8</v>
      </c>
      <c r="D638" t="s">
        <v>17</v>
      </c>
      <c r="E638">
        <v>1445.45</v>
      </c>
      <c r="F638">
        <v>1019.82</v>
      </c>
      <c r="G638">
        <v>1</v>
      </c>
      <c r="H638">
        <f t="shared" si="54"/>
        <v>1445.45</v>
      </c>
      <c r="I638">
        <f t="shared" si="58"/>
        <v>1019.82</v>
      </c>
      <c r="J638">
        <f t="shared" si="55"/>
        <v>425.63</v>
      </c>
      <c r="K638" s="8">
        <f t="shared" si="56"/>
        <v>0.29446193227022727</v>
      </c>
      <c r="L638" t="str">
        <f t="shared" si="59"/>
        <v>2024-05</v>
      </c>
      <c r="M638">
        <f t="shared" si="57"/>
        <v>425.63</v>
      </c>
    </row>
    <row r="639" spans="1:13" x14ac:dyDescent="0.25">
      <c r="A639" s="1">
        <v>45247</v>
      </c>
      <c r="B639" t="s">
        <v>14</v>
      </c>
      <c r="C639" t="s">
        <v>15</v>
      </c>
      <c r="D639" t="s">
        <v>18</v>
      </c>
      <c r="E639">
        <v>369.52</v>
      </c>
      <c r="F639">
        <v>311.87</v>
      </c>
      <c r="G639">
        <v>2</v>
      </c>
      <c r="H639">
        <f t="shared" si="54"/>
        <v>739.04</v>
      </c>
      <c r="I639">
        <f t="shared" si="58"/>
        <v>623.74</v>
      </c>
      <c r="J639">
        <f t="shared" si="55"/>
        <v>115.29999999999995</v>
      </c>
      <c r="K639" s="8">
        <f t="shared" si="56"/>
        <v>0.15601320632171461</v>
      </c>
      <c r="L639" t="str">
        <f t="shared" si="59"/>
        <v>2023-11</v>
      </c>
      <c r="M639">
        <f t="shared" si="57"/>
        <v>115.29999999999995</v>
      </c>
    </row>
    <row r="640" spans="1:13" x14ac:dyDescent="0.25">
      <c r="A640" s="1">
        <v>44759</v>
      </c>
      <c r="B640" t="s">
        <v>22</v>
      </c>
      <c r="C640" t="s">
        <v>8</v>
      </c>
      <c r="D640" t="s">
        <v>17</v>
      </c>
      <c r="E640">
        <v>748.83</v>
      </c>
      <c r="F640">
        <v>539.9</v>
      </c>
      <c r="G640">
        <v>8</v>
      </c>
      <c r="H640">
        <f t="shared" si="54"/>
        <v>5990.64</v>
      </c>
      <c r="I640">
        <f t="shared" si="58"/>
        <v>4319.2</v>
      </c>
      <c r="J640">
        <f t="shared" si="55"/>
        <v>1671.4400000000005</v>
      </c>
      <c r="K640" s="8">
        <f t="shared" si="56"/>
        <v>0.27900858672863005</v>
      </c>
      <c r="L640" t="str">
        <f t="shared" si="59"/>
        <v>2022-07</v>
      </c>
      <c r="M640">
        <f t="shared" si="57"/>
        <v>1671.4400000000005</v>
      </c>
    </row>
    <row r="641" spans="1:13" x14ac:dyDescent="0.25">
      <c r="A641" s="1">
        <v>44617</v>
      </c>
      <c r="B641" t="s">
        <v>22</v>
      </c>
      <c r="C641" t="s">
        <v>8</v>
      </c>
      <c r="D641" t="s">
        <v>18</v>
      </c>
      <c r="E641">
        <v>47.04</v>
      </c>
      <c r="F641">
        <v>25.96</v>
      </c>
      <c r="G641">
        <v>8</v>
      </c>
      <c r="H641">
        <f t="shared" si="54"/>
        <v>376.32</v>
      </c>
      <c r="I641">
        <f t="shared" si="58"/>
        <v>207.68</v>
      </c>
      <c r="J641">
        <f t="shared" si="55"/>
        <v>168.64</v>
      </c>
      <c r="K641" s="8">
        <f t="shared" si="56"/>
        <v>0.44812925170068024</v>
      </c>
      <c r="L641" t="str">
        <f t="shared" si="59"/>
        <v>2022-02</v>
      </c>
      <c r="M641">
        <f t="shared" si="57"/>
        <v>168.64</v>
      </c>
    </row>
    <row r="642" spans="1:13" x14ac:dyDescent="0.25">
      <c r="A642" s="1">
        <v>44925</v>
      </c>
      <c r="B642" t="s">
        <v>12</v>
      </c>
      <c r="C642" t="s">
        <v>8</v>
      </c>
      <c r="D642" t="s">
        <v>9</v>
      </c>
      <c r="E642">
        <v>1775.1</v>
      </c>
      <c r="F642">
        <v>1067.8900000000001</v>
      </c>
      <c r="G642">
        <v>8</v>
      </c>
      <c r="H642">
        <f t="shared" si="54"/>
        <v>14200.8</v>
      </c>
      <c r="I642">
        <f t="shared" si="58"/>
        <v>8543.1200000000008</v>
      </c>
      <c r="J642">
        <f t="shared" si="55"/>
        <v>5657.6799999999985</v>
      </c>
      <c r="K642" s="8">
        <f t="shared" si="56"/>
        <v>0.39840572362120436</v>
      </c>
      <c r="L642" t="str">
        <f t="shared" si="59"/>
        <v>2022-12</v>
      </c>
      <c r="M642">
        <f t="shared" si="57"/>
        <v>5657.6799999999985</v>
      </c>
    </row>
    <row r="643" spans="1:13" x14ac:dyDescent="0.25">
      <c r="A643" s="1">
        <v>44953</v>
      </c>
      <c r="B643" t="s">
        <v>14</v>
      </c>
      <c r="C643" t="s">
        <v>15</v>
      </c>
      <c r="D643" t="s">
        <v>18</v>
      </c>
      <c r="E643">
        <v>1142.3900000000001</v>
      </c>
      <c r="F643">
        <v>593.12</v>
      </c>
      <c r="G643">
        <v>6</v>
      </c>
      <c r="H643">
        <f t="shared" ref="H643:H706" si="60">E643*G643</f>
        <v>6854.34</v>
      </c>
      <c r="I643">
        <f t="shared" si="58"/>
        <v>3558.7200000000003</v>
      </c>
      <c r="J643">
        <f t="shared" ref="J643:J706" si="61">H643-I643</f>
        <v>3295.62</v>
      </c>
      <c r="K643" s="8">
        <f t="shared" ref="K643:K706" si="62">(H643-I643)/H643</f>
        <v>0.48080778018014864</v>
      </c>
      <c r="L643" t="str">
        <f t="shared" si="59"/>
        <v>2023-01</v>
      </c>
      <c r="M643">
        <f t="shared" ref="M643:M706" si="63">H643-I643</f>
        <v>3295.62</v>
      </c>
    </row>
    <row r="644" spans="1:13" x14ac:dyDescent="0.25">
      <c r="A644" s="1">
        <v>44785</v>
      </c>
      <c r="B644" t="s">
        <v>16</v>
      </c>
      <c r="C644" t="s">
        <v>15</v>
      </c>
      <c r="D644" t="s">
        <v>9</v>
      </c>
      <c r="E644">
        <v>1904.94</v>
      </c>
      <c r="F644">
        <v>1578.2</v>
      </c>
      <c r="G644">
        <v>7</v>
      </c>
      <c r="H644">
        <f t="shared" si="60"/>
        <v>13334.58</v>
      </c>
      <c r="I644">
        <f t="shared" ref="I644:I707" si="64">F644*G644</f>
        <v>11047.4</v>
      </c>
      <c r="J644">
        <f t="shared" si="61"/>
        <v>2287.1800000000003</v>
      </c>
      <c r="K644" s="8">
        <f t="shared" si="62"/>
        <v>0.17152246264974227</v>
      </c>
      <c r="L644" t="str">
        <f t="shared" ref="L644:L707" si="65">TEXT(A644,"rrrr-mm")</f>
        <v>2022-08</v>
      </c>
      <c r="M644">
        <f t="shared" si="63"/>
        <v>2287.1800000000003</v>
      </c>
    </row>
    <row r="645" spans="1:13" x14ac:dyDescent="0.25">
      <c r="A645" s="1">
        <v>44750</v>
      </c>
      <c r="B645" t="s">
        <v>24</v>
      </c>
      <c r="C645" t="s">
        <v>20</v>
      </c>
      <c r="D645" t="s">
        <v>18</v>
      </c>
      <c r="E645">
        <v>1069.1400000000001</v>
      </c>
      <c r="F645">
        <v>595.87</v>
      </c>
      <c r="G645">
        <v>3</v>
      </c>
      <c r="H645">
        <f t="shared" si="60"/>
        <v>3207.42</v>
      </c>
      <c r="I645">
        <f t="shared" si="64"/>
        <v>1787.6100000000001</v>
      </c>
      <c r="J645">
        <f t="shared" si="61"/>
        <v>1419.81</v>
      </c>
      <c r="K645" s="8">
        <f t="shared" si="62"/>
        <v>0.44266419739229657</v>
      </c>
      <c r="L645" t="str">
        <f t="shared" si="65"/>
        <v>2022-07</v>
      </c>
      <c r="M645">
        <f t="shared" si="63"/>
        <v>1419.81</v>
      </c>
    </row>
    <row r="646" spans="1:13" x14ac:dyDescent="0.25">
      <c r="A646" s="1">
        <v>45464</v>
      </c>
      <c r="B646" t="s">
        <v>23</v>
      </c>
      <c r="C646" t="s">
        <v>11</v>
      </c>
      <c r="D646" t="s">
        <v>18</v>
      </c>
      <c r="E646">
        <v>172.32</v>
      </c>
      <c r="F646">
        <v>111.52</v>
      </c>
      <c r="G646">
        <v>2</v>
      </c>
      <c r="H646">
        <f t="shared" si="60"/>
        <v>344.64</v>
      </c>
      <c r="I646">
        <f t="shared" si="64"/>
        <v>223.04</v>
      </c>
      <c r="J646">
        <f t="shared" si="61"/>
        <v>121.6</v>
      </c>
      <c r="K646" s="8">
        <f t="shared" si="62"/>
        <v>0.35283194057567319</v>
      </c>
      <c r="L646" t="str">
        <f t="shared" si="65"/>
        <v>2024-06</v>
      </c>
      <c r="M646">
        <f t="shared" si="63"/>
        <v>121.6</v>
      </c>
    </row>
    <row r="647" spans="1:13" x14ac:dyDescent="0.25">
      <c r="A647" s="1">
        <v>45074</v>
      </c>
      <c r="B647" t="s">
        <v>10</v>
      </c>
      <c r="C647" t="s">
        <v>11</v>
      </c>
      <c r="D647" t="s">
        <v>9</v>
      </c>
      <c r="E647">
        <v>138.41999999999999</v>
      </c>
      <c r="F647">
        <v>104.36</v>
      </c>
      <c r="G647">
        <v>6</v>
      </c>
      <c r="H647">
        <f t="shared" si="60"/>
        <v>830.52</v>
      </c>
      <c r="I647">
        <f t="shared" si="64"/>
        <v>626.16</v>
      </c>
      <c r="J647">
        <f t="shared" si="61"/>
        <v>204.36</v>
      </c>
      <c r="K647" s="8">
        <f t="shared" si="62"/>
        <v>0.24606270770119926</v>
      </c>
      <c r="L647" t="str">
        <f t="shared" si="65"/>
        <v>2023-05</v>
      </c>
      <c r="M647">
        <f t="shared" si="63"/>
        <v>204.36</v>
      </c>
    </row>
    <row r="648" spans="1:13" x14ac:dyDescent="0.25">
      <c r="A648" s="1">
        <v>44613</v>
      </c>
      <c r="B648" t="s">
        <v>23</v>
      </c>
      <c r="C648" t="s">
        <v>11</v>
      </c>
      <c r="D648" t="s">
        <v>13</v>
      </c>
      <c r="E648">
        <v>1389.19</v>
      </c>
      <c r="F648">
        <v>940.24</v>
      </c>
      <c r="G648">
        <v>2</v>
      </c>
      <c r="H648">
        <f t="shared" si="60"/>
        <v>2778.38</v>
      </c>
      <c r="I648">
        <f t="shared" si="64"/>
        <v>1880.48</v>
      </c>
      <c r="J648">
        <f t="shared" si="61"/>
        <v>897.90000000000009</v>
      </c>
      <c r="K648" s="8">
        <f t="shared" si="62"/>
        <v>0.32317393589069893</v>
      </c>
      <c r="L648" t="str">
        <f t="shared" si="65"/>
        <v>2022-02</v>
      </c>
      <c r="M648">
        <f t="shared" si="63"/>
        <v>897.90000000000009</v>
      </c>
    </row>
    <row r="649" spans="1:13" x14ac:dyDescent="0.25">
      <c r="A649" s="1">
        <v>45545</v>
      </c>
      <c r="B649" t="s">
        <v>24</v>
      </c>
      <c r="C649" t="s">
        <v>20</v>
      </c>
      <c r="D649" t="s">
        <v>18</v>
      </c>
      <c r="E649">
        <v>307.10000000000002</v>
      </c>
      <c r="F649">
        <v>203.72</v>
      </c>
      <c r="G649">
        <v>4</v>
      </c>
      <c r="H649">
        <f t="shared" si="60"/>
        <v>1228.4000000000001</v>
      </c>
      <c r="I649">
        <f t="shared" si="64"/>
        <v>814.88</v>
      </c>
      <c r="J649">
        <f t="shared" si="61"/>
        <v>413.5200000000001</v>
      </c>
      <c r="K649" s="8">
        <f t="shared" si="62"/>
        <v>0.33663301856072947</v>
      </c>
      <c r="L649" t="str">
        <f t="shared" si="65"/>
        <v>2024-09</v>
      </c>
      <c r="M649">
        <f t="shared" si="63"/>
        <v>413.5200000000001</v>
      </c>
    </row>
    <row r="650" spans="1:13" x14ac:dyDescent="0.25">
      <c r="A650" s="1">
        <v>45249</v>
      </c>
      <c r="B650" t="s">
        <v>24</v>
      </c>
      <c r="C650" t="s">
        <v>20</v>
      </c>
      <c r="D650" t="s">
        <v>13</v>
      </c>
      <c r="E650">
        <v>1050.8</v>
      </c>
      <c r="F650">
        <v>644.09</v>
      </c>
      <c r="G650">
        <v>2</v>
      </c>
      <c r="H650">
        <f t="shared" si="60"/>
        <v>2101.6</v>
      </c>
      <c r="I650">
        <f t="shared" si="64"/>
        <v>1288.18</v>
      </c>
      <c r="J650">
        <f t="shared" si="61"/>
        <v>813.41999999999985</v>
      </c>
      <c r="K650" s="8">
        <f t="shared" si="62"/>
        <v>0.38704796345641412</v>
      </c>
      <c r="L650" t="str">
        <f t="shared" si="65"/>
        <v>2023-11</v>
      </c>
      <c r="M650">
        <f t="shared" si="63"/>
        <v>813.41999999999985</v>
      </c>
    </row>
    <row r="651" spans="1:13" x14ac:dyDescent="0.25">
      <c r="A651" s="1">
        <v>44739</v>
      </c>
      <c r="B651" t="s">
        <v>24</v>
      </c>
      <c r="C651" t="s">
        <v>20</v>
      </c>
      <c r="D651" t="s">
        <v>13</v>
      </c>
      <c r="E651">
        <v>1961.37</v>
      </c>
      <c r="F651">
        <v>1030.1500000000001</v>
      </c>
      <c r="G651">
        <v>4</v>
      </c>
      <c r="H651">
        <f t="shared" si="60"/>
        <v>7845.48</v>
      </c>
      <c r="I651">
        <f t="shared" si="64"/>
        <v>4120.6000000000004</v>
      </c>
      <c r="J651">
        <f t="shared" si="61"/>
        <v>3724.8799999999992</v>
      </c>
      <c r="K651" s="8">
        <f t="shared" si="62"/>
        <v>0.4747803830995681</v>
      </c>
      <c r="L651" t="str">
        <f t="shared" si="65"/>
        <v>2022-06</v>
      </c>
      <c r="M651">
        <f t="shared" si="63"/>
        <v>3724.8799999999992</v>
      </c>
    </row>
    <row r="652" spans="1:13" x14ac:dyDescent="0.25">
      <c r="A652" s="1">
        <v>45309</v>
      </c>
      <c r="B652" t="s">
        <v>22</v>
      </c>
      <c r="C652" t="s">
        <v>8</v>
      </c>
      <c r="D652" t="s">
        <v>18</v>
      </c>
      <c r="E652">
        <v>1882.52</v>
      </c>
      <c r="F652">
        <v>1688.31</v>
      </c>
      <c r="G652">
        <v>1</v>
      </c>
      <c r="H652">
        <f t="shared" si="60"/>
        <v>1882.52</v>
      </c>
      <c r="I652">
        <f t="shared" si="64"/>
        <v>1688.31</v>
      </c>
      <c r="J652">
        <f t="shared" si="61"/>
        <v>194.21000000000004</v>
      </c>
      <c r="K652" s="8">
        <f t="shared" si="62"/>
        <v>0.10316490661453798</v>
      </c>
      <c r="L652" t="str">
        <f t="shared" si="65"/>
        <v>2024-01</v>
      </c>
      <c r="M652">
        <f t="shared" si="63"/>
        <v>194.21000000000004</v>
      </c>
    </row>
    <row r="653" spans="1:13" x14ac:dyDescent="0.25">
      <c r="A653" s="1">
        <v>45460</v>
      </c>
      <c r="B653" t="s">
        <v>21</v>
      </c>
      <c r="C653" t="s">
        <v>20</v>
      </c>
      <c r="D653" t="s">
        <v>17</v>
      </c>
      <c r="E653">
        <v>1645.02</v>
      </c>
      <c r="F653">
        <v>1335.12</v>
      </c>
      <c r="G653">
        <v>3</v>
      </c>
      <c r="H653">
        <f t="shared" si="60"/>
        <v>4935.0599999999995</v>
      </c>
      <c r="I653">
        <f t="shared" si="64"/>
        <v>4005.3599999999997</v>
      </c>
      <c r="J653">
        <f t="shared" si="61"/>
        <v>929.69999999999982</v>
      </c>
      <c r="K653" s="8">
        <f t="shared" si="62"/>
        <v>0.18838676733413573</v>
      </c>
      <c r="L653" t="str">
        <f t="shared" si="65"/>
        <v>2024-06</v>
      </c>
      <c r="M653">
        <f t="shared" si="63"/>
        <v>929.69999999999982</v>
      </c>
    </row>
    <row r="654" spans="1:13" x14ac:dyDescent="0.25">
      <c r="A654" s="1">
        <v>45128</v>
      </c>
      <c r="B654" t="s">
        <v>21</v>
      </c>
      <c r="C654" t="s">
        <v>20</v>
      </c>
      <c r="D654" t="s">
        <v>18</v>
      </c>
      <c r="E654">
        <v>1593.61</v>
      </c>
      <c r="F654">
        <v>946.43</v>
      </c>
      <c r="G654">
        <v>9</v>
      </c>
      <c r="H654">
        <f t="shared" si="60"/>
        <v>14342.49</v>
      </c>
      <c r="I654">
        <f t="shared" si="64"/>
        <v>8517.869999999999</v>
      </c>
      <c r="J654">
        <f t="shared" si="61"/>
        <v>5824.6200000000008</v>
      </c>
      <c r="K654" s="8">
        <f t="shared" si="62"/>
        <v>0.40610939941390939</v>
      </c>
      <c r="L654" t="str">
        <f t="shared" si="65"/>
        <v>2023-07</v>
      </c>
      <c r="M654">
        <f t="shared" si="63"/>
        <v>5824.6200000000008</v>
      </c>
    </row>
    <row r="655" spans="1:13" x14ac:dyDescent="0.25">
      <c r="A655" s="1">
        <v>45314</v>
      </c>
      <c r="B655" t="s">
        <v>10</v>
      </c>
      <c r="C655" t="s">
        <v>11</v>
      </c>
      <c r="D655" t="s">
        <v>17</v>
      </c>
      <c r="E655">
        <v>1610.67</v>
      </c>
      <c r="F655">
        <v>870.94</v>
      </c>
      <c r="G655">
        <v>10</v>
      </c>
      <c r="H655">
        <f t="shared" si="60"/>
        <v>16106.7</v>
      </c>
      <c r="I655">
        <f t="shared" si="64"/>
        <v>8709.4000000000015</v>
      </c>
      <c r="J655">
        <f t="shared" si="61"/>
        <v>7397.2999999999993</v>
      </c>
      <c r="K655" s="8">
        <f t="shared" si="62"/>
        <v>0.45926850316948842</v>
      </c>
      <c r="L655" t="str">
        <f t="shared" si="65"/>
        <v>2024-01</v>
      </c>
      <c r="M655">
        <f t="shared" si="63"/>
        <v>7397.2999999999993</v>
      </c>
    </row>
    <row r="656" spans="1:13" x14ac:dyDescent="0.25">
      <c r="A656" s="1">
        <v>44879</v>
      </c>
      <c r="B656" t="s">
        <v>23</v>
      </c>
      <c r="C656" t="s">
        <v>11</v>
      </c>
      <c r="D656" t="s">
        <v>9</v>
      </c>
      <c r="E656">
        <v>1739.82</v>
      </c>
      <c r="F656">
        <v>1212.24</v>
      </c>
      <c r="G656">
        <v>9</v>
      </c>
      <c r="H656">
        <f t="shared" si="60"/>
        <v>15658.38</v>
      </c>
      <c r="I656">
        <f t="shared" si="64"/>
        <v>10910.16</v>
      </c>
      <c r="J656">
        <f t="shared" si="61"/>
        <v>4748.2199999999993</v>
      </c>
      <c r="K656" s="8">
        <f t="shared" si="62"/>
        <v>0.30323826602752008</v>
      </c>
      <c r="L656" t="str">
        <f t="shared" si="65"/>
        <v>2022-11</v>
      </c>
      <c r="M656">
        <f t="shared" si="63"/>
        <v>4748.2199999999993</v>
      </c>
    </row>
    <row r="657" spans="1:13" x14ac:dyDescent="0.25">
      <c r="A657" s="1">
        <v>45565</v>
      </c>
      <c r="B657" t="s">
        <v>25</v>
      </c>
      <c r="C657" t="s">
        <v>15</v>
      </c>
      <c r="D657" t="s">
        <v>9</v>
      </c>
      <c r="E657">
        <v>1590.11</v>
      </c>
      <c r="F657">
        <v>1083.05</v>
      </c>
      <c r="G657">
        <v>7</v>
      </c>
      <c r="H657">
        <f t="shared" si="60"/>
        <v>11130.769999999999</v>
      </c>
      <c r="I657">
        <f t="shared" si="64"/>
        <v>7581.3499999999995</v>
      </c>
      <c r="J657">
        <f t="shared" si="61"/>
        <v>3549.4199999999992</v>
      </c>
      <c r="K657" s="8">
        <f t="shared" si="62"/>
        <v>0.31888359924785076</v>
      </c>
      <c r="L657" t="str">
        <f t="shared" si="65"/>
        <v>2024-09</v>
      </c>
      <c r="M657">
        <f t="shared" si="63"/>
        <v>3549.4199999999992</v>
      </c>
    </row>
    <row r="658" spans="1:13" x14ac:dyDescent="0.25">
      <c r="A658" s="1">
        <v>45510</v>
      </c>
      <c r="B658" t="s">
        <v>12</v>
      </c>
      <c r="C658" t="s">
        <v>8</v>
      </c>
      <c r="D658" t="s">
        <v>9</v>
      </c>
      <c r="E658">
        <v>831.16</v>
      </c>
      <c r="F658">
        <v>579.91</v>
      </c>
      <c r="G658">
        <v>2</v>
      </c>
      <c r="H658">
        <f t="shared" si="60"/>
        <v>1662.32</v>
      </c>
      <c r="I658">
        <f t="shared" si="64"/>
        <v>1159.82</v>
      </c>
      <c r="J658">
        <f t="shared" si="61"/>
        <v>502.5</v>
      </c>
      <c r="K658" s="8">
        <f t="shared" si="62"/>
        <v>0.30228836806391068</v>
      </c>
      <c r="L658" t="str">
        <f t="shared" si="65"/>
        <v>2024-08</v>
      </c>
      <c r="M658">
        <f t="shared" si="63"/>
        <v>502.5</v>
      </c>
    </row>
    <row r="659" spans="1:13" x14ac:dyDescent="0.25">
      <c r="A659" s="1">
        <v>45103</v>
      </c>
      <c r="B659" t="s">
        <v>7</v>
      </c>
      <c r="C659" t="s">
        <v>8</v>
      </c>
      <c r="D659" t="s">
        <v>9</v>
      </c>
      <c r="E659">
        <v>102.32</v>
      </c>
      <c r="F659">
        <v>51.29</v>
      </c>
      <c r="G659">
        <v>8</v>
      </c>
      <c r="H659">
        <f t="shared" si="60"/>
        <v>818.56</v>
      </c>
      <c r="I659">
        <f t="shared" si="64"/>
        <v>410.32</v>
      </c>
      <c r="J659">
        <f t="shared" si="61"/>
        <v>408.23999999999995</v>
      </c>
      <c r="K659" s="8">
        <f t="shared" si="62"/>
        <v>0.4987294761532447</v>
      </c>
      <c r="L659" t="str">
        <f t="shared" si="65"/>
        <v>2023-06</v>
      </c>
      <c r="M659">
        <f t="shared" si="63"/>
        <v>408.23999999999995</v>
      </c>
    </row>
    <row r="660" spans="1:13" x14ac:dyDescent="0.25">
      <c r="A660" s="1">
        <v>44992</v>
      </c>
      <c r="B660" t="s">
        <v>16</v>
      </c>
      <c r="C660" t="s">
        <v>15</v>
      </c>
      <c r="D660" t="s">
        <v>18</v>
      </c>
      <c r="E660">
        <v>1945.06</v>
      </c>
      <c r="F660">
        <v>1719.88</v>
      </c>
      <c r="G660">
        <v>6</v>
      </c>
      <c r="H660">
        <f t="shared" si="60"/>
        <v>11670.36</v>
      </c>
      <c r="I660">
        <f t="shared" si="64"/>
        <v>10319.280000000001</v>
      </c>
      <c r="J660">
        <f t="shared" si="61"/>
        <v>1351.08</v>
      </c>
      <c r="K660" s="8">
        <f t="shared" si="62"/>
        <v>0.11577020760285028</v>
      </c>
      <c r="L660" t="str">
        <f t="shared" si="65"/>
        <v>2023-03</v>
      </c>
      <c r="M660">
        <f t="shared" si="63"/>
        <v>1351.08</v>
      </c>
    </row>
    <row r="661" spans="1:13" x14ac:dyDescent="0.25">
      <c r="A661" s="1">
        <v>44992</v>
      </c>
      <c r="B661" t="s">
        <v>23</v>
      </c>
      <c r="C661" t="s">
        <v>11</v>
      </c>
      <c r="D661" t="s">
        <v>18</v>
      </c>
      <c r="E661">
        <v>1361.33</v>
      </c>
      <c r="F661">
        <v>1138.5899999999999</v>
      </c>
      <c r="G661">
        <v>8</v>
      </c>
      <c r="H661">
        <f t="shared" si="60"/>
        <v>10890.64</v>
      </c>
      <c r="I661">
        <f t="shared" si="64"/>
        <v>9108.7199999999993</v>
      </c>
      <c r="J661">
        <f t="shared" si="61"/>
        <v>1781.92</v>
      </c>
      <c r="K661" s="8">
        <f t="shared" si="62"/>
        <v>0.16361940161459751</v>
      </c>
      <c r="L661" t="str">
        <f t="shared" si="65"/>
        <v>2023-03</v>
      </c>
      <c r="M661">
        <f t="shared" si="63"/>
        <v>1781.92</v>
      </c>
    </row>
    <row r="662" spans="1:13" x14ac:dyDescent="0.25">
      <c r="A662" s="1">
        <v>44562</v>
      </c>
      <c r="B662" t="s">
        <v>23</v>
      </c>
      <c r="C662" t="s">
        <v>11</v>
      </c>
      <c r="D662" t="s">
        <v>9</v>
      </c>
      <c r="E662">
        <v>473.56</v>
      </c>
      <c r="F662">
        <v>384.1</v>
      </c>
      <c r="G662">
        <v>7</v>
      </c>
      <c r="H662">
        <f t="shared" si="60"/>
        <v>3314.92</v>
      </c>
      <c r="I662">
        <f t="shared" si="64"/>
        <v>2688.7000000000003</v>
      </c>
      <c r="J662">
        <f t="shared" si="61"/>
        <v>626.2199999999998</v>
      </c>
      <c r="K662" s="8">
        <f t="shared" si="62"/>
        <v>0.18890953627840182</v>
      </c>
      <c r="L662" t="str">
        <f t="shared" si="65"/>
        <v>2022-01</v>
      </c>
      <c r="M662">
        <f t="shared" si="63"/>
        <v>626.2199999999998</v>
      </c>
    </row>
    <row r="663" spans="1:13" x14ac:dyDescent="0.25">
      <c r="A663" s="1">
        <v>44683</v>
      </c>
      <c r="B663" t="s">
        <v>23</v>
      </c>
      <c r="C663" t="s">
        <v>11</v>
      </c>
      <c r="D663" t="s">
        <v>17</v>
      </c>
      <c r="E663">
        <v>1364.48</v>
      </c>
      <c r="F663">
        <v>735.46</v>
      </c>
      <c r="G663">
        <v>2</v>
      </c>
      <c r="H663">
        <f t="shared" si="60"/>
        <v>2728.96</v>
      </c>
      <c r="I663">
        <f t="shared" si="64"/>
        <v>1470.92</v>
      </c>
      <c r="J663">
        <f t="shared" si="61"/>
        <v>1258.04</v>
      </c>
      <c r="K663" s="8">
        <f t="shared" si="62"/>
        <v>0.46099613039399623</v>
      </c>
      <c r="L663" t="str">
        <f t="shared" si="65"/>
        <v>2022-05</v>
      </c>
      <c r="M663">
        <f t="shared" si="63"/>
        <v>1258.04</v>
      </c>
    </row>
    <row r="664" spans="1:13" x14ac:dyDescent="0.25">
      <c r="A664" s="1">
        <v>45583</v>
      </c>
      <c r="B664" t="s">
        <v>25</v>
      </c>
      <c r="C664" t="s">
        <v>15</v>
      </c>
      <c r="D664" t="s">
        <v>18</v>
      </c>
      <c r="E664">
        <v>1133.67</v>
      </c>
      <c r="F664">
        <v>1017.82</v>
      </c>
      <c r="G664">
        <v>6</v>
      </c>
      <c r="H664">
        <f t="shared" si="60"/>
        <v>6802.02</v>
      </c>
      <c r="I664">
        <f t="shared" si="64"/>
        <v>6106.92</v>
      </c>
      <c r="J664">
        <f t="shared" si="61"/>
        <v>695.10000000000036</v>
      </c>
      <c r="K664" s="8">
        <f t="shared" si="62"/>
        <v>0.10219023172528166</v>
      </c>
      <c r="L664" t="str">
        <f t="shared" si="65"/>
        <v>2024-10</v>
      </c>
      <c r="M664">
        <f t="shared" si="63"/>
        <v>695.10000000000036</v>
      </c>
    </row>
    <row r="665" spans="1:13" x14ac:dyDescent="0.25">
      <c r="A665" s="1">
        <v>44628</v>
      </c>
      <c r="B665" t="s">
        <v>24</v>
      </c>
      <c r="C665" t="s">
        <v>20</v>
      </c>
      <c r="D665" t="s">
        <v>17</v>
      </c>
      <c r="E665">
        <v>203.59</v>
      </c>
      <c r="F665">
        <v>130.78</v>
      </c>
      <c r="G665">
        <v>10</v>
      </c>
      <c r="H665">
        <f t="shared" si="60"/>
        <v>2035.9</v>
      </c>
      <c r="I665">
        <f t="shared" si="64"/>
        <v>1307.8</v>
      </c>
      <c r="J665">
        <f t="shared" si="61"/>
        <v>728.10000000000014</v>
      </c>
      <c r="K665" s="8">
        <f t="shared" si="62"/>
        <v>0.35763053195147115</v>
      </c>
      <c r="L665" t="str">
        <f t="shared" si="65"/>
        <v>2022-03</v>
      </c>
      <c r="M665">
        <f t="shared" si="63"/>
        <v>728.10000000000014</v>
      </c>
    </row>
    <row r="666" spans="1:13" x14ac:dyDescent="0.25">
      <c r="A666" s="1">
        <v>44703</v>
      </c>
      <c r="B666" t="s">
        <v>23</v>
      </c>
      <c r="C666" t="s">
        <v>11</v>
      </c>
      <c r="D666" t="s">
        <v>9</v>
      </c>
      <c r="E666">
        <v>190.62</v>
      </c>
      <c r="F666">
        <v>154.16</v>
      </c>
      <c r="G666">
        <v>1</v>
      </c>
      <c r="H666">
        <f t="shared" si="60"/>
        <v>190.62</v>
      </c>
      <c r="I666">
        <f t="shared" si="64"/>
        <v>154.16</v>
      </c>
      <c r="J666">
        <f t="shared" si="61"/>
        <v>36.460000000000008</v>
      </c>
      <c r="K666" s="8">
        <f t="shared" si="62"/>
        <v>0.1912705907040185</v>
      </c>
      <c r="L666" t="str">
        <f t="shared" si="65"/>
        <v>2022-05</v>
      </c>
      <c r="M666">
        <f t="shared" si="63"/>
        <v>36.460000000000008</v>
      </c>
    </row>
    <row r="667" spans="1:13" x14ac:dyDescent="0.25">
      <c r="A667" s="1">
        <v>45236</v>
      </c>
      <c r="B667" t="s">
        <v>22</v>
      </c>
      <c r="C667" t="s">
        <v>8</v>
      </c>
      <c r="D667" t="s">
        <v>18</v>
      </c>
      <c r="E667">
        <v>236.75</v>
      </c>
      <c r="F667">
        <v>123.58</v>
      </c>
      <c r="G667">
        <v>9</v>
      </c>
      <c r="H667">
        <f t="shared" si="60"/>
        <v>2130.75</v>
      </c>
      <c r="I667">
        <f t="shared" si="64"/>
        <v>1112.22</v>
      </c>
      <c r="J667">
        <f t="shared" si="61"/>
        <v>1018.53</v>
      </c>
      <c r="K667" s="8">
        <f t="shared" si="62"/>
        <v>0.47801478352692711</v>
      </c>
      <c r="L667" t="str">
        <f t="shared" si="65"/>
        <v>2023-11</v>
      </c>
      <c r="M667">
        <f t="shared" si="63"/>
        <v>1018.53</v>
      </c>
    </row>
    <row r="668" spans="1:13" x14ac:dyDescent="0.25">
      <c r="A668" s="1">
        <v>45234</v>
      </c>
      <c r="B668" t="s">
        <v>7</v>
      </c>
      <c r="C668" t="s">
        <v>8</v>
      </c>
      <c r="D668" t="s">
        <v>9</v>
      </c>
      <c r="E668">
        <v>740.52</v>
      </c>
      <c r="F668">
        <v>650.32000000000005</v>
      </c>
      <c r="G668">
        <v>3</v>
      </c>
      <c r="H668">
        <f t="shared" si="60"/>
        <v>2221.56</v>
      </c>
      <c r="I668">
        <f t="shared" si="64"/>
        <v>1950.96</v>
      </c>
      <c r="J668">
        <f t="shared" si="61"/>
        <v>270.59999999999991</v>
      </c>
      <c r="K668" s="8">
        <f t="shared" si="62"/>
        <v>0.12180629827688648</v>
      </c>
      <c r="L668" t="str">
        <f t="shared" si="65"/>
        <v>2023-11</v>
      </c>
      <c r="M668">
        <f t="shared" si="63"/>
        <v>270.59999999999991</v>
      </c>
    </row>
    <row r="669" spans="1:13" x14ac:dyDescent="0.25">
      <c r="A669" s="1">
        <v>44600</v>
      </c>
      <c r="B669" t="s">
        <v>16</v>
      </c>
      <c r="C669" t="s">
        <v>15</v>
      </c>
      <c r="D669" t="s">
        <v>13</v>
      </c>
      <c r="E669">
        <v>492.12</v>
      </c>
      <c r="F669">
        <v>429.77</v>
      </c>
      <c r="G669">
        <v>7</v>
      </c>
      <c r="H669">
        <f t="shared" si="60"/>
        <v>3444.84</v>
      </c>
      <c r="I669">
        <f t="shared" si="64"/>
        <v>3008.39</v>
      </c>
      <c r="J669">
        <f t="shared" si="61"/>
        <v>436.45000000000027</v>
      </c>
      <c r="K669" s="8">
        <f t="shared" si="62"/>
        <v>0.12669674063236616</v>
      </c>
      <c r="L669" t="str">
        <f t="shared" si="65"/>
        <v>2022-02</v>
      </c>
      <c r="M669">
        <f t="shared" si="63"/>
        <v>436.45000000000027</v>
      </c>
    </row>
    <row r="670" spans="1:13" x14ac:dyDescent="0.25">
      <c r="A670" s="1">
        <v>44992</v>
      </c>
      <c r="B670" t="s">
        <v>23</v>
      </c>
      <c r="C670" t="s">
        <v>11</v>
      </c>
      <c r="D670" t="s">
        <v>13</v>
      </c>
      <c r="E670">
        <v>567.26</v>
      </c>
      <c r="F670">
        <v>451.2</v>
      </c>
      <c r="G670">
        <v>7</v>
      </c>
      <c r="H670">
        <f t="shared" si="60"/>
        <v>3970.8199999999997</v>
      </c>
      <c r="I670">
        <f t="shared" si="64"/>
        <v>3158.4</v>
      </c>
      <c r="J670">
        <f t="shared" si="61"/>
        <v>812.41999999999962</v>
      </c>
      <c r="K670" s="8">
        <f t="shared" si="62"/>
        <v>0.20459753904735034</v>
      </c>
      <c r="L670" t="str">
        <f t="shared" si="65"/>
        <v>2023-03</v>
      </c>
      <c r="M670">
        <f t="shared" si="63"/>
        <v>812.41999999999962</v>
      </c>
    </row>
    <row r="671" spans="1:13" x14ac:dyDescent="0.25">
      <c r="A671" s="1">
        <v>44662</v>
      </c>
      <c r="B671" t="s">
        <v>14</v>
      </c>
      <c r="C671" t="s">
        <v>15</v>
      </c>
      <c r="D671" t="s">
        <v>18</v>
      </c>
      <c r="E671">
        <v>535.6</v>
      </c>
      <c r="F671">
        <v>419.68</v>
      </c>
      <c r="G671">
        <v>7</v>
      </c>
      <c r="H671">
        <f t="shared" si="60"/>
        <v>3749.2000000000003</v>
      </c>
      <c r="I671">
        <f t="shared" si="64"/>
        <v>2937.76</v>
      </c>
      <c r="J671">
        <f t="shared" si="61"/>
        <v>811.44</v>
      </c>
      <c r="K671" s="8">
        <f t="shared" si="62"/>
        <v>0.21643017176997759</v>
      </c>
      <c r="L671" t="str">
        <f t="shared" si="65"/>
        <v>2022-04</v>
      </c>
      <c r="M671">
        <f t="shared" si="63"/>
        <v>811.44</v>
      </c>
    </row>
    <row r="672" spans="1:13" x14ac:dyDescent="0.25">
      <c r="A672" s="1">
        <v>45206</v>
      </c>
      <c r="B672" t="s">
        <v>19</v>
      </c>
      <c r="C672" t="s">
        <v>20</v>
      </c>
      <c r="D672" t="s">
        <v>13</v>
      </c>
      <c r="E672">
        <v>274.14999999999998</v>
      </c>
      <c r="F672">
        <v>175.41</v>
      </c>
      <c r="G672">
        <v>2</v>
      </c>
      <c r="H672">
        <f t="shared" si="60"/>
        <v>548.29999999999995</v>
      </c>
      <c r="I672">
        <f t="shared" si="64"/>
        <v>350.82</v>
      </c>
      <c r="J672">
        <f t="shared" si="61"/>
        <v>197.47999999999996</v>
      </c>
      <c r="K672" s="8">
        <f t="shared" si="62"/>
        <v>0.36016779135509752</v>
      </c>
      <c r="L672" t="str">
        <f t="shared" si="65"/>
        <v>2023-10</v>
      </c>
      <c r="M672">
        <f t="shared" si="63"/>
        <v>197.47999999999996</v>
      </c>
    </row>
    <row r="673" spans="1:13" x14ac:dyDescent="0.25">
      <c r="A673" s="1">
        <v>44648</v>
      </c>
      <c r="B673" t="s">
        <v>10</v>
      </c>
      <c r="C673" t="s">
        <v>11</v>
      </c>
      <c r="D673" t="s">
        <v>9</v>
      </c>
      <c r="E673">
        <v>1160.43</v>
      </c>
      <c r="F673">
        <v>780.8</v>
      </c>
      <c r="G673">
        <v>1</v>
      </c>
      <c r="H673">
        <f t="shared" si="60"/>
        <v>1160.43</v>
      </c>
      <c r="I673">
        <f t="shared" si="64"/>
        <v>780.8</v>
      </c>
      <c r="J673">
        <f t="shared" si="61"/>
        <v>379.63000000000011</v>
      </c>
      <c r="K673" s="8">
        <f t="shared" si="62"/>
        <v>0.32714597175185067</v>
      </c>
      <c r="L673" t="str">
        <f t="shared" si="65"/>
        <v>2022-03</v>
      </c>
      <c r="M673">
        <f t="shared" si="63"/>
        <v>379.63000000000011</v>
      </c>
    </row>
    <row r="674" spans="1:13" x14ac:dyDescent="0.25">
      <c r="A674" s="1">
        <v>44806</v>
      </c>
      <c r="B674" t="s">
        <v>14</v>
      </c>
      <c r="C674" t="s">
        <v>15</v>
      </c>
      <c r="D674" t="s">
        <v>13</v>
      </c>
      <c r="E674">
        <v>1847.53</v>
      </c>
      <c r="F674">
        <v>1111.68</v>
      </c>
      <c r="G674">
        <v>3</v>
      </c>
      <c r="H674">
        <f t="shared" si="60"/>
        <v>5542.59</v>
      </c>
      <c r="I674">
        <f t="shared" si="64"/>
        <v>3335.04</v>
      </c>
      <c r="J674">
        <f t="shared" si="61"/>
        <v>2207.5500000000002</v>
      </c>
      <c r="K674" s="8">
        <f t="shared" si="62"/>
        <v>0.39828852576142204</v>
      </c>
      <c r="L674" t="str">
        <f t="shared" si="65"/>
        <v>2022-09</v>
      </c>
      <c r="M674">
        <f t="shared" si="63"/>
        <v>2207.5500000000002</v>
      </c>
    </row>
    <row r="675" spans="1:13" x14ac:dyDescent="0.25">
      <c r="A675" s="1">
        <v>45337</v>
      </c>
      <c r="B675" t="s">
        <v>21</v>
      </c>
      <c r="C675" t="s">
        <v>20</v>
      </c>
      <c r="D675" t="s">
        <v>9</v>
      </c>
      <c r="E675">
        <v>393.2</v>
      </c>
      <c r="F675">
        <v>321.18</v>
      </c>
      <c r="G675">
        <v>9</v>
      </c>
      <c r="H675">
        <f t="shared" si="60"/>
        <v>3538.7999999999997</v>
      </c>
      <c r="I675">
        <f t="shared" si="64"/>
        <v>2890.62</v>
      </c>
      <c r="J675">
        <f t="shared" si="61"/>
        <v>648.17999999999984</v>
      </c>
      <c r="K675" s="8">
        <f t="shared" si="62"/>
        <v>0.18316378433367239</v>
      </c>
      <c r="L675" t="str">
        <f t="shared" si="65"/>
        <v>2024-02</v>
      </c>
      <c r="M675">
        <f t="shared" si="63"/>
        <v>648.17999999999984</v>
      </c>
    </row>
    <row r="676" spans="1:13" x14ac:dyDescent="0.25">
      <c r="A676" s="1">
        <v>44634</v>
      </c>
      <c r="B676" t="s">
        <v>22</v>
      </c>
      <c r="C676" t="s">
        <v>8</v>
      </c>
      <c r="D676" t="s">
        <v>17</v>
      </c>
      <c r="E676">
        <v>949.48</v>
      </c>
      <c r="F676">
        <v>795.65</v>
      </c>
      <c r="G676">
        <v>6</v>
      </c>
      <c r="H676">
        <f t="shared" si="60"/>
        <v>5696.88</v>
      </c>
      <c r="I676">
        <f t="shared" si="64"/>
        <v>4773.8999999999996</v>
      </c>
      <c r="J676">
        <f t="shared" si="61"/>
        <v>922.98000000000047</v>
      </c>
      <c r="K676" s="8">
        <f t="shared" si="62"/>
        <v>0.16201499768294234</v>
      </c>
      <c r="L676" t="str">
        <f t="shared" si="65"/>
        <v>2022-03</v>
      </c>
      <c r="M676">
        <f t="shared" si="63"/>
        <v>922.98000000000047</v>
      </c>
    </row>
    <row r="677" spans="1:13" x14ac:dyDescent="0.25">
      <c r="A677" s="1">
        <v>45114</v>
      </c>
      <c r="B677" t="s">
        <v>23</v>
      </c>
      <c r="C677" t="s">
        <v>11</v>
      </c>
      <c r="D677" t="s">
        <v>17</v>
      </c>
      <c r="E677">
        <v>158.22</v>
      </c>
      <c r="F677">
        <v>126.08</v>
      </c>
      <c r="G677">
        <v>5</v>
      </c>
      <c r="H677">
        <f t="shared" si="60"/>
        <v>791.1</v>
      </c>
      <c r="I677">
        <f t="shared" si="64"/>
        <v>630.4</v>
      </c>
      <c r="J677">
        <f t="shared" si="61"/>
        <v>160.70000000000005</v>
      </c>
      <c r="K677" s="8">
        <f t="shared" si="62"/>
        <v>0.20313487548982434</v>
      </c>
      <c r="L677" t="str">
        <f t="shared" si="65"/>
        <v>2023-07</v>
      </c>
      <c r="M677">
        <f t="shared" si="63"/>
        <v>160.70000000000005</v>
      </c>
    </row>
    <row r="678" spans="1:13" x14ac:dyDescent="0.25">
      <c r="A678" s="1">
        <v>45049</v>
      </c>
      <c r="B678" t="s">
        <v>19</v>
      </c>
      <c r="C678" t="s">
        <v>20</v>
      </c>
      <c r="D678" t="s">
        <v>17</v>
      </c>
      <c r="E678">
        <v>1864.61</v>
      </c>
      <c r="F678">
        <v>1498.54</v>
      </c>
      <c r="G678">
        <v>9</v>
      </c>
      <c r="H678">
        <f t="shared" si="60"/>
        <v>16781.489999999998</v>
      </c>
      <c r="I678">
        <f t="shared" si="64"/>
        <v>13486.86</v>
      </c>
      <c r="J678">
        <f t="shared" si="61"/>
        <v>3294.6299999999974</v>
      </c>
      <c r="K678" s="8">
        <f t="shared" si="62"/>
        <v>0.19632523691281273</v>
      </c>
      <c r="L678" t="str">
        <f t="shared" si="65"/>
        <v>2023-05</v>
      </c>
      <c r="M678">
        <f t="shared" si="63"/>
        <v>3294.6299999999974</v>
      </c>
    </row>
    <row r="679" spans="1:13" x14ac:dyDescent="0.25">
      <c r="A679" s="1">
        <v>45210</v>
      </c>
      <c r="B679" t="s">
        <v>12</v>
      </c>
      <c r="C679" t="s">
        <v>8</v>
      </c>
      <c r="D679" t="s">
        <v>18</v>
      </c>
      <c r="E679">
        <v>421.84</v>
      </c>
      <c r="F679">
        <v>232.02</v>
      </c>
      <c r="G679">
        <v>7</v>
      </c>
      <c r="H679">
        <f t="shared" si="60"/>
        <v>2952.8799999999997</v>
      </c>
      <c r="I679">
        <f t="shared" si="64"/>
        <v>1624.14</v>
      </c>
      <c r="J679">
        <f t="shared" si="61"/>
        <v>1328.7399999999996</v>
      </c>
      <c r="K679" s="8">
        <f t="shared" si="62"/>
        <v>0.44998103546368279</v>
      </c>
      <c r="L679" t="str">
        <f t="shared" si="65"/>
        <v>2023-10</v>
      </c>
      <c r="M679">
        <f t="shared" si="63"/>
        <v>1328.7399999999996</v>
      </c>
    </row>
    <row r="680" spans="1:13" x14ac:dyDescent="0.25">
      <c r="A680" s="1">
        <v>45392</v>
      </c>
      <c r="B680" t="s">
        <v>23</v>
      </c>
      <c r="C680" t="s">
        <v>11</v>
      </c>
      <c r="D680" t="s">
        <v>9</v>
      </c>
      <c r="E680">
        <v>1115.6199999999999</v>
      </c>
      <c r="F680">
        <v>737.12</v>
      </c>
      <c r="G680">
        <v>6</v>
      </c>
      <c r="H680">
        <f t="shared" si="60"/>
        <v>6693.7199999999993</v>
      </c>
      <c r="I680">
        <f t="shared" si="64"/>
        <v>4422.72</v>
      </c>
      <c r="J680">
        <f t="shared" si="61"/>
        <v>2270.9999999999991</v>
      </c>
      <c r="K680" s="8">
        <f t="shared" si="62"/>
        <v>0.3392732292357612</v>
      </c>
      <c r="L680" t="str">
        <f t="shared" si="65"/>
        <v>2024-04</v>
      </c>
      <c r="M680">
        <f t="shared" si="63"/>
        <v>2270.9999999999991</v>
      </c>
    </row>
    <row r="681" spans="1:13" x14ac:dyDescent="0.25">
      <c r="A681" s="1">
        <v>45401</v>
      </c>
      <c r="B681" t="s">
        <v>23</v>
      </c>
      <c r="C681" t="s">
        <v>11</v>
      </c>
      <c r="D681" t="s">
        <v>9</v>
      </c>
      <c r="E681">
        <v>1768.26</v>
      </c>
      <c r="F681">
        <v>1148.29</v>
      </c>
      <c r="G681">
        <v>9</v>
      </c>
      <c r="H681">
        <f t="shared" si="60"/>
        <v>15914.34</v>
      </c>
      <c r="I681">
        <f t="shared" si="64"/>
        <v>10334.61</v>
      </c>
      <c r="J681">
        <f t="shared" si="61"/>
        <v>5579.73</v>
      </c>
      <c r="K681" s="8">
        <f t="shared" si="62"/>
        <v>0.35061020438170853</v>
      </c>
      <c r="L681" t="str">
        <f t="shared" si="65"/>
        <v>2024-04</v>
      </c>
      <c r="M681">
        <f t="shared" si="63"/>
        <v>5579.73</v>
      </c>
    </row>
    <row r="682" spans="1:13" x14ac:dyDescent="0.25">
      <c r="A682" s="1">
        <v>44826</v>
      </c>
      <c r="B682" t="s">
        <v>24</v>
      </c>
      <c r="C682" t="s">
        <v>20</v>
      </c>
      <c r="D682" t="s">
        <v>13</v>
      </c>
      <c r="E682">
        <v>492.78</v>
      </c>
      <c r="F682">
        <v>303.79000000000002</v>
      </c>
      <c r="G682">
        <v>4</v>
      </c>
      <c r="H682">
        <f t="shared" si="60"/>
        <v>1971.12</v>
      </c>
      <c r="I682">
        <f t="shared" si="64"/>
        <v>1215.1600000000001</v>
      </c>
      <c r="J682">
        <f t="shared" si="61"/>
        <v>755.95999999999981</v>
      </c>
      <c r="K682" s="8">
        <f t="shared" si="62"/>
        <v>0.38351799991882779</v>
      </c>
      <c r="L682" t="str">
        <f t="shared" si="65"/>
        <v>2022-09</v>
      </c>
      <c r="M682">
        <f t="shared" si="63"/>
        <v>755.95999999999981</v>
      </c>
    </row>
    <row r="683" spans="1:13" x14ac:dyDescent="0.25">
      <c r="A683" s="1">
        <v>45047</v>
      </c>
      <c r="B683" t="s">
        <v>7</v>
      </c>
      <c r="C683" t="s">
        <v>8</v>
      </c>
      <c r="D683" t="s">
        <v>13</v>
      </c>
      <c r="E683">
        <v>1608.38</v>
      </c>
      <c r="F683">
        <v>900.54</v>
      </c>
      <c r="G683">
        <v>4</v>
      </c>
      <c r="H683">
        <f t="shared" si="60"/>
        <v>6433.52</v>
      </c>
      <c r="I683">
        <f t="shared" si="64"/>
        <v>3602.16</v>
      </c>
      <c r="J683">
        <f t="shared" si="61"/>
        <v>2831.3600000000006</v>
      </c>
      <c r="K683" s="8">
        <f t="shared" si="62"/>
        <v>0.44009500242480015</v>
      </c>
      <c r="L683" t="str">
        <f t="shared" si="65"/>
        <v>2023-05</v>
      </c>
      <c r="M683">
        <f t="shared" si="63"/>
        <v>2831.3600000000006</v>
      </c>
    </row>
    <row r="684" spans="1:13" x14ac:dyDescent="0.25">
      <c r="A684" s="1">
        <v>44931</v>
      </c>
      <c r="B684" t="s">
        <v>12</v>
      </c>
      <c r="C684" t="s">
        <v>8</v>
      </c>
      <c r="D684" t="s">
        <v>9</v>
      </c>
      <c r="E684">
        <v>515.91</v>
      </c>
      <c r="F684">
        <v>418.48</v>
      </c>
      <c r="G684">
        <v>2</v>
      </c>
      <c r="H684">
        <f t="shared" si="60"/>
        <v>1031.82</v>
      </c>
      <c r="I684">
        <f t="shared" si="64"/>
        <v>836.96</v>
      </c>
      <c r="J684">
        <f t="shared" si="61"/>
        <v>194.8599999999999</v>
      </c>
      <c r="K684" s="8">
        <f t="shared" si="62"/>
        <v>0.18885076854490115</v>
      </c>
      <c r="L684" t="str">
        <f t="shared" si="65"/>
        <v>2023-01</v>
      </c>
      <c r="M684">
        <f t="shared" si="63"/>
        <v>194.8599999999999</v>
      </c>
    </row>
    <row r="685" spans="1:13" x14ac:dyDescent="0.25">
      <c r="A685" s="1">
        <v>44586</v>
      </c>
      <c r="B685" t="s">
        <v>21</v>
      </c>
      <c r="C685" t="s">
        <v>20</v>
      </c>
      <c r="D685" t="s">
        <v>9</v>
      </c>
      <c r="E685">
        <v>357.97</v>
      </c>
      <c r="F685">
        <v>187.6</v>
      </c>
      <c r="G685">
        <v>3</v>
      </c>
      <c r="H685">
        <f t="shared" si="60"/>
        <v>1073.9100000000001</v>
      </c>
      <c r="I685">
        <f t="shared" si="64"/>
        <v>562.79999999999995</v>
      </c>
      <c r="J685">
        <f t="shared" si="61"/>
        <v>511.11000000000013</v>
      </c>
      <c r="K685" s="8">
        <f t="shared" si="62"/>
        <v>0.47593373746403339</v>
      </c>
      <c r="L685" t="str">
        <f t="shared" si="65"/>
        <v>2022-01</v>
      </c>
      <c r="M685">
        <f t="shared" si="63"/>
        <v>511.11000000000013</v>
      </c>
    </row>
    <row r="686" spans="1:13" x14ac:dyDescent="0.25">
      <c r="A686" s="1">
        <v>45488</v>
      </c>
      <c r="B686" t="s">
        <v>23</v>
      </c>
      <c r="C686" t="s">
        <v>11</v>
      </c>
      <c r="D686" t="s">
        <v>18</v>
      </c>
      <c r="E686">
        <v>1314.73</v>
      </c>
      <c r="F686">
        <v>1053.74</v>
      </c>
      <c r="G686">
        <v>9</v>
      </c>
      <c r="H686">
        <f t="shared" si="60"/>
        <v>11832.57</v>
      </c>
      <c r="I686">
        <f t="shared" si="64"/>
        <v>9483.66</v>
      </c>
      <c r="J686">
        <f t="shared" si="61"/>
        <v>2348.91</v>
      </c>
      <c r="K686" s="8">
        <f t="shared" si="62"/>
        <v>0.19851224205730453</v>
      </c>
      <c r="L686" t="str">
        <f t="shared" si="65"/>
        <v>2024-07</v>
      </c>
      <c r="M686">
        <f t="shared" si="63"/>
        <v>2348.91</v>
      </c>
    </row>
    <row r="687" spans="1:13" x14ac:dyDescent="0.25">
      <c r="A687" s="1">
        <v>45316</v>
      </c>
      <c r="B687" t="s">
        <v>19</v>
      </c>
      <c r="C687" t="s">
        <v>20</v>
      </c>
      <c r="D687" t="s">
        <v>17</v>
      </c>
      <c r="E687">
        <v>722.33</v>
      </c>
      <c r="F687">
        <v>457.73</v>
      </c>
      <c r="G687">
        <v>4</v>
      </c>
      <c r="H687">
        <f t="shared" si="60"/>
        <v>2889.32</v>
      </c>
      <c r="I687">
        <f t="shared" si="64"/>
        <v>1830.92</v>
      </c>
      <c r="J687">
        <f t="shared" si="61"/>
        <v>1058.4000000000001</v>
      </c>
      <c r="K687" s="8">
        <f t="shared" si="62"/>
        <v>0.36631456536486096</v>
      </c>
      <c r="L687" t="str">
        <f t="shared" si="65"/>
        <v>2024-01</v>
      </c>
      <c r="M687">
        <f t="shared" si="63"/>
        <v>1058.4000000000001</v>
      </c>
    </row>
    <row r="688" spans="1:13" x14ac:dyDescent="0.25">
      <c r="A688" s="1">
        <v>45147</v>
      </c>
      <c r="B688" t="s">
        <v>21</v>
      </c>
      <c r="C688" t="s">
        <v>20</v>
      </c>
      <c r="D688" t="s">
        <v>18</v>
      </c>
      <c r="E688">
        <v>483.02</v>
      </c>
      <c r="F688">
        <v>343.08</v>
      </c>
      <c r="G688">
        <v>9</v>
      </c>
      <c r="H688">
        <f t="shared" si="60"/>
        <v>4347.18</v>
      </c>
      <c r="I688">
        <f t="shared" si="64"/>
        <v>3087.72</v>
      </c>
      <c r="J688">
        <f t="shared" si="61"/>
        <v>1259.4600000000005</v>
      </c>
      <c r="K688" s="8">
        <f t="shared" si="62"/>
        <v>0.28971885222144023</v>
      </c>
      <c r="L688" t="str">
        <f t="shared" si="65"/>
        <v>2023-08</v>
      </c>
      <c r="M688">
        <f t="shared" si="63"/>
        <v>1259.4600000000005</v>
      </c>
    </row>
    <row r="689" spans="1:13" x14ac:dyDescent="0.25">
      <c r="A689" s="1">
        <v>45646</v>
      </c>
      <c r="B689" t="s">
        <v>23</v>
      </c>
      <c r="C689" t="s">
        <v>11</v>
      </c>
      <c r="D689" t="s">
        <v>18</v>
      </c>
      <c r="E689">
        <v>211.66</v>
      </c>
      <c r="F689">
        <v>134.37</v>
      </c>
      <c r="G689">
        <v>3</v>
      </c>
      <c r="H689">
        <f t="shared" si="60"/>
        <v>634.98</v>
      </c>
      <c r="I689">
        <f t="shared" si="64"/>
        <v>403.11</v>
      </c>
      <c r="J689">
        <f t="shared" si="61"/>
        <v>231.87</v>
      </c>
      <c r="K689" s="8">
        <f t="shared" si="62"/>
        <v>0.36516110743645469</v>
      </c>
      <c r="L689" t="str">
        <f t="shared" si="65"/>
        <v>2024-12</v>
      </c>
      <c r="M689">
        <f t="shared" si="63"/>
        <v>231.87</v>
      </c>
    </row>
    <row r="690" spans="1:13" x14ac:dyDescent="0.25">
      <c r="A690" s="1">
        <v>45243</v>
      </c>
      <c r="B690" t="s">
        <v>19</v>
      </c>
      <c r="C690" t="s">
        <v>20</v>
      </c>
      <c r="D690" t="s">
        <v>9</v>
      </c>
      <c r="E690">
        <v>1673.63</v>
      </c>
      <c r="F690">
        <v>1175.24</v>
      </c>
      <c r="G690">
        <v>6</v>
      </c>
      <c r="H690">
        <f t="shared" si="60"/>
        <v>10041.780000000001</v>
      </c>
      <c r="I690">
        <f t="shared" si="64"/>
        <v>7051.4400000000005</v>
      </c>
      <c r="J690">
        <f t="shared" si="61"/>
        <v>2990.34</v>
      </c>
      <c r="K690" s="8">
        <f t="shared" si="62"/>
        <v>0.297789834073242</v>
      </c>
      <c r="L690" t="str">
        <f t="shared" si="65"/>
        <v>2023-11</v>
      </c>
      <c r="M690">
        <f t="shared" si="63"/>
        <v>2990.34</v>
      </c>
    </row>
    <row r="691" spans="1:13" x14ac:dyDescent="0.25">
      <c r="A691" s="1">
        <v>45006</v>
      </c>
      <c r="B691" t="s">
        <v>10</v>
      </c>
      <c r="C691" t="s">
        <v>11</v>
      </c>
      <c r="D691" t="s">
        <v>17</v>
      </c>
      <c r="E691">
        <v>735.89</v>
      </c>
      <c r="F691">
        <v>472.65</v>
      </c>
      <c r="G691">
        <v>6</v>
      </c>
      <c r="H691">
        <f t="shared" si="60"/>
        <v>4415.34</v>
      </c>
      <c r="I691">
        <f t="shared" si="64"/>
        <v>2835.8999999999996</v>
      </c>
      <c r="J691">
        <f t="shared" si="61"/>
        <v>1579.4400000000005</v>
      </c>
      <c r="K691" s="8">
        <f t="shared" si="62"/>
        <v>0.35771650654309756</v>
      </c>
      <c r="L691" t="str">
        <f t="shared" si="65"/>
        <v>2023-03</v>
      </c>
      <c r="M691">
        <f t="shared" si="63"/>
        <v>1579.4400000000005</v>
      </c>
    </row>
    <row r="692" spans="1:13" x14ac:dyDescent="0.25">
      <c r="A692" s="1">
        <v>44583</v>
      </c>
      <c r="B692" t="s">
        <v>25</v>
      </c>
      <c r="C692" t="s">
        <v>15</v>
      </c>
      <c r="D692" t="s">
        <v>13</v>
      </c>
      <c r="E692">
        <v>1934.4</v>
      </c>
      <c r="F692">
        <v>1020.73</v>
      </c>
      <c r="G692">
        <v>9</v>
      </c>
      <c r="H692">
        <f t="shared" si="60"/>
        <v>17409.600000000002</v>
      </c>
      <c r="I692">
        <f t="shared" si="64"/>
        <v>9186.57</v>
      </c>
      <c r="J692">
        <f t="shared" si="61"/>
        <v>8223.0300000000025</v>
      </c>
      <c r="K692" s="8">
        <f t="shared" si="62"/>
        <v>0.47232733664185284</v>
      </c>
      <c r="L692" t="str">
        <f t="shared" si="65"/>
        <v>2022-01</v>
      </c>
      <c r="M692">
        <f t="shared" si="63"/>
        <v>8223.0300000000025</v>
      </c>
    </row>
    <row r="693" spans="1:13" x14ac:dyDescent="0.25">
      <c r="A693" s="1">
        <v>45295</v>
      </c>
      <c r="B693" t="s">
        <v>14</v>
      </c>
      <c r="C693" t="s">
        <v>15</v>
      </c>
      <c r="D693" t="s">
        <v>9</v>
      </c>
      <c r="E693">
        <v>1402.33</v>
      </c>
      <c r="F693">
        <v>872.91</v>
      </c>
      <c r="G693">
        <v>7</v>
      </c>
      <c r="H693">
        <f t="shared" si="60"/>
        <v>9816.31</v>
      </c>
      <c r="I693">
        <f t="shared" si="64"/>
        <v>6110.37</v>
      </c>
      <c r="J693">
        <f t="shared" si="61"/>
        <v>3705.9399999999996</v>
      </c>
      <c r="K693" s="8">
        <f t="shared" si="62"/>
        <v>0.37752882702359641</v>
      </c>
      <c r="L693" t="str">
        <f t="shared" si="65"/>
        <v>2024-01</v>
      </c>
      <c r="M693">
        <f t="shared" si="63"/>
        <v>3705.9399999999996</v>
      </c>
    </row>
    <row r="694" spans="1:13" x14ac:dyDescent="0.25">
      <c r="A694" s="1">
        <v>45266</v>
      </c>
      <c r="B694" t="s">
        <v>7</v>
      </c>
      <c r="C694" t="s">
        <v>8</v>
      </c>
      <c r="D694" t="s">
        <v>17</v>
      </c>
      <c r="E694">
        <v>1705.5</v>
      </c>
      <c r="F694">
        <v>860.61</v>
      </c>
      <c r="G694">
        <v>3</v>
      </c>
      <c r="H694">
        <f t="shared" si="60"/>
        <v>5116.5</v>
      </c>
      <c r="I694">
        <f t="shared" si="64"/>
        <v>2581.83</v>
      </c>
      <c r="J694">
        <f t="shared" si="61"/>
        <v>2534.67</v>
      </c>
      <c r="K694" s="8">
        <f t="shared" si="62"/>
        <v>0.49539138082673706</v>
      </c>
      <c r="L694" t="str">
        <f t="shared" si="65"/>
        <v>2023-12</v>
      </c>
      <c r="M694">
        <f t="shared" si="63"/>
        <v>2534.67</v>
      </c>
    </row>
    <row r="695" spans="1:13" x14ac:dyDescent="0.25">
      <c r="A695" s="1">
        <v>44659</v>
      </c>
      <c r="B695" t="s">
        <v>25</v>
      </c>
      <c r="C695" t="s">
        <v>15</v>
      </c>
      <c r="D695" t="s">
        <v>18</v>
      </c>
      <c r="E695">
        <v>840.7</v>
      </c>
      <c r="F695">
        <v>612.39</v>
      </c>
      <c r="G695">
        <v>2</v>
      </c>
      <c r="H695">
        <f t="shared" si="60"/>
        <v>1681.4</v>
      </c>
      <c r="I695">
        <f t="shared" si="64"/>
        <v>1224.78</v>
      </c>
      <c r="J695">
        <f t="shared" si="61"/>
        <v>456.62000000000012</v>
      </c>
      <c r="K695" s="8">
        <f t="shared" si="62"/>
        <v>0.2715713096229333</v>
      </c>
      <c r="L695" t="str">
        <f t="shared" si="65"/>
        <v>2022-04</v>
      </c>
      <c r="M695">
        <f t="shared" si="63"/>
        <v>456.62000000000012</v>
      </c>
    </row>
    <row r="696" spans="1:13" x14ac:dyDescent="0.25">
      <c r="A696" s="1">
        <v>44991</v>
      </c>
      <c r="B696" t="s">
        <v>7</v>
      </c>
      <c r="C696" t="s">
        <v>8</v>
      </c>
      <c r="D696" t="s">
        <v>9</v>
      </c>
      <c r="E696">
        <v>1259.02</v>
      </c>
      <c r="F696">
        <v>837.86</v>
      </c>
      <c r="G696">
        <v>5</v>
      </c>
      <c r="H696">
        <f t="shared" si="60"/>
        <v>6295.1</v>
      </c>
      <c r="I696">
        <f t="shared" si="64"/>
        <v>4189.3</v>
      </c>
      <c r="J696">
        <f t="shared" si="61"/>
        <v>2105.8000000000002</v>
      </c>
      <c r="K696" s="8">
        <f t="shared" si="62"/>
        <v>0.33451414592301948</v>
      </c>
      <c r="L696" t="str">
        <f t="shared" si="65"/>
        <v>2023-03</v>
      </c>
      <c r="M696">
        <f t="shared" si="63"/>
        <v>2105.8000000000002</v>
      </c>
    </row>
    <row r="697" spans="1:13" x14ac:dyDescent="0.25">
      <c r="A697" s="1">
        <v>45486</v>
      </c>
      <c r="B697" t="s">
        <v>14</v>
      </c>
      <c r="C697" t="s">
        <v>15</v>
      </c>
      <c r="D697" t="s">
        <v>18</v>
      </c>
      <c r="E697">
        <v>572.80999999999995</v>
      </c>
      <c r="F697">
        <v>380.13</v>
      </c>
      <c r="G697">
        <v>10</v>
      </c>
      <c r="H697">
        <f t="shared" si="60"/>
        <v>5728.0999999999995</v>
      </c>
      <c r="I697">
        <f t="shared" si="64"/>
        <v>3801.3</v>
      </c>
      <c r="J697">
        <f t="shared" si="61"/>
        <v>1926.7999999999993</v>
      </c>
      <c r="K697" s="8">
        <f t="shared" si="62"/>
        <v>0.33637680906408746</v>
      </c>
      <c r="L697" t="str">
        <f t="shared" si="65"/>
        <v>2024-07</v>
      </c>
      <c r="M697">
        <f t="shared" si="63"/>
        <v>1926.7999999999993</v>
      </c>
    </row>
    <row r="698" spans="1:13" x14ac:dyDescent="0.25">
      <c r="A698" s="1">
        <v>45475</v>
      </c>
      <c r="B698" t="s">
        <v>23</v>
      </c>
      <c r="C698" t="s">
        <v>11</v>
      </c>
      <c r="D698" t="s">
        <v>18</v>
      </c>
      <c r="E698">
        <v>1026.45</v>
      </c>
      <c r="F698">
        <v>532.54</v>
      </c>
      <c r="G698">
        <v>2</v>
      </c>
      <c r="H698">
        <f t="shared" si="60"/>
        <v>2052.9</v>
      </c>
      <c r="I698">
        <f t="shared" si="64"/>
        <v>1065.08</v>
      </c>
      <c r="J698">
        <f t="shared" si="61"/>
        <v>987.82000000000016</v>
      </c>
      <c r="K698" s="8">
        <f t="shared" si="62"/>
        <v>0.48118271713186228</v>
      </c>
      <c r="L698" t="str">
        <f t="shared" si="65"/>
        <v>2024-07</v>
      </c>
      <c r="M698">
        <f t="shared" si="63"/>
        <v>987.82000000000016</v>
      </c>
    </row>
    <row r="699" spans="1:13" x14ac:dyDescent="0.25">
      <c r="A699" s="1">
        <v>45299</v>
      </c>
      <c r="B699" t="s">
        <v>23</v>
      </c>
      <c r="C699" t="s">
        <v>11</v>
      </c>
      <c r="D699" t="s">
        <v>13</v>
      </c>
      <c r="E699">
        <v>935.67</v>
      </c>
      <c r="F699">
        <v>837.19</v>
      </c>
      <c r="G699">
        <v>5</v>
      </c>
      <c r="H699">
        <f t="shared" si="60"/>
        <v>4678.3499999999995</v>
      </c>
      <c r="I699">
        <f t="shared" si="64"/>
        <v>4185.9500000000007</v>
      </c>
      <c r="J699">
        <f t="shared" si="61"/>
        <v>492.39999999999873</v>
      </c>
      <c r="K699" s="8">
        <f t="shared" si="62"/>
        <v>0.10525078286147868</v>
      </c>
      <c r="L699" t="str">
        <f t="shared" si="65"/>
        <v>2024-01</v>
      </c>
      <c r="M699">
        <f t="shared" si="63"/>
        <v>492.39999999999873</v>
      </c>
    </row>
    <row r="700" spans="1:13" x14ac:dyDescent="0.25">
      <c r="A700" s="1">
        <v>44958</v>
      </c>
      <c r="B700" t="s">
        <v>21</v>
      </c>
      <c r="C700" t="s">
        <v>20</v>
      </c>
      <c r="D700" t="s">
        <v>9</v>
      </c>
      <c r="E700">
        <v>987.04</v>
      </c>
      <c r="F700">
        <v>722.27</v>
      </c>
      <c r="G700">
        <v>10</v>
      </c>
      <c r="H700">
        <f t="shared" si="60"/>
        <v>9870.4</v>
      </c>
      <c r="I700">
        <f t="shared" si="64"/>
        <v>7222.7</v>
      </c>
      <c r="J700">
        <f t="shared" si="61"/>
        <v>2647.7</v>
      </c>
      <c r="K700" s="8">
        <f t="shared" si="62"/>
        <v>0.26824647430701898</v>
      </c>
      <c r="L700" t="str">
        <f t="shared" si="65"/>
        <v>2023-02</v>
      </c>
      <c r="M700">
        <f t="shared" si="63"/>
        <v>2647.7</v>
      </c>
    </row>
    <row r="701" spans="1:13" x14ac:dyDescent="0.25">
      <c r="A701" s="1">
        <v>44886</v>
      </c>
      <c r="B701" t="s">
        <v>23</v>
      </c>
      <c r="C701" t="s">
        <v>11</v>
      </c>
      <c r="D701" t="s">
        <v>17</v>
      </c>
      <c r="E701">
        <v>1567.74</v>
      </c>
      <c r="F701">
        <v>914.26</v>
      </c>
      <c r="G701">
        <v>2</v>
      </c>
      <c r="H701">
        <f t="shared" si="60"/>
        <v>3135.48</v>
      </c>
      <c r="I701">
        <f t="shared" si="64"/>
        <v>1828.52</v>
      </c>
      <c r="J701">
        <f t="shared" si="61"/>
        <v>1306.96</v>
      </c>
      <c r="K701" s="8">
        <f t="shared" si="62"/>
        <v>0.41682932118846239</v>
      </c>
      <c r="L701" t="str">
        <f t="shared" si="65"/>
        <v>2022-11</v>
      </c>
      <c r="M701">
        <f t="shared" si="63"/>
        <v>1306.96</v>
      </c>
    </row>
    <row r="702" spans="1:13" x14ac:dyDescent="0.25">
      <c r="A702" s="1">
        <v>45210</v>
      </c>
      <c r="B702" t="s">
        <v>21</v>
      </c>
      <c r="C702" t="s">
        <v>20</v>
      </c>
      <c r="D702" t="s">
        <v>13</v>
      </c>
      <c r="E702">
        <v>1236.92</v>
      </c>
      <c r="F702">
        <v>948.56</v>
      </c>
      <c r="G702">
        <v>1</v>
      </c>
      <c r="H702">
        <f t="shared" si="60"/>
        <v>1236.92</v>
      </c>
      <c r="I702">
        <f t="shared" si="64"/>
        <v>948.56</v>
      </c>
      <c r="J702">
        <f t="shared" si="61"/>
        <v>288.36000000000013</v>
      </c>
      <c r="K702" s="8">
        <f t="shared" si="62"/>
        <v>0.23312744559066076</v>
      </c>
      <c r="L702" t="str">
        <f t="shared" si="65"/>
        <v>2023-10</v>
      </c>
      <c r="M702">
        <f t="shared" si="63"/>
        <v>288.36000000000013</v>
      </c>
    </row>
    <row r="703" spans="1:13" x14ac:dyDescent="0.25">
      <c r="A703" s="1">
        <v>45307</v>
      </c>
      <c r="B703" t="s">
        <v>7</v>
      </c>
      <c r="C703" t="s">
        <v>8</v>
      </c>
      <c r="D703" t="s">
        <v>17</v>
      </c>
      <c r="E703">
        <v>843.65</v>
      </c>
      <c r="F703">
        <v>688.35</v>
      </c>
      <c r="G703">
        <v>9</v>
      </c>
      <c r="H703">
        <f t="shared" si="60"/>
        <v>7592.8499999999995</v>
      </c>
      <c r="I703">
        <f t="shared" si="64"/>
        <v>6195.1500000000005</v>
      </c>
      <c r="J703">
        <f t="shared" si="61"/>
        <v>1397.6999999999989</v>
      </c>
      <c r="K703" s="8">
        <f t="shared" si="62"/>
        <v>0.18408107627570661</v>
      </c>
      <c r="L703" t="str">
        <f t="shared" si="65"/>
        <v>2024-01</v>
      </c>
      <c r="M703">
        <f t="shared" si="63"/>
        <v>1397.6999999999989</v>
      </c>
    </row>
    <row r="704" spans="1:13" x14ac:dyDescent="0.25">
      <c r="A704" s="1">
        <v>45440</v>
      </c>
      <c r="B704" t="s">
        <v>7</v>
      </c>
      <c r="C704" t="s">
        <v>8</v>
      </c>
      <c r="D704" t="s">
        <v>13</v>
      </c>
      <c r="E704">
        <v>1506.95</v>
      </c>
      <c r="F704">
        <v>944.54</v>
      </c>
      <c r="G704">
        <v>9</v>
      </c>
      <c r="H704">
        <f t="shared" si="60"/>
        <v>13562.550000000001</v>
      </c>
      <c r="I704">
        <f t="shared" si="64"/>
        <v>8500.86</v>
      </c>
      <c r="J704">
        <f t="shared" si="61"/>
        <v>5061.6900000000005</v>
      </c>
      <c r="K704" s="8">
        <f t="shared" si="62"/>
        <v>0.37321079000630414</v>
      </c>
      <c r="L704" t="str">
        <f t="shared" si="65"/>
        <v>2024-05</v>
      </c>
      <c r="M704">
        <f t="shared" si="63"/>
        <v>5061.6900000000005</v>
      </c>
    </row>
    <row r="705" spans="1:13" x14ac:dyDescent="0.25">
      <c r="A705" s="1">
        <v>44699</v>
      </c>
      <c r="B705" t="s">
        <v>21</v>
      </c>
      <c r="C705" t="s">
        <v>20</v>
      </c>
      <c r="D705" t="s">
        <v>17</v>
      </c>
      <c r="E705">
        <v>1781.2</v>
      </c>
      <c r="F705">
        <v>941.84</v>
      </c>
      <c r="G705">
        <v>4</v>
      </c>
      <c r="H705">
        <f t="shared" si="60"/>
        <v>7124.8</v>
      </c>
      <c r="I705">
        <f t="shared" si="64"/>
        <v>3767.36</v>
      </c>
      <c r="J705">
        <f t="shared" si="61"/>
        <v>3357.44</v>
      </c>
      <c r="K705" s="8">
        <f t="shared" si="62"/>
        <v>0.47123287671232877</v>
      </c>
      <c r="L705" t="str">
        <f t="shared" si="65"/>
        <v>2022-05</v>
      </c>
      <c r="M705">
        <f t="shared" si="63"/>
        <v>3357.44</v>
      </c>
    </row>
    <row r="706" spans="1:13" x14ac:dyDescent="0.25">
      <c r="A706" s="1">
        <v>44656</v>
      </c>
      <c r="B706" t="s">
        <v>14</v>
      </c>
      <c r="C706" t="s">
        <v>15</v>
      </c>
      <c r="D706" t="s">
        <v>18</v>
      </c>
      <c r="E706">
        <v>1403.03</v>
      </c>
      <c r="F706">
        <v>1225.1099999999999</v>
      </c>
      <c r="G706">
        <v>8</v>
      </c>
      <c r="H706">
        <f t="shared" si="60"/>
        <v>11224.24</v>
      </c>
      <c r="I706">
        <f t="shared" si="64"/>
        <v>9800.8799999999992</v>
      </c>
      <c r="J706">
        <f t="shared" si="61"/>
        <v>1423.3600000000006</v>
      </c>
      <c r="K706" s="8">
        <f t="shared" si="62"/>
        <v>0.12681125849055264</v>
      </c>
      <c r="L706" t="str">
        <f t="shared" si="65"/>
        <v>2022-04</v>
      </c>
      <c r="M706">
        <f t="shared" si="63"/>
        <v>1423.3600000000006</v>
      </c>
    </row>
    <row r="707" spans="1:13" x14ac:dyDescent="0.25">
      <c r="A707" s="1">
        <v>44655</v>
      </c>
      <c r="B707" t="s">
        <v>21</v>
      </c>
      <c r="C707" t="s">
        <v>20</v>
      </c>
      <c r="D707" t="s">
        <v>17</v>
      </c>
      <c r="E707">
        <v>726.85</v>
      </c>
      <c r="F707">
        <v>623.70000000000005</v>
      </c>
      <c r="G707">
        <v>6</v>
      </c>
      <c r="H707">
        <f t="shared" ref="H707:H770" si="66">E707*G707</f>
        <v>4361.1000000000004</v>
      </c>
      <c r="I707">
        <f t="shared" si="64"/>
        <v>3742.2000000000003</v>
      </c>
      <c r="J707">
        <f t="shared" ref="J707:J770" si="67">H707-I707</f>
        <v>618.90000000000009</v>
      </c>
      <c r="K707" s="8">
        <f t="shared" ref="K707:K770" si="68">(H707-I707)/H707</f>
        <v>0.14191373735984042</v>
      </c>
      <c r="L707" t="str">
        <f t="shared" si="65"/>
        <v>2022-04</v>
      </c>
      <c r="M707">
        <f t="shared" ref="M707:M770" si="69">H707-I707</f>
        <v>618.90000000000009</v>
      </c>
    </row>
    <row r="708" spans="1:13" x14ac:dyDescent="0.25">
      <c r="A708" s="1">
        <v>44655</v>
      </c>
      <c r="B708" t="s">
        <v>22</v>
      </c>
      <c r="C708" t="s">
        <v>8</v>
      </c>
      <c r="D708" t="s">
        <v>17</v>
      </c>
      <c r="E708">
        <v>1708.04</v>
      </c>
      <c r="F708">
        <v>1013.35</v>
      </c>
      <c r="G708">
        <v>4</v>
      </c>
      <c r="H708">
        <f t="shared" si="66"/>
        <v>6832.16</v>
      </c>
      <c r="I708">
        <f t="shared" ref="I708:I771" si="70">F708*G708</f>
        <v>4053.4</v>
      </c>
      <c r="J708">
        <f t="shared" si="67"/>
        <v>2778.7599999999998</v>
      </c>
      <c r="K708" s="8">
        <f t="shared" si="68"/>
        <v>0.40671764127303806</v>
      </c>
      <c r="L708" t="str">
        <f t="shared" ref="L708:L771" si="71">TEXT(A708,"rrrr-mm")</f>
        <v>2022-04</v>
      </c>
      <c r="M708">
        <f t="shared" si="69"/>
        <v>2778.7599999999998</v>
      </c>
    </row>
    <row r="709" spans="1:13" x14ac:dyDescent="0.25">
      <c r="A709" s="1">
        <v>44750</v>
      </c>
      <c r="B709" t="s">
        <v>16</v>
      </c>
      <c r="C709" t="s">
        <v>15</v>
      </c>
      <c r="D709" t="s">
        <v>13</v>
      </c>
      <c r="E709">
        <v>1717.42</v>
      </c>
      <c r="F709">
        <v>1489.77</v>
      </c>
      <c r="G709">
        <v>7</v>
      </c>
      <c r="H709">
        <f t="shared" si="66"/>
        <v>12021.94</v>
      </c>
      <c r="I709">
        <f t="shared" si="70"/>
        <v>10428.39</v>
      </c>
      <c r="J709">
        <f t="shared" si="67"/>
        <v>1593.5500000000011</v>
      </c>
      <c r="K709" s="8">
        <f t="shared" si="68"/>
        <v>0.13255348138486808</v>
      </c>
      <c r="L709" t="str">
        <f t="shared" si="71"/>
        <v>2022-07</v>
      </c>
      <c r="M709">
        <f t="shared" si="69"/>
        <v>1593.5500000000011</v>
      </c>
    </row>
    <row r="710" spans="1:13" x14ac:dyDescent="0.25">
      <c r="A710" s="1">
        <v>44783</v>
      </c>
      <c r="B710" t="s">
        <v>19</v>
      </c>
      <c r="C710" t="s">
        <v>20</v>
      </c>
      <c r="D710" t="s">
        <v>13</v>
      </c>
      <c r="E710">
        <v>1749.57</v>
      </c>
      <c r="F710">
        <v>1479.45</v>
      </c>
      <c r="G710">
        <v>8</v>
      </c>
      <c r="H710">
        <f t="shared" si="66"/>
        <v>13996.56</v>
      </c>
      <c r="I710">
        <f t="shared" si="70"/>
        <v>11835.6</v>
      </c>
      <c r="J710">
        <f t="shared" si="67"/>
        <v>2160.9599999999991</v>
      </c>
      <c r="K710" s="8">
        <f t="shared" si="68"/>
        <v>0.15439222208885606</v>
      </c>
      <c r="L710" t="str">
        <f t="shared" si="71"/>
        <v>2022-08</v>
      </c>
      <c r="M710">
        <f t="shared" si="69"/>
        <v>2160.9599999999991</v>
      </c>
    </row>
    <row r="711" spans="1:13" x14ac:dyDescent="0.25">
      <c r="A711" s="1">
        <v>45140</v>
      </c>
      <c r="B711" t="s">
        <v>19</v>
      </c>
      <c r="C711" t="s">
        <v>20</v>
      </c>
      <c r="D711" t="s">
        <v>18</v>
      </c>
      <c r="E711">
        <v>766.49</v>
      </c>
      <c r="F711">
        <v>614.6</v>
      </c>
      <c r="G711">
        <v>4</v>
      </c>
      <c r="H711">
        <f t="shared" si="66"/>
        <v>3065.96</v>
      </c>
      <c r="I711">
        <f t="shared" si="70"/>
        <v>2458.4</v>
      </c>
      <c r="J711">
        <f t="shared" si="67"/>
        <v>607.55999999999995</v>
      </c>
      <c r="K711" s="8">
        <f t="shared" si="68"/>
        <v>0.19816305496483971</v>
      </c>
      <c r="L711" t="str">
        <f t="shared" si="71"/>
        <v>2023-08</v>
      </c>
      <c r="M711">
        <f t="shared" si="69"/>
        <v>607.55999999999995</v>
      </c>
    </row>
    <row r="712" spans="1:13" x14ac:dyDescent="0.25">
      <c r="A712" s="1">
        <v>45463</v>
      </c>
      <c r="B712" t="s">
        <v>23</v>
      </c>
      <c r="C712" t="s">
        <v>11</v>
      </c>
      <c r="D712" t="s">
        <v>17</v>
      </c>
      <c r="E712">
        <v>1586.58</v>
      </c>
      <c r="F712">
        <v>1011.76</v>
      </c>
      <c r="G712">
        <v>10</v>
      </c>
      <c r="H712">
        <f t="shared" si="66"/>
        <v>15865.8</v>
      </c>
      <c r="I712">
        <f t="shared" si="70"/>
        <v>10117.6</v>
      </c>
      <c r="J712">
        <f t="shared" si="67"/>
        <v>5748.1999999999989</v>
      </c>
      <c r="K712" s="8">
        <f t="shared" si="68"/>
        <v>0.36230130217196732</v>
      </c>
      <c r="L712" t="str">
        <f t="shared" si="71"/>
        <v>2024-06</v>
      </c>
      <c r="M712">
        <f t="shared" si="69"/>
        <v>5748.1999999999989</v>
      </c>
    </row>
    <row r="713" spans="1:13" x14ac:dyDescent="0.25">
      <c r="A713" s="1">
        <v>45616</v>
      </c>
      <c r="B713" t="s">
        <v>22</v>
      </c>
      <c r="C713" t="s">
        <v>8</v>
      </c>
      <c r="D713" t="s">
        <v>9</v>
      </c>
      <c r="E713">
        <v>1550.39</v>
      </c>
      <c r="F713">
        <v>1199.26</v>
      </c>
      <c r="G713">
        <v>2</v>
      </c>
      <c r="H713">
        <f t="shared" si="66"/>
        <v>3100.78</v>
      </c>
      <c r="I713">
        <f t="shared" si="70"/>
        <v>2398.52</v>
      </c>
      <c r="J713">
        <f t="shared" si="67"/>
        <v>702.26000000000022</v>
      </c>
      <c r="K713" s="8">
        <f t="shared" si="68"/>
        <v>0.22647849895832667</v>
      </c>
      <c r="L713" t="str">
        <f t="shared" si="71"/>
        <v>2024-11</v>
      </c>
      <c r="M713">
        <f t="shared" si="69"/>
        <v>702.26000000000022</v>
      </c>
    </row>
    <row r="714" spans="1:13" x14ac:dyDescent="0.25">
      <c r="A714" s="1">
        <v>44592</v>
      </c>
      <c r="B714" t="s">
        <v>21</v>
      </c>
      <c r="C714" t="s">
        <v>20</v>
      </c>
      <c r="D714" t="s">
        <v>9</v>
      </c>
      <c r="E714">
        <v>782.97</v>
      </c>
      <c r="F714">
        <v>661.19</v>
      </c>
      <c r="G714">
        <v>5</v>
      </c>
      <c r="H714">
        <f t="shared" si="66"/>
        <v>3914.8500000000004</v>
      </c>
      <c r="I714">
        <f t="shared" si="70"/>
        <v>3305.9500000000003</v>
      </c>
      <c r="J714">
        <f t="shared" si="67"/>
        <v>608.90000000000009</v>
      </c>
      <c r="K714" s="8">
        <f t="shared" si="68"/>
        <v>0.15553597200403593</v>
      </c>
      <c r="L714" t="str">
        <f t="shared" si="71"/>
        <v>2022-01</v>
      </c>
      <c r="M714">
        <f t="shared" si="69"/>
        <v>608.90000000000009</v>
      </c>
    </row>
    <row r="715" spans="1:13" x14ac:dyDescent="0.25">
      <c r="A715" s="1">
        <v>45346</v>
      </c>
      <c r="B715" t="s">
        <v>7</v>
      </c>
      <c r="C715" t="s">
        <v>8</v>
      </c>
      <c r="D715" t="s">
        <v>9</v>
      </c>
      <c r="E715">
        <v>253.79</v>
      </c>
      <c r="F715">
        <v>190.18</v>
      </c>
      <c r="G715">
        <v>10</v>
      </c>
      <c r="H715">
        <f t="shared" si="66"/>
        <v>2537.9</v>
      </c>
      <c r="I715">
        <f t="shared" si="70"/>
        <v>1901.8000000000002</v>
      </c>
      <c r="J715">
        <f t="shared" si="67"/>
        <v>636.09999999999991</v>
      </c>
      <c r="K715" s="8">
        <f t="shared" si="68"/>
        <v>0.25064029315575864</v>
      </c>
      <c r="L715" t="str">
        <f t="shared" si="71"/>
        <v>2024-02</v>
      </c>
      <c r="M715">
        <f t="shared" si="69"/>
        <v>636.09999999999991</v>
      </c>
    </row>
    <row r="716" spans="1:13" x14ac:dyDescent="0.25">
      <c r="A716" s="1">
        <v>44775</v>
      </c>
      <c r="B716" t="s">
        <v>12</v>
      </c>
      <c r="C716" t="s">
        <v>8</v>
      </c>
      <c r="D716" t="s">
        <v>9</v>
      </c>
      <c r="E716">
        <v>924.85</v>
      </c>
      <c r="F716">
        <v>693.72</v>
      </c>
      <c r="G716">
        <v>6</v>
      </c>
      <c r="H716">
        <f t="shared" si="66"/>
        <v>5549.1</v>
      </c>
      <c r="I716">
        <f t="shared" si="70"/>
        <v>4162.32</v>
      </c>
      <c r="J716">
        <f t="shared" si="67"/>
        <v>1386.7800000000007</v>
      </c>
      <c r="K716" s="8">
        <f t="shared" si="68"/>
        <v>0.2499107963453534</v>
      </c>
      <c r="L716" t="str">
        <f t="shared" si="71"/>
        <v>2022-08</v>
      </c>
      <c r="M716">
        <f t="shared" si="69"/>
        <v>1386.7800000000007</v>
      </c>
    </row>
    <row r="717" spans="1:13" x14ac:dyDescent="0.25">
      <c r="A717" s="1">
        <v>44666</v>
      </c>
      <c r="B717" t="s">
        <v>7</v>
      </c>
      <c r="C717" t="s">
        <v>8</v>
      </c>
      <c r="D717" t="s">
        <v>9</v>
      </c>
      <c r="E717">
        <v>487.05</v>
      </c>
      <c r="F717">
        <v>409.07</v>
      </c>
      <c r="G717">
        <v>3</v>
      </c>
      <c r="H717">
        <f t="shared" si="66"/>
        <v>1461.15</v>
      </c>
      <c r="I717">
        <f t="shared" si="70"/>
        <v>1227.21</v>
      </c>
      <c r="J717">
        <f t="shared" si="67"/>
        <v>233.94000000000005</v>
      </c>
      <c r="K717" s="8">
        <f t="shared" si="68"/>
        <v>0.16010676521917672</v>
      </c>
      <c r="L717" t="str">
        <f t="shared" si="71"/>
        <v>2022-04</v>
      </c>
      <c r="M717">
        <f t="shared" si="69"/>
        <v>233.94000000000005</v>
      </c>
    </row>
    <row r="718" spans="1:13" x14ac:dyDescent="0.25">
      <c r="A718" s="1">
        <v>44817</v>
      </c>
      <c r="B718" t="s">
        <v>21</v>
      </c>
      <c r="C718" t="s">
        <v>20</v>
      </c>
      <c r="D718" t="s">
        <v>17</v>
      </c>
      <c r="E718">
        <v>1206.8900000000001</v>
      </c>
      <c r="F718">
        <v>702.19</v>
      </c>
      <c r="G718">
        <v>1</v>
      </c>
      <c r="H718">
        <f t="shared" si="66"/>
        <v>1206.8900000000001</v>
      </c>
      <c r="I718">
        <f t="shared" si="70"/>
        <v>702.19</v>
      </c>
      <c r="J718">
        <f t="shared" si="67"/>
        <v>504.70000000000005</v>
      </c>
      <c r="K718" s="8">
        <f t="shared" si="68"/>
        <v>0.41818227013232356</v>
      </c>
      <c r="L718" t="str">
        <f t="shared" si="71"/>
        <v>2022-09</v>
      </c>
      <c r="M718">
        <f t="shared" si="69"/>
        <v>504.70000000000005</v>
      </c>
    </row>
    <row r="719" spans="1:13" x14ac:dyDescent="0.25">
      <c r="A719" s="1">
        <v>44775</v>
      </c>
      <c r="B719" t="s">
        <v>7</v>
      </c>
      <c r="C719" t="s">
        <v>8</v>
      </c>
      <c r="D719" t="s">
        <v>18</v>
      </c>
      <c r="E719">
        <v>129.53</v>
      </c>
      <c r="F719">
        <v>115.95</v>
      </c>
      <c r="G719">
        <v>5</v>
      </c>
      <c r="H719">
        <f t="shared" si="66"/>
        <v>647.65</v>
      </c>
      <c r="I719">
        <f t="shared" si="70"/>
        <v>579.75</v>
      </c>
      <c r="J719">
        <f t="shared" si="67"/>
        <v>67.899999999999977</v>
      </c>
      <c r="K719" s="8">
        <f t="shared" si="68"/>
        <v>0.10484057747240018</v>
      </c>
      <c r="L719" t="str">
        <f t="shared" si="71"/>
        <v>2022-08</v>
      </c>
      <c r="M719">
        <f t="shared" si="69"/>
        <v>67.899999999999977</v>
      </c>
    </row>
    <row r="720" spans="1:13" x14ac:dyDescent="0.25">
      <c r="A720" s="1">
        <v>45031</v>
      </c>
      <c r="B720" t="s">
        <v>21</v>
      </c>
      <c r="C720" t="s">
        <v>20</v>
      </c>
      <c r="D720" t="s">
        <v>9</v>
      </c>
      <c r="E720">
        <v>368.88</v>
      </c>
      <c r="F720">
        <v>327.76</v>
      </c>
      <c r="G720">
        <v>2</v>
      </c>
      <c r="H720">
        <f t="shared" si="66"/>
        <v>737.76</v>
      </c>
      <c r="I720">
        <f t="shared" si="70"/>
        <v>655.52</v>
      </c>
      <c r="J720">
        <f t="shared" si="67"/>
        <v>82.240000000000009</v>
      </c>
      <c r="K720" s="8">
        <f t="shared" si="68"/>
        <v>0.11147256560399046</v>
      </c>
      <c r="L720" t="str">
        <f t="shared" si="71"/>
        <v>2023-04</v>
      </c>
      <c r="M720">
        <f t="shared" si="69"/>
        <v>82.240000000000009</v>
      </c>
    </row>
    <row r="721" spans="1:13" x14ac:dyDescent="0.25">
      <c r="A721" s="1">
        <v>44700</v>
      </c>
      <c r="B721" t="s">
        <v>25</v>
      </c>
      <c r="C721" t="s">
        <v>15</v>
      </c>
      <c r="D721" t="s">
        <v>13</v>
      </c>
      <c r="E721">
        <v>1420.88</v>
      </c>
      <c r="F721">
        <v>1275.79</v>
      </c>
      <c r="G721">
        <v>7</v>
      </c>
      <c r="H721">
        <f t="shared" si="66"/>
        <v>9946.16</v>
      </c>
      <c r="I721">
        <f t="shared" si="70"/>
        <v>8930.5299999999988</v>
      </c>
      <c r="J721">
        <f t="shared" si="67"/>
        <v>1015.630000000001</v>
      </c>
      <c r="K721" s="8">
        <f t="shared" si="68"/>
        <v>0.10211277518157771</v>
      </c>
      <c r="L721" t="str">
        <f t="shared" si="71"/>
        <v>2022-05</v>
      </c>
      <c r="M721">
        <f t="shared" si="69"/>
        <v>1015.630000000001</v>
      </c>
    </row>
    <row r="722" spans="1:13" x14ac:dyDescent="0.25">
      <c r="A722" s="1">
        <v>45004</v>
      </c>
      <c r="B722" t="s">
        <v>24</v>
      </c>
      <c r="C722" t="s">
        <v>20</v>
      </c>
      <c r="D722" t="s">
        <v>9</v>
      </c>
      <c r="E722">
        <v>398.78</v>
      </c>
      <c r="F722">
        <v>267.58999999999997</v>
      </c>
      <c r="G722">
        <v>5</v>
      </c>
      <c r="H722">
        <f t="shared" si="66"/>
        <v>1993.8999999999999</v>
      </c>
      <c r="I722">
        <f t="shared" si="70"/>
        <v>1337.9499999999998</v>
      </c>
      <c r="J722">
        <f t="shared" si="67"/>
        <v>655.95</v>
      </c>
      <c r="K722" s="8">
        <f t="shared" si="68"/>
        <v>0.32897838407141788</v>
      </c>
      <c r="L722" t="str">
        <f t="shared" si="71"/>
        <v>2023-03</v>
      </c>
      <c r="M722">
        <f t="shared" si="69"/>
        <v>655.95</v>
      </c>
    </row>
    <row r="723" spans="1:13" x14ac:dyDescent="0.25">
      <c r="A723" s="1">
        <v>45224</v>
      </c>
      <c r="B723" t="s">
        <v>24</v>
      </c>
      <c r="C723" t="s">
        <v>20</v>
      </c>
      <c r="D723" t="s">
        <v>17</v>
      </c>
      <c r="E723">
        <v>620.25</v>
      </c>
      <c r="F723">
        <v>517.79999999999995</v>
      </c>
      <c r="G723">
        <v>9</v>
      </c>
      <c r="H723">
        <f t="shared" si="66"/>
        <v>5582.25</v>
      </c>
      <c r="I723">
        <f t="shared" si="70"/>
        <v>4660.2</v>
      </c>
      <c r="J723">
        <f t="shared" si="67"/>
        <v>922.05000000000018</v>
      </c>
      <c r="K723" s="8">
        <f t="shared" si="68"/>
        <v>0.16517533252720681</v>
      </c>
      <c r="L723" t="str">
        <f t="shared" si="71"/>
        <v>2023-10</v>
      </c>
      <c r="M723">
        <f t="shared" si="69"/>
        <v>922.05000000000018</v>
      </c>
    </row>
    <row r="724" spans="1:13" x14ac:dyDescent="0.25">
      <c r="A724" s="1">
        <v>45023</v>
      </c>
      <c r="B724" t="s">
        <v>7</v>
      </c>
      <c r="C724" t="s">
        <v>8</v>
      </c>
      <c r="D724" t="s">
        <v>9</v>
      </c>
      <c r="E724">
        <v>632.47</v>
      </c>
      <c r="F724">
        <v>365.79</v>
      </c>
      <c r="G724">
        <v>9</v>
      </c>
      <c r="H724">
        <f t="shared" si="66"/>
        <v>5692.2300000000005</v>
      </c>
      <c r="I724">
        <f t="shared" si="70"/>
        <v>3292.11</v>
      </c>
      <c r="J724">
        <f t="shared" si="67"/>
        <v>2400.1200000000003</v>
      </c>
      <c r="K724" s="8">
        <f t="shared" si="68"/>
        <v>0.42164845763435421</v>
      </c>
      <c r="L724" t="str">
        <f t="shared" si="71"/>
        <v>2023-04</v>
      </c>
      <c r="M724">
        <f t="shared" si="69"/>
        <v>2400.1200000000003</v>
      </c>
    </row>
    <row r="725" spans="1:13" x14ac:dyDescent="0.25">
      <c r="A725" s="1">
        <v>44621</v>
      </c>
      <c r="B725" t="s">
        <v>7</v>
      </c>
      <c r="C725" t="s">
        <v>8</v>
      </c>
      <c r="D725" t="s">
        <v>9</v>
      </c>
      <c r="E725">
        <v>1780.41</v>
      </c>
      <c r="F725">
        <v>1137.3499999999999</v>
      </c>
      <c r="G725">
        <v>4</v>
      </c>
      <c r="H725">
        <f t="shared" si="66"/>
        <v>7121.64</v>
      </c>
      <c r="I725">
        <f t="shared" si="70"/>
        <v>4549.3999999999996</v>
      </c>
      <c r="J725">
        <f t="shared" si="67"/>
        <v>2572.2400000000007</v>
      </c>
      <c r="K725" s="8">
        <f t="shared" si="68"/>
        <v>0.36118646828539502</v>
      </c>
      <c r="L725" t="str">
        <f t="shared" si="71"/>
        <v>2022-03</v>
      </c>
      <c r="M725">
        <f t="shared" si="69"/>
        <v>2572.2400000000007</v>
      </c>
    </row>
    <row r="726" spans="1:13" x14ac:dyDescent="0.25">
      <c r="A726" s="1">
        <v>45151</v>
      </c>
      <c r="B726" t="s">
        <v>16</v>
      </c>
      <c r="C726" t="s">
        <v>15</v>
      </c>
      <c r="D726" t="s">
        <v>9</v>
      </c>
      <c r="E726">
        <v>1146.8499999999999</v>
      </c>
      <c r="F726">
        <v>731.14</v>
      </c>
      <c r="G726">
        <v>5</v>
      </c>
      <c r="H726">
        <f t="shared" si="66"/>
        <v>5734.25</v>
      </c>
      <c r="I726">
        <f t="shared" si="70"/>
        <v>3655.7</v>
      </c>
      <c r="J726">
        <f t="shared" si="67"/>
        <v>2078.5500000000002</v>
      </c>
      <c r="K726" s="8">
        <f t="shared" si="68"/>
        <v>0.36247983607272094</v>
      </c>
      <c r="L726" t="str">
        <f t="shared" si="71"/>
        <v>2023-08</v>
      </c>
      <c r="M726">
        <f t="shared" si="69"/>
        <v>2078.5500000000002</v>
      </c>
    </row>
    <row r="727" spans="1:13" x14ac:dyDescent="0.25">
      <c r="A727" s="1">
        <v>44865</v>
      </c>
      <c r="B727" t="s">
        <v>19</v>
      </c>
      <c r="C727" t="s">
        <v>20</v>
      </c>
      <c r="D727" t="s">
        <v>17</v>
      </c>
      <c r="E727">
        <v>1615.07</v>
      </c>
      <c r="F727">
        <v>858.91</v>
      </c>
      <c r="G727">
        <v>5</v>
      </c>
      <c r="H727">
        <f t="shared" si="66"/>
        <v>8075.3499999999995</v>
      </c>
      <c r="I727">
        <f t="shared" si="70"/>
        <v>4294.55</v>
      </c>
      <c r="J727">
        <f t="shared" si="67"/>
        <v>3780.7999999999993</v>
      </c>
      <c r="K727" s="8">
        <f t="shared" si="68"/>
        <v>0.46819023324066444</v>
      </c>
      <c r="L727" t="str">
        <f t="shared" si="71"/>
        <v>2022-10</v>
      </c>
      <c r="M727">
        <f t="shared" si="69"/>
        <v>3780.7999999999993</v>
      </c>
    </row>
    <row r="728" spans="1:13" x14ac:dyDescent="0.25">
      <c r="A728" s="1">
        <v>45380</v>
      </c>
      <c r="B728" t="s">
        <v>7</v>
      </c>
      <c r="C728" t="s">
        <v>8</v>
      </c>
      <c r="D728" t="s">
        <v>13</v>
      </c>
      <c r="E728">
        <v>1474.02</v>
      </c>
      <c r="F728">
        <v>771.26</v>
      </c>
      <c r="G728">
        <v>8</v>
      </c>
      <c r="H728">
        <f t="shared" si="66"/>
        <v>11792.16</v>
      </c>
      <c r="I728">
        <f t="shared" si="70"/>
        <v>6170.08</v>
      </c>
      <c r="J728">
        <f t="shared" si="67"/>
        <v>5622.08</v>
      </c>
      <c r="K728" s="8">
        <f t="shared" si="68"/>
        <v>0.47676422300918575</v>
      </c>
      <c r="L728" t="str">
        <f t="shared" si="71"/>
        <v>2024-03</v>
      </c>
      <c r="M728">
        <f t="shared" si="69"/>
        <v>5622.08</v>
      </c>
    </row>
    <row r="729" spans="1:13" x14ac:dyDescent="0.25">
      <c r="A729" s="1">
        <v>44988</v>
      </c>
      <c r="B729" t="s">
        <v>19</v>
      </c>
      <c r="C729" t="s">
        <v>20</v>
      </c>
      <c r="D729" t="s">
        <v>9</v>
      </c>
      <c r="E729">
        <v>1938.79</v>
      </c>
      <c r="F729">
        <v>1591.02</v>
      </c>
      <c r="G729">
        <v>2</v>
      </c>
      <c r="H729">
        <f t="shared" si="66"/>
        <v>3877.58</v>
      </c>
      <c r="I729">
        <f t="shared" si="70"/>
        <v>3182.04</v>
      </c>
      <c r="J729">
        <f t="shared" si="67"/>
        <v>695.54</v>
      </c>
      <c r="K729" s="8">
        <f t="shared" si="68"/>
        <v>0.17937476467281138</v>
      </c>
      <c r="L729" t="str">
        <f t="shared" si="71"/>
        <v>2023-03</v>
      </c>
      <c r="M729">
        <f t="shared" si="69"/>
        <v>695.54</v>
      </c>
    </row>
    <row r="730" spans="1:13" x14ac:dyDescent="0.25">
      <c r="A730" s="1">
        <v>44792</v>
      </c>
      <c r="B730" t="s">
        <v>22</v>
      </c>
      <c r="C730" t="s">
        <v>8</v>
      </c>
      <c r="D730" t="s">
        <v>18</v>
      </c>
      <c r="E730">
        <v>1166.6099999999999</v>
      </c>
      <c r="F730">
        <v>694.36</v>
      </c>
      <c r="G730">
        <v>2</v>
      </c>
      <c r="H730">
        <f t="shared" si="66"/>
        <v>2333.2199999999998</v>
      </c>
      <c r="I730">
        <f t="shared" si="70"/>
        <v>1388.72</v>
      </c>
      <c r="J730">
        <f t="shared" si="67"/>
        <v>944.49999999999977</v>
      </c>
      <c r="K730" s="8">
        <f t="shared" si="68"/>
        <v>0.40480537626113261</v>
      </c>
      <c r="L730" t="str">
        <f t="shared" si="71"/>
        <v>2022-08</v>
      </c>
      <c r="M730">
        <f t="shared" si="69"/>
        <v>944.49999999999977</v>
      </c>
    </row>
    <row r="731" spans="1:13" x14ac:dyDescent="0.25">
      <c r="A731" s="1">
        <v>44650</v>
      </c>
      <c r="B731" t="s">
        <v>19</v>
      </c>
      <c r="C731" t="s">
        <v>20</v>
      </c>
      <c r="D731" t="s">
        <v>13</v>
      </c>
      <c r="E731">
        <v>605.54999999999995</v>
      </c>
      <c r="F731">
        <v>448.22</v>
      </c>
      <c r="G731">
        <v>9</v>
      </c>
      <c r="H731">
        <f t="shared" si="66"/>
        <v>5449.95</v>
      </c>
      <c r="I731">
        <f t="shared" si="70"/>
        <v>4033.9800000000005</v>
      </c>
      <c r="J731">
        <f t="shared" si="67"/>
        <v>1415.9699999999993</v>
      </c>
      <c r="K731" s="8">
        <f t="shared" si="68"/>
        <v>0.25981339278341992</v>
      </c>
      <c r="L731" t="str">
        <f t="shared" si="71"/>
        <v>2022-03</v>
      </c>
      <c r="M731">
        <f t="shared" si="69"/>
        <v>1415.9699999999993</v>
      </c>
    </row>
    <row r="732" spans="1:13" x14ac:dyDescent="0.25">
      <c r="A732" s="1">
        <v>44730</v>
      </c>
      <c r="B732" t="s">
        <v>10</v>
      </c>
      <c r="C732" t="s">
        <v>11</v>
      </c>
      <c r="D732" t="s">
        <v>18</v>
      </c>
      <c r="E732">
        <v>823.73</v>
      </c>
      <c r="F732">
        <v>645.47</v>
      </c>
      <c r="G732">
        <v>3</v>
      </c>
      <c r="H732">
        <f t="shared" si="66"/>
        <v>2471.19</v>
      </c>
      <c r="I732">
        <f t="shared" si="70"/>
        <v>1936.41</v>
      </c>
      <c r="J732">
        <f t="shared" si="67"/>
        <v>534.78</v>
      </c>
      <c r="K732" s="8">
        <f t="shared" si="68"/>
        <v>0.21640586114382138</v>
      </c>
      <c r="L732" t="str">
        <f t="shared" si="71"/>
        <v>2022-06</v>
      </c>
      <c r="M732">
        <f t="shared" si="69"/>
        <v>534.78</v>
      </c>
    </row>
    <row r="733" spans="1:13" x14ac:dyDescent="0.25">
      <c r="A733" s="1">
        <v>45008</v>
      </c>
      <c r="B733" t="s">
        <v>25</v>
      </c>
      <c r="C733" t="s">
        <v>15</v>
      </c>
      <c r="D733" t="s">
        <v>9</v>
      </c>
      <c r="E733">
        <v>107.7</v>
      </c>
      <c r="F733">
        <v>90.12</v>
      </c>
      <c r="G733">
        <v>2</v>
      </c>
      <c r="H733">
        <f t="shared" si="66"/>
        <v>215.4</v>
      </c>
      <c r="I733">
        <f t="shared" si="70"/>
        <v>180.24</v>
      </c>
      <c r="J733">
        <f t="shared" si="67"/>
        <v>35.159999999999997</v>
      </c>
      <c r="K733" s="8">
        <f t="shared" si="68"/>
        <v>0.16323119777158773</v>
      </c>
      <c r="L733" t="str">
        <f t="shared" si="71"/>
        <v>2023-03</v>
      </c>
      <c r="M733">
        <f t="shared" si="69"/>
        <v>35.159999999999997</v>
      </c>
    </row>
    <row r="734" spans="1:13" x14ac:dyDescent="0.25">
      <c r="A734" s="1">
        <v>44581</v>
      </c>
      <c r="B734" t="s">
        <v>21</v>
      </c>
      <c r="C734" t="s">
        <v>20</v>
      </c>
      <c r="D734" t="s">
        <v>9</v>
      </c>
      <c r="E734">
        <v>742.17</v>
      </c>
      <c r="F734">
        <v>531.54999999999995</v>
      </c>
      <c r="G734">
        <v>7</v>
      </c>
      <c r="H734">
        <f t="shared" si="66"/>
        <v>5195.1899999999996</v>
      </c>
      <c r="I734">
        <f t="shared" si="70"/>
        <v>3720.8499999999995</v>
      </c>
      <c r="J734">
        <f t="shared" si="67"/>
        <v>1474.3400000000001</v>
      </c>
      <c r="K734" s="8">
        <f t="shared" si="68"/>
        <v>0.28378942829809889</v>
      </c>
      <c r="L734" t="str">
        <f t="shared" si="71"/>
        <v>2022-01</v>
      </c>
      <c r="M734">
        <f t="shared" si="69"/>
        <v>1474.3400000000001</v>
      </c>
    </row>
    <row r="735" spans="1:13" x14ac:dyDescent="0.25">
      <c r="A735" s="1">
        <v>44706</v>
      </c>
      <c r="B735" t="s">
        <v>10</v>
      </c>
      <c r="C735" t="s">
        <v>11</v>
      </c>
      <c r="D735" t="s">
        <v>13</v>
      </c>
      <c r="E735">
        <v>914.37</v>
      </c>
      <c r="F735">
        <v>739.64</v>
      </c>
      <c r="G735">
        <v>7</v>
      </c>
      <c r="H735">
        <f t="shared" si="66"/>
        <v>6400.59</v>
      </c>
      <c r="I735">
        <f t="shared" si="70"/>
        <v>5177.4799999999996</v>
      </c>
      <c r="J735">
        <f t="shared" si="67"/>
        <v>1223.1100000000006</v>
      </c>
      <c r="K735" s="8">
        <f t="shared" si="68"/>
        <v>0.19109332108446261</v>
      </c>
      <c r="L735" t="str">
        <f t="shared" si="71"/>
        <v>2022-05</v>
      </c>
      <c r="M735">
        <f t="shared" si="69"/>
        <v>1223.1100000000006</v>
      </c>
    </row>
    <row r="736" spans="1:13" x14ac:dyDescent="0.25">
      <c r="A736" s="1">
        <v>44752</v>
      </c>
      <c r="B736" t="s">
        <v>22</v>
      </c>
      <c r="C736" t="s">
        <v>8</v>
      </c>
      <c r="D736" t="s">
        <v>17</v>
      </c>
      <c r="E736">
        <v>1281.4000000000001</v>
      </c>
      <c r="F736">
        <v>1054.1300000000001</v>
      </c>
      <c r="G736">
        <v>3</v>
      </c>
      <c r="H736">
        <f t="shared" si="66"/>
        <v>3844.2000000000003</v>
      </c>
      <c r="I736">
        <f t="shared" si="70"/>
        <v>3162.3900000000003</v>
      </c>
      <c r="J736">
        <f t="shared" si="67"/>
        <v>681.81</v>
      </c>
      <c r="K736" s="8">
        <f t="shared" si="68"/>
        <v>0.17736069923521147</v>
      </c>
      <c r="L736" t="str">
        <f t="shared" si="71"/>
        <v>2022-07</v>
      </c>
      <c r="M736">
        <f t="shared" si="69"/>
        <v>681.81</v>
      </c>
    </row>
    <row r="737" spans="1:13" x14ac:dyDescent="0.25">
      <c r="A737" s="1">
        <v>44836</v>
      </c>
      <c r="B737" t="s">
        <v>21</v>
      </c>
      <c r="C737" t="s">
        <v>20</v>
      </c>
      <c r="D737" t="s">
        <v>9</v>
      </c>
      <c r="E737">
        <v>462.66</v>
      </c>
      <c r="F737">
        <v>341.94</v>
      </c>
      <c r="G737">
        <v>3</v>
      </c>
      <c r="H737">
        <f t="shared" si="66"/>
        <v>1387.98</v>
      </c>
      <c r="I737">
        <f t="shared" si="70"/>
        <v>1025.82</v>
      </c>
      <c r="J737">
        <f t="shared" si="67"/>
        <v>362.16000000000008</v>
      </c>
      <c r="K737" s="8">
        <f t="shared" si="68"/>
        <v>0.26092594994164187</v>
      </c>
      <c r="L737" t="str">
        <f t="shared" si="71"/>
        <v>2022-10</v>
      </c>
      <c r="M737">
        <f t="shared" si="69"/>
        <v>362.16000000000008</v>
      </c>
    </row>
    <row r="738" spans="1:13" x14ac:dyDescent="0.25">
      <c r="A738" s="1">
        <v>45267</v>
      </c>
      <c r="B738" t="s">
        <v>24</v>
      </c>
      <c r="C738" t="s">
        <v>20</v>
      </c>
      <c r="D738" t="s">
        <v>17</v>
      </c>
      <c r="E738">
        <v>1406.23</v>
      </c>
      <c r="F738">
        <v>790.6</v>
      </c>
      <c r="G738">
        <v>10</v>
      </c>
      <c r="H738">
        <f t="shared" si="66"/>
        <v>14062.3</v>
      </c>
      <c r="I738">
        <f t="shared" si="70"/>
        <v>7906</v>
      </c>
      <c r="J738">
        <f t="shared" si="67"/>
        <v>6156.2999999999993</v>
      </c>
      <c r="K738" s="8">
        <f t="shared" si="68"/>
        <v>0.4377875596452927</v>
      </c>
      <c r="L738" t="str">
        <f t="shared" si="71"/>
        <v>2023-12</v>
      </c>
      <c r="M738">
        <f t="shared" si="69"/>
        <v>6156.2999999999993</v>
      </c>
    </row>
    <row r="739" spans="1:13" x14ac:dyDescent="0.25">
      <c r="A739" s="1">
        <v>45173</v>
      </c>
      <c r="B739" t="s">
        <v>12</v>
      </c>
      <c r="C739" t="s">
        <v>8</v>
      </c>
      <c r="D739" t="s">
        <v>18</v>
      </c>
      <c r="E739">
        <v>1527.67</v>
      </c>
      <c r="F739">
        <v>1185.6600000000001</v>
      </c>
      <c r="G739">
        <v>10</v>
      </c>
      <c r="H739">
        <f t="shared" si="66"/>
        <v>15276.7</v>
      </c>
      <c r="I739">
        <f t="shared" si="70"/>
        <v>11856.6</v>
      </c>
      <c r="J739">
        <f t="shared" si="67"/>
        <v>3420.1000000000004</v>
      </c>
      <c r="K739" s="8">
        <f t="shared" si="68"/>
        <v>0.22387688440566353</v>
      </c>
      <c r="L739" t="str">
        <f t="shared" si="71"/>
        <v>2023-09</v>
      </c>
      <c r="M739">
        <f t="shared" si="69"/>
        <v>3420.1000000000004</v>
      </c>
    </row>
    <row r="740" spans="1:13" x14ac:dyDescent="0.25">
      <c r="A740" s="1">
        <v>44630</v>
      </c>
      <c r="B740" t="s">
        <v>14</v>
      </c>
      <c r="C740" t="s">
        <v>15</v>
      </c>
      <c r="D740" t="s">
        <v>17</v>
      </c>
      <c r="E740">
        <v>897.31</v>
      </c>
      <c r="F740">
        <v>604.45000000000005</v>
      </c>
      <c r="G740">
        <v>6</v>
      </c>
      <c r="H740">
        <f t="shared" si="66"/>
        <v>5383.86</v>
      </c>
      <c r="I740">
        <f t="shared" si="70"/>
        <v>3626.7000000000003</v>
      </c>
      <c r="J740">
        <f t="shared" si="67"/>
        <v>1757.1599999999994</v>
      </c>
      <c r="K740" s="8">
        <f t="shared" si="68"/>
        <v>0.32637550010587191</v>
      </c>
      <c r="L740" t="str">
        <f t="shared" si="71"/>
        <v>2022-03</v>
      </c>
      <c r="M740">
        <f t="shared" si="69"/>
        <v>1757.1599999999994</v>
      </c>
    </row>
    <row r="741" spans="1:13" x14ac:dyDescent="0.25">
      <c r="A741" s="1">
        <v>45167</v>
      </c>
      <c r="B741" t="s">
        <v>25</v>
      </c>
      <c r="C741" t="s">
        <v>15</v>
      </c>
      <c r="D741" t="s">
        <v>13</v>
      </c>
      <c r="E741">
        <v>1211.46</v>
      </c>
      <c r="F741">
        <v>732.26</v>
      </c>
      <c r="G741">
        <v>5</v>
      </c>
      <c r="H741">
        <f t="shared" si="66"/>
        <v>6057.3</v>
      </c>
      <c r="I741">
        <f t="shared" si="70"/>
        <v>3661.3</v>
      </c>
      <c r="J741">
        <f t="shared" si="67"/>
        <v>2396</v>
      </c>
      <c r="K741" s="8">
        <f t="shared" si="68"/>
        <v>0.39555577567563105</v>
      </c>
      <c r="L741" t="str">
        <f t="shared" si="71"/>
        <v>2023-08</v>
      </c>
      <c r="M741">
        <f t="shared" si="69"/>
        <v>2396</v>
      </c>
    </row>
    <row r="742" spans="1:13" x14ac:dyDescent="0.25">
      <c r="A742" s="1">
        <v>45445</v>
      </c>
      <c r="B742" t="s">
        <v>24</v>
      </c>
      <c r="C742" t="s">
        <v>20</v>
      </c>
      <c r="D742" t="s">
        <v>13</v>
      </c>
      <c r="E742">
        <v>1427.46</v>
      </c>
      <c r="F742">
        <v>1043.05</v>
      </c>
      <c r="G742">
        <v>7</v>
      </c>
      <c r="H742">
        <f t="shared" si="66"/>
        <v>9992.2200000000012</v>
      </c>
      <c r="I742">
        <f t="shared" si="70"/>
        <v>7301.3499999999995</v>
      </c>
      <c r="J742">
        <f t="shared" si="67"/>
        <v>2690.8700000000017</v>
      </c>
      <c r="K742" s="8">
        <f t="shared" si="68"/>
        <v>0.26929651268687055</v>
      </c>
      <c r="L742" t="str">
        <f t="shared" si="71"/>
        <v>2024-06</v>
      </c>
      <c r="M742">
        <f t="shared" si="69"/>
        <v>2690.8700000000017</v>
      </c>
    </row>
    <row r="743" spans="1:13" x14ac:dyDescent="0.25">
      <c r="A743" s="1">
        <v>44853</v>
      </c>
      <c r="B743" t="s">
        <v>19</v>
      </c>
      <c r="C743" t="s">
        <v>20</v>
      </c>
      <c r="D743" t="s">
        <v>18</v>
      </c>
      <c r="E743">
        <v>1124.8599999999999</v>
      </c>
      <c r="F743">
        <v>789.55</v>
      </c>
      <c r="G743">
        <v>8</v>
      </c>
      <c r="H743">
        <f t="shared" si="66"/>
        <v>8998.8799999999992</v>
      </c>
      <c r="I743">
        <f t="shared" si="70"/>
        <v>6316.4</v>
      </c>
      <c r="J743">
        <f t="shared" si="67"/>
        <v>2682.4799999999996</v>
      </c>
      <c r="K743" s="8">
        <f t="shared" si="68"/>
        <v>0.29809042903116828</v>
      </c>
      <c r="L743" t="str">
        <f t="shared" si="71"/>
        <v>2022-10</v>
      </c>
      <c r="M743">
        <f t="shared" si="69"/>
        <v>2682.4799999999996</v>
      </c>
    </row>
    <row r="744" spans="1:13" x14ac:dyDescent="0.25">
      <c r="A744" s="1">
        <v>45217</v>
      </c>
      <c r="B744" t="s">
        <v>19</v>
      </c>
      <c r="C744" t="s">
        <v>20</v>
      </c>
      <c r="D744" t="s">
        <v>9</v>
      </c>
      <c r="E744">
        <v>1847.95</v>
      </c>
      <c r="F744">
        <v>1125.0899999999999</v>
      </c>
      <c r="G744">
        <v>10</v>
      </c>
      <c r="H744">
        <f t="shared" si="66"/>
        <v>18479.5</v>
      </c>
      <c r="I744">
        <f t="shared" si="70"/>
        <v>11250.9</v>
      </c>
      <c r="J744">
        <f t="shared" si="67"/>
        <v>7228.6</v>
      </c>
      <c r="K744" s="8">
        <f t="shared" si="68"/>
        <v>0.39116859222381561</v>
      </c>
      <c r="L744" t="str">
        <f t="shared" si="71"/>
        <v>2023-10</v>
      </c>
      <c r="M744">
        <f t="shared" si="69"/>
        <v>7228.6</v>
      </c>
    </row>
    <row r="745" spans="1:13" x14ac:dyDescent="0.25">
      <c r="A745" s="1">
        <v>44878</v>
      </c>
      <c r="B745" t="s">
        <v>16</v>
      </c>
      <c r="C745" t="s">
        <v>15</v>
      </c>
      <c r="D745" t="s">
        <v>9</v>
      </c>
      <c r="E745">
        <v>1636.87</v>
      </c>
      <c r="F745">
        <v>1334.64</v>
      </c>
      <c r="G745">
        <v>10</v>
      </c>
      <c r="H745">
        <f t="shared" si="66"/>
        <v>16368.699999999999</v>
      </c>
      <c r="I745">
        <f t="shared" si="70"/>
        <v>13346.400000000001</v>
      </c>
      <c r="J745">
        <f t="shared" si="67"/>
        <v>3022.2999999999975</v>
      </c>
      <c r="K745" s="8">
        <f t="shared" si="68"/>
        <v>0.18463897560588183</v>
      </c>
      <c r="L745" t="str">
        <f t="shared" si="71"/>
        <v>2022-11</v>
      </c>
      <c r="M745">
        <f t="shared" si="69"/>
        <v>3022.2999999999975</v>
      </c>
    </row>
    <row r="746" spans="1:13" x14ac:dyDescent="0.25">
      <c r="A746" s="1">
        <v>44903</v>
      </c>
      <c r="B746" t="s">
        <v>12</v>
      </c>
      <c r="C746" t="s">
        <v>8</v>
      </c>
      <c r="D746" t="s">
        <v>9</v>
      </c>
      <c r="E746">
        <v>996.72</v>
      </c>
      <c r="F746">
        <v>626.08000000000004</v>
      </c>
      <c r="G746">
        <v>10</v>
      </c>
      <c r="H746">
        <f t="shared" si="66"/>
        <v>9967.2000000000007</v>
      </c>
      <c r="I746">
        <f t="shared" si="70"/>
        <v>6260.8</v>
      </c>
      <c r="J746">
        <f t="shared" si="67"/>
        <v>3706.4000000000005</v>
      </c>
      <c r="K746" s="8">
        <f t="shared" si="68"/>
        <v>0.37185969981539452</v>
      </c>
      <c r="L746" t="str">
        <f t="shared" si="71"/>
        <v>2022-12</v>
      </c>
      <c r="M746">
        <f t="shared" si="69"/>
        <v>3706.4000000000005</v>
      </c>
    </row>
    <row r="747" spans="1:13" x14ac:dyDescent="0.25">
      <c r="A747" s="1">
        <v>45151</v>
      </c>
      <c r="B747" t="s">
        <v>12</v>
      </c>
      <c r="C747" t="s">
        <v>8</v>
      </c>
      <c r="D747" t="s">
        <v>13</v>
      </c>
      <c r="E747">
        <v>63.05</v>
      </c>
      <c r="F747">
        <v>55.94</v>
      </c>
      <c r="G747">
        <v>10</v>
      </c>
      <c r="H747">
        <f t="shared" si="66"/>
        <v>630.5</v>
      </c>
      <c r="I747">
        <f t="shared" si="70"/>
        <v>559.4</v>
      </c>
      <c r="J747">
        <f t="shared" si="67"/>
        <v>71.100000000000023</v>
      </c>
      <c r="K747" s="8">
        <f t="shared" si="68"/>
        <v>0.11276764472640764</v>
      </c>
      <c r="L747" t="str">
        <f t="shared" si="71"/>
        <v>2023-08</v>
      </c>
      <c r="M747">
        <f t="shared" si="69"/>
        <v>71.100000000000023</v>
      </c>
    </row>
    <row r="748" spans="1:13" x14ac:dyDescent="0.25">
      <c r="A748" s="1">
        <v>45355</v>
      </c>
      <c r="B748" t="s">
        <v>25</v>
      </c>
      <c r="C748" t="s">
        <v>15</v>
      </c>
      <c r="D748" t="s">
        <v>18</v>
      </c>
      <c r="E748">
        <v>1207.24</v>
      </c>
      <c r="F748">
        <v>771.02</v>
      </c>
      <c r="G748">
        <v>1</v>
      </c>
      <c r="H748">
        <f t="shared" si="66"/>
        <v>1207.24</v>
      </c>
      <c r="I748">
        <f t="shared" si="70"/>
        <v>771.02</v>
      </c>
      <c r="J748">
        <f t="shared" si="67"/>
        <v>436.22</v>
      </c>
      <c r="K748" s="8">
        <f t="shared" si="68"/>
        <v>0.3613366024982605</v>
      </c>
      <c r="L748" t="str">
        <f t="shared" si="71"/>
        <v>2024-03</v>
      </c>
      <c r="M748">
        <f t="shared" si="69"/>
        <v>436.22</v>
      </c>
    </row>
    <row r="749" spans="1:13" x14ac:dyDescent="0.25">
      <c r="A749" s="1">
        <v>45598</v>
      </c>
      <c r="B749" t="s">
        <v>7</v>
      </c>
      <c r="C749" t="s">
        <v>8</v>
      </c>
      <c r="D749" t="s">
        <v>13</v>
      </c>
      <c r="E749">
        <v>612.25</v>
      </c>
      <c r="F749">
        <v>548.30999999999995</v>
      </c>
      <c r="G749">
        <v>2</v>
      </c>
      <c r="H749">
        <f t="shared" si="66"/>
        <v>1224.5</v>
      </c>
      <c r="I749">
        <f t="shared" si="70"/>
        <v>1096.6199999999999</v>
      </c>
      <c r="J749">
        <f t="shared" si="67"/>
        <v>127.88000000000011</v>
      </c>
      <c r="K749" s="8">
        <f t="shared" si="68"/>
        <v>0.10443446304614137</v>
      </c>
      <c r="L749" t="str">
        <f t="shared" si="71"/>
        <v>2024-11</v>
      </c>
      <c r="M749">
        <f t="shared" si="69"/>
        <v>127.88000000000011</v>
      </c>
    </row>
    <row r="750" spans="1:13" x14ac:dyDescent="0.25">
      <c r="A750" s="1">
        <v>45384</v>
      </c>
      <c r="B750" t="s">
        <v>23</v>
      </c>
      <c r="C750" t="s">
        <v>11</v>
      </c>
      <c r="D750" t="s">
        <v>17</v>
      </c>
      <c r="E750">
        <v>306.37</v>
      </c>
      <c r="F750">
        <v>172.87</v>
      </c>
      <c r="G750">
        <v>9</v>
      </c>
      <c r="H750">
        <f t="shared" si="66"/>
        <v>2757.33</v>
      </c>
      <c r="I750">
        <f t="shared" si="70"/>
        <v>1555.83</v>
      </c>
      <c r="J750">
        <f t="shared" si="67"/>
        <v>1201.5</v>
      </c>
      <c r="K750" s="8">
        <f t="shared" si="68"/>
        <v>0.43574762542024353</v>
      </c>
      <c r="L750" t="str">
        <f t="shared" si="71"/>
        <v>2024-04</v>
      </c>
      <c r="M750">
        <f t="shared" si="69"/>
        <v>1201.5</v>
      </c>
    </row>
    <row r="751" spans="1:13" x14ac:dyDescent="0.25">
      <c r="A751" s="1">
        <v>45008</v>
      </c>
      <c r="B751" t="s">
        <v>14</v>
      </c>
      <c r="C751" t="s">
        <v>15</v>
      </c>
      <c r="D751" t="s">
        <v>9</v>
      </c>
      <c r="E751">
        <v>760.41</v>
      </c>
      <c r="F751">
        <v>406.28</v>
      </c>
      <c r="G751">
        <v>6</v>
      </c>
      <c r="H751">
        <f t="shared" si="66"/>
        <v>4562.46</v>
      </c>
      <c r="I751">
        <f t="shared" si="70"/>
        <v>2437.6799999999998</v>
      </c>
      <c r="J751">
        <f t="shared" si="67"/>
        <v>2124.7800000000002</v>
      </c>
      <c r="K751" s="8">
        <f t="shared" si="68"/>
        <v>0.46570928841019982</v>
      </c>
      <c r="L751" t="str">
        <f t="shared" si="71"/>
        <v>2023-03</v>
      </c>
      <c r="M751">
        <f t="shared" si="69"/>
        <v>2124.7800000000002</v>
      </c>
    </row>
    <row r="752" spans="1:13" x14ac:dyDescent="0.25">
      <c r="A752" s="1">
        <v>44963</v>
      </c>
      <c r="B752" t="s">
        <v>14</v>
      </c>
      <c r="C752" t="s">
        <v>15</v>
      </c>
      <c r="D752" t="s">
        <v>9</v>
      </c>
      <c r="E752">
        <v>201.13</v>
      </c>
      <c r="F752">
        <v>101.43</v>
      </c>
      <c r="G752">
        <v>5</v>
      </c>
      <c r="H752">
        <f t="shared" si="66"/>
        <v>1005.65</v>
      </c>
      <c r="I752">
        <f t="shared" si="70"/>
        <v>507.15000000000003</v>
      </c>
      <c r="J752">
        <f t="shared" si="67"/>
        <v>498.49999999999994</v>
      </c>
      <c r="K752" s="8">
        <f t="shared" si="68"/>
        <v>0.49569929896087106</v>
      </c>
      <c r="L752" t="str">
        <f t="shared" si="71"/>
        <v>2023-02</v>
      </c>
      <c r="M752">
        <f t="shared" si="69"/>
        <v>498.49999999999994</v>
      </c>
    </row>
    <row r="753" spans="1:13" x14ac:dyDescent="0.25">
      <c r="A753" s="1">
        <v>45574</v>
      </c>
      <c r="B753" t="s">
        <v>25</v>
      </c>
      <c r="C753" t="s">
        <v>15</v>
      </c>
      <c r="D753" t="s">
        <v>9</v>
      </c>
      <c r="E753">
        <v>1379.33</v>
      </c>
      <c r="F753">
        <v>948.42</v>
      </c>
      <c r="G753">
        <v>6</v>
      </c>
      <c r="H753">
        <f t="shared" si="66"/>
        <v>8275.98</v>
      </c>
      <c r="I753">
        <f t="shared" si="70"/>
        <v>5690.5199999999995</v>
      </c>
      <c r="J753">
        <f t="shared" si="67"/>
        <v>2585.46</v>
      </c>
      <c r="K753" s="8">
        <f t="shared" si="68"/>
        <v>0.31240529822450031</v>
      </c>
      <c r="L753" t="str">
        <f t="shared" si="71"/>
        <v>2024-10</v>
      </c>
      <c r="M753">
        <f t="shared" si="69"/>
        <v>2585.46</v>
      </c>
    </row>
    <row r="754" spans="1:13" x14ac:dyDescent="0.25">
      <c r="A754" s="1">
        <v>45025</v>
      </c>
      <c r="B754" t="s">
        <v>7</v>
      </c>
      <c r="C754" t="s">
        <v>8</v>
      </c>
      <c r="D754" t="s">
        <v>9</v>
      </c>
      <c r="E754">
        <v>668.1</v>
      </c>
      <c r="F754">
        <v>404.04</v>
      </c>
      <c r="G754">
        <v>1</v>
      </c>
      <c r="H754">
        <f t="shared" si="66"/>
        <v>668.1</v>
      </c>
      <c r="I754">
        <f t="shared" si="70"/>
        <v>404.04</v>
      </c>
      <c r="J754">
        <f t="shared" si="67"/>
        <v>264.06</v>
      </c>
      <c r="K754" s="8">
        <f t="shared" si="68"/>
        <v>0.39524023349797932</v>
      </c>
      <c r="L754" t="str">
        <f t="shared" si="71"/>
        <v>2023-04</v>
      </c>
      <c r="M754">
        <f t="shared" si="69"/>
        <v>264.06</v>
      </c>
    </row>
    <row r="755" spans="1:13" x14ac:dyDescent="0.25">
      <c r="A755" s="1">
        <v>45624</v>
      </c>
      <c r="B755" t="s">
        <v>19</v>
      </c>
      <c r="C755" t="s">
        <v>20</v>
      </c>
      <c r="D755" t="s">
        <v>13</v>
      </c>
      <c r="E755">
        <v>899.25</v>
      </c>
      <c r="F755">
        <v>733.23</v>
      </c>
      <c r="G755">
        <v>7</v>
      </c>
      <c r="H755">
        <f t="shared" si="66"/>
        <v>6294.75</v>
      </c>
      <c r="I755">
        <f t="shared" si="70"/>
        <v>5132.6100000000006</v>
      </c>
      <c r="J755">
        <f t="shared" si="67"/>
        <v>1162.1399999999994</v>
      </c>
      <c r="K755" s="8">
        <f t="shared" si="68"/>
        <v>0.18462051709758123</v>
      </c>
      <c r="L755" t="str">
        <f t="shared" si="71"/>
        <v>2024-11</v>
      </c>
      <c r="M755">
        <f t="shared" si="69"/>
        <v>1162.1399999999994</v>
      </c>
    </row>
    <row r="756" spans="1:13" x14ac:dyDescent="0.25">
      <c r="A756" s="1">
        <v>45233</v>
      </c>
      <c r="B756" t="s">
        <v>23</v>
      </c>
      <c r="C756" t="s">
        <v>11</v>
      </c>
      <c r="D756" t="s">
        <v>17</v>
      </c>
      <c r="E756">
        <v>464.57</v>
      </c>
      <c r="F756">
        <v>359.74</v>
      </c>
      <c r="G756">
        <v>5</v>
      </c>
      <c r="H756">
        <f t="shared" si="66"/>
        <v>2322.85</v>
      </c>
      <c r="I756">
        <f t="shared" si="70"/>
        <v>1798.7</v>
      </c>
      <c r="J756">
        <f t="shared" si="67"/>
        <v>524.14999999999986</v>
      </c>
      <c r="K756" s="8">
        <f t="shared" si="68"/>
        <v>0.22564952536754412</v>
      </c>
      <c r="L756" t="str">
        <f t="shared" si="71"/>
        <v>2023-11</v>
      </c>
      <c r="M756">
        <f t="shared" si="69"/>
        <v>524.14999999999986</v>
      </c>
    </row>
    <row r="757" spans="1:13" x14ac:dyDescent="0.25">
      <c r="A757" s="1">
        <v>45038</v>
      </c>
      <c r="B757" t="s">
        <v>16</v>
      </c>
      <c r="C757" t="s">
        <v>15</v>
      </c>
      <c r="D757" t="s">
        <v>9</v>
      </c>
      <c r="E757">
        <v>1671.14</v>
      </c>
      <c r="F757">
        <v>1309.83</v>
      </c>
      <c r="G757">
        <v>1</v>
      </c>
      <c r="H757">
        <f t="shared" si="66"/>
        <v>1671.14</v>
      </c>
      <c r="I757">
        <f t="shared" si="70"/>
        <v>1309.83</v>
      </c>
      <c r="J757">
        <f t="shared" si="67"/>
        <v>361.31000000000017</v>
      </c>
      <c r="K757" s="8">
        <f t="shared" si="68"/>
        <v>0.2162057038907573</v>
      </c>
      <c r="L757" t="str">
        <f t="shared" si="71"/>
        <v>2023-04</v>
      </c>
      <c r="M757">
        <f t="shared" si="69"/>
        <v>361.31000000000017</v>
      </c>
    </row>
    <row r="758" spans="1:13" x14ac:dyDescent="0.25">
      <c r="A758" s="1">
        <v>45499</v>
      </c>
      <c r="B758" t="s">
        <v>24</v>
      </c>
      <c r="C758" t="s">
        <v>20</v>
      </c>
      <c r="D758" t="s">
        <v>18</v>
      </c>
      <c r="E758">
        <v>460.91</v>
      </c>
      <c r="F758">
        <v>412.81</v>
      </c>
      <c r="G758">
        <v>8</v>
      </c>
      <c r="H758">
        <f t="shared" si="66"/>
        <v>3687.28</v>
      </c>
      <c r="I758">
        <f t="shared" si="70"/>
        <v>3302.48</v>
      </c>
      <c r="J758">
        <f t="shared" si="67"/>
        <v>384.80000000000018</v>
      </c>
      <c r="K758" s="8">
        <f t="shared" si="68"/>
        <v>0.10435876852313905</v>
      </c>
      <c r="L758" t="str">
        <f t="shared" si="71"/>
        <v>2024-07</v>
      </c>
      <c r="M758">
        <f t="shared" si="69"/>
        <v>384.80000000000018</v>
      </c>
    </row>
    <row r="759" spans="1:13" x14ac:dyDescent="0.25">
      <c r="A759" s="1">
        <v>45214</v>
      </c>
      <c r="B759" t="s">
        <v>23</v>
      </c>
      <c r="C759" t="s">
        <v>11</v>
      </c>
      <c r="D759" t="s">
        <v>17</v>
      </c>
      <c r="E759">
        <v>1419.18</v>
      </c>
      <c r="F759">
        <v>1227.3499999999999</v>
      </c>
      <c r="G759">
        <v>8</v>
      </c>
      <c r="H759">
        <f t="shared" si="66"/>
        <v>11353.44</v>
      </c>
      <c r="I759">
        <f t="shared" si="70"/>
        <v>9818.7999999999993</v>
      </c>
      <c r="J759">
        <f t="shared" si="67"/>
        <v>1534.6400000000012</v>
      </c>
      <c r="K759" s="8">
        <f t="shared" si="68"/>
        <v>0.13516960498315939</v>
      </c>
      <c r="L759" t="str">
        <f t="shared" si="71"/>
        <v>2023-10</v>
      </c>
      <c r="M759">
        <f t="shared" si="69"/>
        <v>1534.6400000000012</v>
      </c>
    </row>
    <row r="760" spans="1:13" x14ac:dyDescent="0.25">
      <c r="A760" s="1">
        <v>45165</v>
      </c>
      <c r="B760" t="s">
        <v>7</v>
      </c>
      <c r="C760" t="s">
        <v>8</v>
      </c>
      <c r="D760" t="s">
        <v>17</v>
      </c>
      <c r="E760">
        <v>1323.75</v>
      </c>
      <c r="F760">
        <v>813.85</v>
      </c>
      <c r="G760">
        <v>4</v>
      </c>
      <c r="H760">
        <f t="shared" si="66"/>
        <v>5295</v>
      </c>
      <c r="I760">
        <f t="shared" si="70"/>
        <v>3255.4</v>
      </c>
      <c r="J760">
        <f t="shared" si="67"/>
        <v>2039.6</v>
      </c>
      <c r="K760" s="8">
        <f t="shared" si="68"/>
        <v>0.38519357884796979</v>
      </c>
      <c r="L760" t="str">
        <f t="shared" si="71"/>
        <v>2023-08</v>
      </c>
      <c r="M760">
        <f t="shared" si="69"/>
        <v>2039.6</v>
      </c>
    </row>
    <row r="761" spans="1:13" x14ac:dyDescent="0.25">
      <c r="A761" s="1">
        <v>44766</v>
      </c>
      <c r="B761" t="s">
        <v>23</v>
      </c>
      <c r="C761" t="s">
        <v>11</v>
      </c>
      <c r="D761" t="s">
        <v>9</v>
      </c>
      <c r="E761">
        <v>1748.49</v>
      </c>
      <c r="F761">
        <v>1169.07</v>
      </c>
      <c r="G761">
        <v>7</v>
      </c>
      <c r="H761">
        <f t="shared" si="66"/>
        <v>12239.43</v>
      </c>
      <c r="I761">
        <f t="shared" si="70"/>
        <v>8183.49</v>
      </c>
      <c r="J761">
        <f t="shared" si="67"/>
        <v>4055.9400000000005</v>
      </c>
      <c r="K761" s="8">
        <f t="shared" si="68"/>
        <v>0.33138307911397841</v>
      </c>
      <c r="L761" t="str">
        <f t="shared" si="71"/>
        <v>2022-07</v>
      </c>
      <c r="M761">
        <f t="shared" si="69"/>
        <v>4055.9400000000005</v>
      </c>
    </row>
    <row r="762" spans="1:13" x14ac:dyDescent="0.25">
      <c r="A762" s="1">
        <v>45358</v>
      </c>
      <c r="B762" t="s">
        <v>16</v>
      </c>
      <c r="C762" t="s">
        <v>15</v>
      </c>
      <c r="D762" t="s">
        <v>13</v>
      </c>
      <c r="E762">
        <v>1312.77</v>
      </c>
      <c r="F762">
        <v>1047.68</v>
      </c>
      <c r="G762">
        <v>10</v>
      </c>
      <c r="H762">
        <f t="shared" si="66"/>
        <v>13127.7</v>
      </c>
      <c r="I762">
        <f t="shared" si="70"/>
        <v>10476.800000000001</v>
      </c>
      <c r="J762">
        <f t="shared" si="67"/>
        <v>2650.8999999999996</v>
      </c>
      <c r="K762" s="8">
        <f t="shared" si="68"/>
        <v>0.20193179307875708</v>
      </c>
      <c r="L762" t="str">
        <f t="shared" si="71"/>
        <v>2024-03</v>
      </c>
      <c r="M762">
        <f t="shared" si="69"/>
        <v>2650.8999999999996</v>
      </c>
    </row>
    <row r="763" spans="1:13" x14ac:dyDescent="0.25">
      <c r="A763" s="1">
        <v>45136</v>
      </c>
      <c r="B763" t="s">
        <v>24</v>
      </c>
      <c r="C763" t="s">
        <v>20</v>
      </c>
      <c r="D763" t="s">
        <v>9</v>
      </c>
      <c r="E763">
        <v>1603.25</v>
      </c>
      <c r="F763">
        <v>1030.96</v>
      </c>
      <c r="G763">
        <v>8</v>
      </c>
      <c r="H763">
        <f t="shared" si="66"/>
        <v>12826</v>
      </c>
      <c r="I763">
        <f t="shared" si="70"/>
        <v>8247.68</v>
      </c>
      <c r="J763">
        <f t="shared" si="67"/>
        <v>4578.32</v>
      </c>
      <c r="K763" s="8">
        <f t="shared" si="68"/>
        <v>0.35695618275378138</v>
      </c>
      <c r="L763" t="str">
        <f t="shared" si="71"/>
        <v>2023-07</v>
      </c>
      <c r="M763">
        <f t="shared" si="69"/>
        <v>4578.32</v>
      </c>
    </row>
    <row r="764" spans="1:13" x14ac:dyDescent="0.25">
      <c r="A764" s="1">
        <v>45449</v>
      </c>
      <c r="B764" t="s">
        <v>10</v>
      </c>
      <c r="C764" t="s">
        <v>11</v>
      </c>
      <c r="D764" t="s">
        <v>17</v>
      </c>
      <c r="E764">
        <v>710.31</v>
      </c>
      <c r="F764">
        <v>639.12</v>
      </c>
      <c r="G764">
        <v>7</v>
      </c>
      <c r="H764">
        <f t="shared" si="66"/>
        <v>4972.17</v>
      </c>
      <c r="I764">
        <f t="shared" si="70"/>
        <v>4473.84</v>
      </c>
      <c r="J764">
        <f t="shared" si="67"/>
        <v>498.32999999999993</v>
      </c>
      <c r="K764" s="8">
        <f t="shared" si="68"/>
        <v>0.10022384592642647</v>
      </c>
      <c r="L764" t="str">
        <f t="shared" si="71"/>
        <v>2024-06</v>
      </c>
      <c r="M764">
        <f t="shared" si="69"/>
        <v>498.32999999999993</v>
      </c>
    </row>
    <row r="765" spans="1:13" x14ac:dyDescent="0.25">
      <c r="A765" s="1">
        <v>45143</v>
      </c>
      <c r="B765" t="s">
        <v>19</v>
      </c>
      <c r="C765" t="s">
        <v>20</v>
      </c>
      <c r="D765" t="s">
        <v>18</v>
      </c>
      <c r="E765">
        <v>1976.79</v>
      </c>
      <c r="F765">
        <v>1537.24</v>
      </c>
      <c r="G765">
        <v>1</v>
      </c>
      <c r="H765">
        <f t="shared" si="66"/>
        <v>1976.79</v>
      </c>
      <c r="I765">
        <f t="shared" si="70"/>
        <v>1537.24</v>
      </c>
      <c r="J765">
        <f t="shared" si="67"/>
        <v>439.54999999999995</v>
      </c>
      <c r="K765" s="8">
        <f t="shared" si="68"/>
        <v>0.22235543482109885</v>
      </c>
      <c r="L765" t="str">
        <f t="shared" si="71"/>
        <v>2023-08</v>
      </c>
      <c r="M765">
        <f t="shared" si="69"/>
        <v>439.54999999999995</v>
      </c>
    </row>
    <row r="766" spans="1:13" x14ac:dyDescent="0.25">
      <c r="A766" s="1">
        <v>45486</v>
      </c>
      <c r="B766" t="s">
        <v>10</v>
      </c>
      <c r="C766" t="s">
        <v>11</v>
      </c>
      <c r="D766" t="s">
        <v>9</v>
      </c>
      <c r="E766">
        <v>263.07</v>
      </c>
      <c r="F766">
        <v>141.85</v>
      </c>
      <c r="G766">
        <v>7</v>
      </c>
      <c r="H766">
        <f t="shared" si="66"/>
        <v>1841.49</v>
      </c>
      <c r="I766">
        <f t="shared" si="70"/>
        <v>992.94999999999993</v>
      </c>
      <c r="J766">
        <f t="shared" si="67"/>
        <v>848.54000000000008</v>
      </c>
      <c r="K766" s="8">
        <f t="shared" si="68"/>
        <v>0.46078990382787854</v>
      </c>
      <c r="L766" t="str">
        <f t="shared" si="71"/>
        <v>2024-07</v>
      </c>
      <c r="M766">
        <f t="shared" si="69"/>
        <v>848.54000000000008</v>
      </c>
    </row>
    <row r="767" spans="1:13" x14ac:dyDescent="0.25">
      <c r="A767" s="1">
        <v>44623</v>
      </c>
      <c r="B767" t="s">
        <v>12</v>
      </c>
      <c r="C767" t="s">
        <v>8</v>
      </c>
      <c r="D767" t="s">
        <v>18</v>
      </c>
      <c r="E767">
        <v>1233.6199999999999</v>
      </c>
      <c r="F767">
        <v>804.05</v>
      </c>
      <c r="G767">
        <v>3</v>
      </c>
      <c r="H767">
        <f t="shared" si="66"/>
        <v>3700.8599999999997</v>
      </c>
      <c r="I767">
        <f t="shared" si="70"/>
        <v>2412.1499999999996</v>
      </c>
      <c r="J767">
        <f t="shared" si="67"/>
        <v>1288.71</v>
      </c>
      <c r="K767" s="8">
        <f t="shared" si="68"/>
        <v>0.34821906259626145</v>
      </c>
      <c r="L767" t="str">
        <f t="shared" si="71"/>
        <v>2022-03</v>
      </c>
      <c r="M767">
        <f t="shared" si="69"/>
        <v>1288.71</v>
      </c>
    </row>
    <row r="768" spans="1:13" x14ac:dyDescent="0.25">
      <c r="A768" s="1">
        <v>45299</v>
      </c>
      <c r="B768" t="s">
        <v>16</v>
      </c>
      <c r="C768" t="s">
        <v>15</v>
      </c>
      <c r="D768" t="s">
        <v>13</v>
      </c>
      <c r="E768">
        <v>757.17</v>
      </c>
      <c r="F768">
        <v>581.35</v>
      </c>
      <c r="G768">
        <v>9</v>
      </c>
      <c r="H768">
        <f t="shared" si="66"/>
        <v>6814.53</v>
      </c>
      <c r="I768">
        <f t="shared" si="70"/>
        <v>5232.1500000000005</v>
      </c>
      <c r="J768">
        <f t="shared" si="67"/>
        <v>1582.3799999999992</v>
      </c>
      <c r="K768" s="8">
        <f t="shared" si="68"/>
        <v>0.23220676994598297</v>
      </c>
      <c r="L768" t="str">
        <f t="shared" si="71"/>
        <v>2024-01</v>
      </c>
      <c r="M768">
        <f t="shared" si="69"/>
        <v>1582.3799999999992</v>
      </c>
    </row>
    <row r="769" spans="1:13" x14ac:dyDescent="0.25">
      <c r="A769" s="1">
        <v>45568</v>
      </c>
      <c r="B769" t="s">
        <v>16</v>
      </c>
      <c r="C769" t="s">
        <v>15</v>
      </c>
      <c r="D769" t="s">
        <v>13</v>
      </c>
      <c r="E769">
        <v>1115.73</v>
      </c>
      <c r="F769">
        <v>951.6</v>
      </c>
      <c r="G769">
        <v>1</v>
      </c>
      <c r="H769">
        <f t="shared" si="66"/>
        <v>1115.73</v>
      </c>
      <c r="I769">
        <f t="shared" si="70"/>
        <v>951.6</v>
      </c>
      <c r="J769">
        <f t="shared" si="67"/>
        <v>164.13</v>
      </c>
      <c r="K769" s="8">
        <f t="shared" si="68"/>
        <v>0.14710548250920921</v>
      </c>
      <c r="L769" t="str">
        <f t="shared" si="71"/>
        <v>2024-10</v>
      </c>
      <c r="M769">
        <f t="shared" si="69"/>
        <v>164.13</v>
      </c>
    </row>
    <row r="770" spans="1:13" x14ac:dyDescent="0.25">
      <c r="A770" s="1">
        <v>45218</v>
      </c>
      <c r="B770" t="s">
        <v>16</v>
      </c>
      <c r="C770" t="s">
        <v>15</v>
      </c>
      <c r="D770" t="s">
        <v>9</v>
      </c>
      <c r="E770">
        <v>232.93</v>
      </c>
      <c r="F770">
        <v>157.09</v>
      </c>
      <c r="G770">
        <v>4</v>
      </c>
      <c r="H770">
        <f t="shared" si="66"/>
        <v>931.72</v>
      </c>
      <c r="I770">
        <f t="shared" si="70"/>
        <v>628.36</v>
      </c>
      <c r="J770">
        <f t="shared" si="67"/>
        <v>303.36</v>
      </c>
      <c r="K770" s="8">
        <f t="shared" si="68"/>
        <v>0.32559137938436439</v>
      </c>
      <c r="L770" t="str">
        <f t="shared" si="71"/>
        <v>2023-10</v>
      </c>
      <c r="M770">
        <f t="shared" si="69"/>
        <v>303.36</v>
      </c>
    </row>
    <row r="771" spans="1:13" x14ac:dyDescent="0.25">
      <c r="A771" s="1">
        <v>44926</v>
      </c>
      <c r="B771" t="s">
        <v>7</v>
      </c>
      <c r="C771" t="s">
        <v>8</v>
      </c>
      <c r="D771" t="s">
        <v>18</v>
      </c>
      <c r="E771">
        <v>186.05</v>
      </c>
      <c r="F771">
        <v>135.08000000000001</v>
      </c>
      <c r="G771">
        <v>2</v>
      </c>
      <c r="H771">
        <f t="shared" ref="H771:H834" si="72">E771*G771</f>
        <v>372.1</v>
      </c>
      <c r="I771">
        <f t="shared" si="70"/>
        <v>270.16000000000003</v>
      </c>
      <c r="J771">
        <f t="shared" ref="J771:J834" si="73">H771-I771</f>
        <v>101.94</v>
      </c>
      <c r="K771" s="8">
        <f t="shared" ref="K771:K834" si="74">(H771-I771)/H771</f>
        <v>0.27395861327600107</v>
      </c>
      <c r="L771" t="str">
        <f t="shared" si="71"/>
        <v>2022-12</v>
      </c>
      <c r="M771">
        <f t="shared" ref="M771:M834" si="75">H771-I771</f>
        <v>101.94</v>
      </c>
    </row>
    <row r="772" spans="1:13" x14ac:dyDescent="0.25">
      <c r="A772" s="1">
        <v>45030</v>
      </c>
      <c r="B772" t="s">
        <v>21</v>
      </c>
      <c r="C772" t="s">
        <v>20</v>
      </c>
      <c r="D772" t="s">
        <v>17</v>
      </c>
      <c r="E772">
        <v>1572.93</v>
      </c>
      <c r="F772">
        <v>1196.1099999999999</v>
      </c>
      <c r="G772">
        <v>1</v>
      </c>
      <c r="H772">
        <f t="shared" si="72"/>
        <v>1572.93</v>
      </c>
      <c r="I772">
        <f t="shared" ref="I772:I835" si="76">F772*G772</f>
        <v>1196.1099999999999</v>
      </c>
      <c r="J772">
        <f t="shared" si="73"/>
        <v>376.82000000000016</v>
      </c>
      <c r="K772" s="8">
        <f t="shared" si="74"/>
        <v>0.23956565136401503</v>
      </c>
      <c r="L772" t="str">
        <f t="shared" ref="L772:L835" si="77">TEXT(A772,"rrrr-mm")</f>
        <v>2023-04</v>
      </c>
      <c r="M772">
        <f t="shared" si="75"/>
        <v>376.82000000000016</v>
      </c>
    </row>
    <row r="773" spans="1:13" x14ac:dyDescent="0.25">
      <c r="A773" s="1">
        <v>45499</v>
      </c>
      <c r="B773" t="s">
        <v>7</v>
      </c>
      <c r="C773" t="s">
        <v>8</v>
      </c>
      <c r="D773" t="s">
        <v>13</v>
      </c>
      <c r="E773">
        <v>393.56</v>
      </c>
      <c r="F773">
        <v>268.58</v>
      </c>
      <c r="G773">
        <v>7</v>
      </c>
      <c r="H773">
        <f t="shared" si="72"/>
        <v>2754.92</v>
      </c>
      <c r="I773">
        <f t="shared" si="76"/>
        <v>1880.06</v>
      </c>
      <c r="J773">
        <f t="shared" si="73"/>
        <v>874.86000000000013</v>
      </c>
      <c r="K773" s="8">
        <f t="shared" si="74"/>
        <v>0.31756276044313453</v>
      </c>
      <c r="L773" t="str">
        <f t="shared" si="77"/>
        <v>2024-07</v>
      </c>
      <c r="M773">
        <f t="shared" si="75"/>
        <v>874.86000000000013</v>
      </c>
    </row>
    <row r="774" spans="1:13" x14ac:dyDescent="0.25">
      <c r="A774" s="1">
        <v>45195</v>
      </c>
      <c r="B774" t="s">
        <v>25</v>
      </c>
      <c r="C774" t="s">
        <v>15</v>
      </c>
      <c r="D774" t="s">
        <v>18</v>
      </c>
      <c r="E774">
        <v>129.6</v>
      </c>
      <c r="F774">
        <v>96.79</v>
      </c>
      <c r="G774">
        <v>2</v>
      </c>
      <c r="H774">
        <f t="shared" si="72"/>
        <v>259.2</v>
      </c>
      <c r="I774">
        <f t="shared" si="76"/>
        <v>193.58</v>
      </c>
      <c r="J774">
        <f t="shared" si="73"/>
        <v>65.619999999999976</v>
      </c>
      <c r="K774" s="8">
        <f t="shared" si="74"/>
        <v>0.25316358024691349</v>
      </c>
      <c r="L774" t="str">
        <f t="shared" si="77"/>
        <v>2023-09</v>
      </c>
      <c r="M774">
        <f t="shared" si="75"/>
        <v>65.619999999999976</v>
      </c>
    </row>
    <row r="775" spans="1:13" x14ac:dyDescent="0.25">
      <c r="A775" s="1">
        <v>45187</v>
      </c>
      <c r="B775" t="s">
        <v>12</v>
      </c>
      <c r="C775" t="s">
        <v>8</v>
      </c>
      <c r="D775" t="s">
        <v>17</v>
      </c>
      <c r="E775">
        <v>746.67</v>
      </c>
      <c r="F775">
        <v>394.52</v>
      </c>
      <c r="G775">
        <v>8</v>
      </c>
      <c r="H775">
        <f t="shared" si="72"/>
        <v>5973.36</v>
      </c>
      <c r="I775">
        <f t="shared" si="76"/>
        <v>3156.16</v>
      </c>
      <c r="J775">
        <f t="shared" si="73"/>
        <v>2817.2</v>
      </c>
      <c r="K775" s="8">
        <f t="shared" si="74"/>
        <v>0.47162735880643392</v>
      </c>
      <c r="L775" t="str">
        <f t="shared" si="77"/>
        <v>2023-09</v>
      </c>
      <c r="M775">
        <f t="shared" si="75"/>
        <v>2817.2</v>
      </c>
    </row>
    <row r="776" spans="1:13" x14ac:dyDescent="0.25">
      <c r="A776" s="1">
        <v>45119</v>
      </c>
      <c r="B776" t="s">
        <v>22</v>
      </c>
      <c r="C776" t="s">
        <v>8</v>
      </c>
      <c r="D776" t="s">
        <v>18</v>
      </c>
      <c r="E776">
        <v>895.26</v>
      </c>
      <c r="F776">
        <v>549.95000000000005</v>
      </c>
      <c r="G776">
        <v>5</v>
      </c>
      <c r="H776">
        <f t="shared" si="72"/>
        <v>4476.3</v>
      </c>
      <c r="I776">
        <f t="shared" si="76"/>
        <v>2749.75</v>
      </c>
      <c r="J776">
        <f t="shared" si="73"/>
        <v>1726.5500000000002</v>
      </c>
      <c r="K776" s="8">
        <f t="shared" si="74"/>
        <v>0.38570917945624739</v>
      </c>
      <c r="L776" t="str">
        <f t="shared" si="77"/>
        <v>2023-07</v>
      </c>
      <c r="M776">
        <f t="shared" si="75"/>
        <v>1726.5500000000002</v>
      </c>
    </row>
    <row r="777" spans="1:13" x14ac:dyDescent="0.25">
      <c r="A777" s="1">
        <v>45452</v>
      </c>
      <c r="B777" t="s">
        <v>10</v>
      </c>
      <c r="C777" t="s">
        <v>11</v>
      </c>
      <c r="D777" t="s">
        <v>18</v>
      </c>
      <c r="E777">
        <v>519.63</v>
      </c>
      <c r="F777">
        <v>333.36</v>
      </c>
      <c r="G777">
        <v>8</v>
      </c>
      <c r="H777">
        <f t="shared" si="72"/>
        <v>4157.04</v>
      </c>
      <c r="I777">
        <f t="shared" si="76"/>
        <v>2666.88</v>
      </c>
      <c r="J777">
        <f t="shared" si="73"/>
        <v>1490.1599999999999</v>
      </c>
      <c r="K777" s="8">
        <f t="shared" si="74"/>
        <v>0.35846660123549445</v>
      </c>
      <c r="L777" t="str">
        <f t="shared" si="77"/>
        <v>2024-06</v>
      </c>
      <c r="M777">
        <f t="shared" si="75"/>
        <v>1490.1599999999999</v>
      </c>
    </row>
    <row r="778" spans="1:13" x14ac:dyDescent="0.25">
      <c r="A778" s="1">
        <v>45055</v>
      </c>
      <c r="B778" t="s">
        <v>7</v>
      </c>
      <c r="C778" t="s">
        <v>8</v>
      </c>
      <c r="D778" t="s">
        <v>17</v>
      </c>
      <c r="E778">
        <v>1846.39</v>
      </c>
      <c r="F778">
        <v>1001.84</v>
      </c>
      <c r="G778">
        <v>7</v>
      </c>
      <c r="H778">
        <f t="shared" si="72"/>
        <v>12924.730000000001</v>
      </c>
      <c r="I778">
        <f t="shared" si="76"/>
        <v>7012.88</v>
      </c>
      <c r="J778">
        <f t="shared" si="73"/>
        <v>5911.8500000000013</v>
      </c>
      <c r="K778" s="8">
        <f t="shared" si="74"/>
        <v>0.45740607347310164</v>
      </c>
      <c r="L778" t="str">
        <f t="shared" si="77"/>
        <v>2023-05</v>
      </c>
      <c r="M778">
        <f t="shared" si="75"/>
        <v>5911.8500000000013</v>
      </c>
    </row>
    <row r="779" spans="1:13" x14ac:dyDescent="0.25">
      <c r="A779" s="1">
        <v>45012</v>
      </c>
      <c r="B779" t="s">
        <v>16</v>
      </c>
      <c r="C779" t="s">
        <v>15</v>
      </c>
      <c r="D779" t="s">
        <v>13</v>
      </c>
      <c r="E779">
        <v>1550.31</v>
      </c>
      <c r="F779">
        <v>838.07</v>
      </c>
      <c r="G779">
        <v>5</v>
      </c>
      <c r="H779">
        <f t="shared" si="72"/>
        <v>7751.5499999999993</v>
      </c>
      <c r="I779">
        <f t="shared" si="76"/>
        <v>4190.3500000000004</v>
      </c>
      <c r="J779">
        <f t="shared" si="73"/>
        <v>3561.1999999999989</v>
      </c>
      <c r="K779" s="8">
        <f t="shared" si="74"/>
        <v>0.45941779386058262</v>
      </c>
      <c r="L779" t="str">
        <f t="shared" si="77"/>
        <v>2023-03</v>
      </c>
      <c r="M779">
        <f t="shared" si="75"/>
        <v>3561.1999999999989</v>
      </c>
    </row>
    <row r="780" spans="1:13" x14ac:dyDescent="0.25">
      <c r="A780" s="1">
        <v>45554</v>
      </c>
      <c r="B780" t="s">
        <v>21</v>
      </c>
      <c r="C780" t="s">
        <v>20</v>
      </c>
      <c r="D780" t="s">
        <v>18</v>
      </c>
      <c r="E780">
        <v>1683.19</v>
      </c>
      <c r="F780">
        <v>1288.56</v>
      </c>
      <c r="G780">
        <v>4</v>
      </c>
      <c r="H780">
        <f t="shared" si="72"/>
        <v>6732.76</v>
      </c>
      <c r="I780">
        <f t="shared" si="76"/>
        <v>5154.24</v>
      </c>
      <c r="J780">
        <f t="shared" si="73"/>
        <v>1578.5200000000004</v>
      </c>
      <c r="K780" s="8">
        <f t="shared" si="74"/>
        <v>0.23445362674445552</v>
      </c>
      <c r="L780" t="str">
        <f t="shared" si="77"/>
        <v>2024-09</v>
      </c>
      <c r="M780">
        <f t="shared" si="75"/>
        <v>1578.5200000000004</v>
      </c>
    </row>
    <row r="781" spans="1:13" x14ac:dyDescent="0.25">
      <c r="A781" s="1">
        <v>44573</v>
      </c>
      <c r="B781" t="s">
        <v>7</v>
      </c>
      <c r="C781" t="s">
        <v>8</v>
      </c>
      <c r="D781" t="s">
        <v>17</v>
      </c>
      <c r="E781">
        <v>882.46</v>
      </c>
      <c r="F781">
        <v>674.06</v>
      </c>
      <c r="G781">
        <v>6</v>
      </c>
      <c r="H781">
        <f t="shared" si="72"/>
        <v>5294.76</v>
      </c>
      <c r="I781">
        <f t="shared" si="76"/>
        <v>4044.3599999999997</v>
      </c>
      <c r="J781">
        <f t="shared" si="73"/>
        <v>1250.4000000000005</v>
      </c>
      <c r="K781" s="8">
        <f t="shared" si="74"/>
        <v>0.23615801282777699</v>
      </c>
      <c r="L781" t="str">
        <f t="shared" si="77"/>
        <v>2022-01</v>
      </c>
      <c r="M781">
        <f t="shared" si="75"/>
        <v>1250.4000000000005</v>
      </c>
    </row>
    <row r="782" spans="1:13" x14ac:dyDescent="0.25">
      <c r="A782" s="1">
        <v>45558</v>
      </c>
      <c r="B782" t="s">
        <v>25</v>
      </c>
      <c r="C782" t="s">
        <v>15</v>
      </c>
      <c r="D782" t="s">
        <v>13</v>
      </c>
      <c r="E782">
        <v>1177.55</v>
      </c>
      <c r="F782">
        <v>850.14</v>
      </c>
      <c r="G782">
        <v>9</v>
      </c>
      <c r="H782">
        <f t="shared" si="72"/>
        <v>10597.949999999999</v>
      </c>
      <c r="I782">
        <f t="shared" si="76"/>
        <v>7651.26</v>
      </c>
      <c r="J782">
        <f t="shared" si="73"/>
        <v>2946.6899999999987</v>
      </c>
      <c r="K782" s="8">
        <f t="shared" si="74"/>
        <v>0.27804339518491772</v>
      </c>
      <c r="L782" t="str">
        <f t="shared" si="77"/>
        <v>2024-09</v>
      </c>
      <c r="M782">
        <f t="shared" si="75"/>
        <v>2946.6899999999987</v>
      </c>
    </row>
    <row r="783" spans="1:13" x14ac:dyDescent="0.25">
      <c r="A783" s="1">
        <v>45004</v>
      </c>
      <c r="B783" t="s">
        <v>7</v>
      </c>
      <c r="C783" t="s">
        <v>8</v>
      </c>
      <c r="D783" t="s">
        <v>13</v>
      </c>
      <c r="E783">
        <v>1323.57</v>
      </c>
      <c r="F783">
        <v>1026.9100000000001</v>
      </c>
      <c r="G783">
        <v>10</v>
      </c>
      <c r="H783">
        <f t="shared" si="72"/>
        <v>13235.699999999999</v>
      </c>
      <c r="I783">
        <f t="shared" si="76"/>
        <v>10269.1</v>
      </c>
      <c r="J783">
        <f t="shared" si="73"/>
        <v>2966.5999999999985</v>
      </c>
      <c r="K783" s="8">
        <f t="shared" si="74"/>
        <v>0.22413623759982462</v>
      </c>
      <c r="L783" t="str">
        <f t="shared" si="77"/>
        <v>2023-03</v>
      </c>
      <c r="M783">
        <f t="shared" si="75"/>
        <v>2966.5999999999985</v>
      </c>
    </row>
    <row r="784" spans="1:13" x14ac:dyDescent="0.25">
      <c r="A784" s="1">
        <v>45543</v>
      </c>
      <c r="B784" t="s">
        <v>10</v>
      </c>
      <c r="C784" t="s">
        <v>11</v>
      </c>
      <c r="D784" t="s">
        <v>9</v>
      </c>
      <c r="E784">
        <v>91.2</v>
      </c>
      <c r="F784">
        <v>74.84</v>
      </c>
      <c r="G784">
        <v>10</v>
      </c>
      <c r="H784">
        <f t="shared" si="72"/>
        <v>912</v>
      </c>
      <c r="I784">
        <f t="shared" si="76"/>
        <v>748.40000000000009</v>
      </c>
      <c r="J784">
        <f t="shared" si="73"/>
        <v>163.59999999999991</v>
      </c>
      <c r="K784" s="8">
        <f t="shared" si="74"/>
        <v>0.17938596491228059</v>
      </c>
      <c r="L784" t="str">
        <f t="shared" si="77"/>
        <v>2024-09</v>
      </c>
      <c r="M784">
        <f t="shared" si="75"/>
        <v>163.59999999999991</v>
      </c>
    </row>
    <row r="785" spans="1:13" x14ac:dyDescent="0.25">
      <c r="A785" s="1">
        <v>45011</v>
      </c>
      <c r="B785" t="s">
        <v>19</v>
      </c>
      <c r="C785" t="s">
        <v>20</v>
      </c>
      <c r="D785" t="s">
        <v>9</v>
      </c>
      <c r="E785">
        <v>1546.24</v>
      </c>
      <c r="F785">
        <v>1183.05</v>
      </c>
      <c r="G785">
        <v>2</v>
      </c>
      <c r="H785">
        <f t="shared" si="72"/>
        <v>3092.48</v>
      </c>
      <c r="I785">
        <f t="shared" si="76"/>
        <v>2366.1</v>
      </c>
      <c r="J785">
        <f t="shared" si="73"/>
        <v>726.38000000000011</v>
      </c>
      <c r="K785" s="8">
        <f t="shared" si="74"/>
        <v>0.2348859168046358</v>
      </c>
      <c r="L785" t="str">
        <f t="shared" si="77"/>
        <v>2023-03</v>
      </c>
      <c r="M785">
        <f t="shared" si="75"/>
        <v>726.38000000000011</v>
      </c>
    </row>
    <row r="786" spans="1:13" x14ac:dyDescent="0.25">
      <c r="A786" s="1">
        <v>45581</v>
      </c>
      <c r="B786" t="s">
        <v>12</v>
      </c>
      <c r="C786" t="s">
        <v>8</v>
      </c>
      <c r="D786" t="s">
        <v>13</v>
      </c>
      <c r="E786">
        <v>1857.2</v>
      </c>
      <c r="F786">
        <v>1099.7</v>
      </c>
      <c r="G786">
        <v>7</v>
      </c>
      <c r="H786">
        <f t="shared" si="72"/>
        <v>13000.4</v>
      </c>
      <c r="I786">
        <f t="shared" si="76"/>
        <v>7697.9000000000005</v>
      </c>
      <c r="J786">
        <f t="shared" si="73"/>
        <v>5302.4999999999991</v>
      </c>
      <c r="K786" s="8">
        <f t="shared" si="74"/>
        <v>0.4078720654749084</v>
      </c>
      <c r="L786" t="str">
        <f t="shared" si="77"/>
        <v>2024-10</v>
      </c>
      <c r="M786">
        <f t="shared" si="75"/>
        <v>5302.4999999999991</v>
      </c>
    </row>
    <row r="787" spans="1:13" x14ac:dyDescent="0.25">
      <c r="A787" s="1">
        <v>45622</v>
      </c>
      <c r="B787" t="s">
        <v>12</v>
      </c>
      <c r="C787" t="s">
        <v>8</v>
      </c>
      <c r="D787" t="s">
        <v>17</v>
      </c>
      <c r="E787">
        <v>1987.57</v>
      </c>
      <c r="F787">
        <v>1533.64</v>
      </c>
      <c r="G787">
        <v>6</v>
      </c>
      <c r="H787">
        <f t="shared" si="72"/>
        <v>11925.42</v>
      </c>
      <c r="I787">
        <f t="shared" si="76"/>
        <v>9201.84</v>
      </c>
      <c r="J787">
        <f t="shared" si="73"/>
        <v>2723.58</v>
      </c>
      <c r="K787" s="8">
        <f t="shared" si="74"/>
        <v>0.22838440910257249</v>
      </c>
      <c r="L787" t="str">
        <f t="shared" si="77"/>
        <v>2024-11</v>
      </c>
      <c r="M787">
        <f t="shared" si="75"/>
        <v>2723.58</v>
      </c>
    </row>
    <row r="788" spans="1:13" x14ac:dyDescent="0.25">
      <c r="A788" s="1">
        <v>44822</v>
      </c>
      <c r="B788" t="s">
        <v>21</v>
      </c>
      <c r="C788" t="s">
        <v>20</v>
      </c>
      <c r="D788" t="s">
        <v>17</v>
      </c>
      <c r="E788">
        <v>445.07</v>
      </c>
      <c r="F788">
        <v>257.01</v>
      </c>
      <c r="G788">
        <v>3</v>
      </c>
      <c r="H788">
        <f t="shared" si="72"/>
        <v>1335.21</v>
      </c>
      <c r="I788">
        <f t="shared" si="76"/>
        <v>771.03</v>
      </c>
      <c r="J788">
        <f t="shared" si="73"/>
        <v>564.18000000000006</v>
      </c>
      <c r="K788" s="8">
        <f t="shared" si="74"/>
        <v>0.42254027456355181</v>
      </c>
      <c r="L788" t="str">
        <f t="shared" si="77"/>
        <v>2022-09</v>
      </c>
      <c r="M788">
        <f t="shared" si="75"/>
        <v>564.18000000000006</v>
      </c>
    </row>
    <row r="789" spans="1:13" x14ac:dyDescent="0.25">
      <c r="A789" s="1">
        <v>44718</v>
      </c>
      <c r="B789" t="s">
        <v>22</v>
      </c>
      <c r="C789" t="s">
        <v>8</v>
      </c>
      <c r="D789" t="s">
        <v>18</v>
      </c>
      <c r="E789">
        <v>71.37</v>
      </c>
      <c r="F789">
        <v>48.22</v>
      </c>
      <c r="G789">
        <v>8</v>
      </c>
      <c r="H789">
        <f t="shared" si="72"/>
        <v>570.96</v>
      </c>
      <c r="I789">
        <f t="shared" si="76"/>
        <v>385.76</v>
      </c>
      <c r="J789">
        <f t="shared" si="73"/>
        <v>185.20000000000005</v>
      </c>
      <c r="K789" s="8">
        <f t="shared" si="74"/>
        <v>0.32436598010368506</v>
      </c>
      <c r="L789" t="str">
        <f t="shared" si="77"/>
        <v>2022-06</v>
      </c>
      <c r="M789">
        <f t="shared" si="75"/>
        <v>185.20000000000005</v>
      </c>
    </row>
    <row r="790" spans="1:13" x14ac:dyDescent="0.25">
      <c r="A790" s="1">
        <v>44900</v>
      </c>
      <c r="B790" t="s">
        <v>12</v>
      </c>
      <c r="C790" t="s">
        <v>8</v>
      </c>
      <c r="D790" t="s">
        <v>18</v>
      </c>
      <c r="E790">
        <v>90</v>
      </c>
      <c r="F790">
        <v>64.010000000000005</v>
      </c>
      <c r="G790">
        <v>4</v>
      </c>
      <c r="H790">
        <f t="shared" si="72"/>
        <v>360</v>
      </c>
      <c r="I790">
        <f t="shared" si="76"/>
        <v>256.04000000000002</v>
      </c>
      <c r="J790">
        <f t="shared" si="73"/>
        <v>103.95999999999998</v>
      </c>
      <c r="K790" s="8">
        <f t="shared" si="74"/>
        <v>0.28877777777777774</v>
      </c>
      <c r="L790" t="str">
        <f t="shared" si="77"/>
        <v>2022-12</v>
      </c>
      <c r="M790">
        <f t="shared" si="75"/>
        <v>103.95999999999998</v>
      </c>
    </row>
    <row r="791" spans="1:13" x14ac:dyDescent="0.25">
      <c r="A791" s="1">
        <v>45293</v>
      </c>
      <c r="B791" t="s">
        <v>7</v>
      </c>
      <c r="C791" t="s">
        <v>8</v>
      </c>
      <c r="D791" t="s">
        <v>9</v>
      </c>
      <c r="E791">
        <v>1596.74</v>
      </c>
      <c r="F791">
        <v>1364.82</v>
      </c>
      <c r="G791">
        <v>6</v>
      </c>
      <c r="H791">
        <f t="shared" si="72"/>
        <v>9580.44</v>
      </c>
      <c r="I791">
        <f t="shared" si="76"/>
        <v>8188.92</v>
      </c>
      <c r="J791">
        <f t="shared" si="73"/>
        <v>1391.5200000000004</v>
      </c>
      <c r="K791" s="8">
        <f t="shared" si="74"/>
        <v>0.14524593859989732</v>
      </c>
      <c r="L791" t="str">
        <f t="shared" si="77"/>
        <v>2024-01</v>
      </c>
      <c r="M791">
        <f t="shared" si="75"/>
        <v>1391.5200000000004</v>
      </c>
    </row>
    <row r="792" spans="1:13" x14ac:dyDescent="0.25">
      <c r="A792" s="1">
        <v>45533</v>
      </c>
      <c r="B792" t="s">
        <v>7</v>
      </c>
      <c r="C792" t="s">
        <v>8</v>
      </c>
      <c r="D792" t="s">
        <v>18</v>
      </c>
      <c r="E792">
        <v>1267.8900000000001</v>
      </c>
      <c r="F792">
        <v>1109.05</v>
      </c>
      <c r="G792">
        <v>10</v>
      </c>
      <c r="H792">
        <f t="shared" si="72"/>
        <v>12678.900000000001</v>
      </c>
      <c r="I792">
        <f t="shared" si="76"/>
        <v>11090.5</v>
      </c>
      <c r="J792">
        <f t="shared" si="73"/>
        <v>1588.4000000000015</v>
      </c>
      <c r="K792" s="8">
        <f t="shared" si="74"/>
        <v>0.12527900685390697</v>
      </c>
      <c r="L792" t="str">
        <f t="shared" si="77"/>
        <v>2024-08</v>
      </c>
      <c r="M792">
        <f t="shared" si="75"/>
        <v>1588.4000000000015</v>
      </c>
    </row>
    <row r="793" spans="1:13" x14ac:dyDescent="0.25">
      <c r="A793" s="1">
        <v>45625</v>
      </c>
      <c r="B793" t="s">
        <v>10</v>
      </c>
      <c r="C793" t="s">
        <v>11</v>
      </c>
      <c r="D793" t="s">
        <v>13</v>
      </c>
      <c r="E793">
        <v>477.92</v>
      </c>
      <c r="F793">
        <v>395.22</v>
      </c>
      <c r="G793">
        <v>6</v>
      </c>
      <c r="H793">
        <f t="shared" si="72"/>
        <v>2867.52</v>
      </c>
      <c r="I793">
        <f t="shared" si="76"/>
        <v>2371.3200000000002</v>
      </c>
      <c r="J793">
        <f t="shared" si="73"/>
        <v>496.19999999999982</v>
      </c>
      <c r="K793" s="8">
        <f t="shared" si="74"/>
        <v>0.17304151322397049</v>
      </c>
      <c r="L793" t="str">
        <f t="shared" si="77"/>
        <v>2024-11</v>
      </c>
      <c r="M793">
        <f t="shared" si="75"/>
        <v>496.19999999999982</v>
      </c>
    </row>
    <row r="794" spans="1:13" x14ac:dyDescent="0.25">
      <c r="A794" s="1">
        <v>45390</v>
      </c>
      <c r="B794" t="s">
        <v>22</v>
      </c>
      <c r="C794" t="s">
        <v>8</v>
      </c>
      <c r="D794" t="s">
        <v>18</v>
      </c>
      <c r="E794">
        <v>442.95</v>
      </c>
      <c r="F794">
        <v>318.81</v>
      </c>
      <c r="G794">
        <v>1</v>
      </c>
      <c r="H794">
        <f t="shared" si="72"/>
        <v>442.95</v>
      </c>
      <c r="I794">
        <f t="shared" si="76"/>
        <v>318.81</v>
      </c>
      <c r="J794">
        <f t="shared" si="73"/>
        <v>124.13999999999999</v>
      </c>
      <c r="K794" s="8">
        <f t="shared" si="74"/>
        <v>0.28025736539112767</v>
      </c>
      <c r="L794" t="str">
        <f t="shared" si="77"/>
        <v>2024-04</v>
      </c>
      <c r="M794">
        <f t="shared" si="75"/>
        <v>124.13999999999999</v>
      </c>
    </row>
    <row r="795" spans="1:13" x14ac:dyDescent="0.25">
      <c r="A795" s="1">
        <v>44674</v>
      </c>
      <c r="B795" t="s">
        <v>12</v>
      </c>
      <c r="C795" t="s">
        <v>8</v>
      </c>
      <c r="D795" t="s">
        <v>9</v>
      </c>
      <c r="E795">
        <v>1688.03</v>
      </c>
      <c r="F795">
        <v>881.99</v>
      </c>
      <c r="G795">
        <v>3</v>
      </c>
      <c r="H795">
        <f t="shared" si="72"/>
        <v>5064.09</v>
      </c>
      <c r="I795">
        <f t="shared" si="76"/>
        <v>2645.9700000000003</v>
      </c>
      <c r="J795">
        <f t="shared" si="73"/>
        <v>2418.12</v>
      </c>
      <c r="K795" s="8">
        <f t="shared" si="74"/>
        <v>0.4775033619070751</v>
      </c>
      <c r="L795" t="str">
        <f t="shared" si="77"/>
        <v>2022-04</v>
      </c>
      <c r="M795">
        <f t="shared" si="75"/>
        <v>2418.12</v>
      </c>
    </row>
    <row r="796" spans="1:13" x14ac:dyDescent="0.25">
      <c r="A796" s="1">
        <v>45623</v>
      </c>
      <c r="B796" t="s">
        <v>7</v>
      </c>
      <c r="C796" t="s">
        <v>8</v>
      </c>
      <c r="D796" t="s">
        <v>17</v>
      </c>
      <c r="E796">
        <v>1340.88</v>
      </c>
      <c r="F796">
        <v>784.98</v>
      </c>
      <c r="G796">
        <v>1</v>
      </c>
      <c r="H796">
        <f t="shared" si="72"/>
        <v>1340.88</v>
      </c>
      <c r="I796">
        <f t="shared" si="76"/>
        <v>784.98</v>
      </c>
      <c r="J796">
        <f t="shared" si="73"/>
        <v>555.90000000000009</v>
      </c>
      <c r="K796" s="8">
        <f t="shared" si="74"/>
        <v>0.4145784857705388</v>
      </c>
      <c r="L796" t="str">
        <f t="shared" si="77"/>
        <v>2024-11</v>
      </c>
      <c r="M796">
        <f t="shared" si="75"/>
        <v>555.90000000000009</v>
      </c>
    </row>
    <row r="797" spans="1:13" x14ac:dyDescent="0.25">
      <c r="A797" s="1">
        <v>45288</v>
      </c>
      <c r="B797" t="s">
        <v>16</v>
      </c>
      <c r="C797" t="s">
        <v>15</v>
      </c>
      <c r="D797" t="s">
        <v>13</v>
      </c>
      <c r="E797">
        <v>1792.42</v>
      </c>
      <c r="F797">
        <v>1085.75</v>
      </c>
      <c r="G797">
        <v>3</v>
      </c>
      <c r="H797">
        <f t="shared" si="72"/>
        <v>5377.26</v>
      </c>
      <c r="I797">
        <f t="shared" si="76"/>
        <v>3257.25</v>
      </c>
      <c r="J797">
        <f t="shared" si="73"/>
        <v>2120.0100000000002</v>
      </c>
      <c r="K797" s="8">
        <f t="shared" si="74"/>
        <v>0.39425469477019898</v>
      </c>
      <c r="L797" t="str">
        <f t="shared" si="77"/>
        <v>2023-12</v>
      </c>
      <c r="M797">
        <f t="shared" si="75"/>
        <v>2120.0100000000002</v>
      </c>
    </row>
    <row r="798" spans="1:13" x14ac:dyDescent="0.25">
      <c r="A798" s="1">
        <v>45037</v>
      </c>
      <c r="B798" t="s">
        <v>7</v>
      </c>
      <c r="C798" t="s">
        <v>8</v>
      </c>
      <c r="D798" t="s">
        <v>13</v>
      </c>
      <c r="E798">
        <v>770.2</v>
      </c>
      <c r="F798">
        <v>425.44</v>
      </c>
      <c r="G798">
        <v>2</v>
      </c>
      <c r="H798">
        <f t="shared" si="72"/>
        <v>1540.4</v>
      </c>
      <c r="I798">
        <f t="shared" si="76"/>
        <v>850.88</v>
      </c>
      <c r="J798">
        <f t="shared" si="73"/>
        <v>689.5200000000001</v>
      </c>
      <c r="K798" s="8">
        <f t="shared" si="74"/>
        <v>0.44762399376785256</v>
      </c>
      <c r="L798" t="str">
        <f t="shared" si="77"/>
        <v>2023-04</v>
      </c>
      <c r="M798">
        <f t="shared" si="75"/>
        <v>689.5200000000001</v>
      </c>
    </row>
    <row r="799" spans="1:13" x14ac:dyDescent="0.25">
      <c r="A799" s="1">
        <v>45563</v>
      </c>
      <c r="B799" t="s">
        <v>23</v>
      </c>
      <c r="C799" t="s">
        <v>11</v>
      </c>
      <c r="D799" t="s">
        <v>17</v>
      </c>
      <c r="E799">
        <v>259.3</v>
      </c>
      <c r="F799">
        <v>202.29</v>
      </c>
      <c r="G799">
        <v>9</v>
      </c>
      <c r="H799">
        <f t="shared" si="72"/>
        <v>2333.7000000000003</v>
      </c>
      <c r="I799">
        <f t="shared" si="76"/>
        <v>1820.61</v>
      </c>
      <c r="J799">
        <f t="shared" si="73"/>
        <v>513.09000000000037</v>
      </c>
      <c r="K799" s="8">
        <f t="shared" si="74"/>
        <v>0.21986116467412278</v>
      </c>
      <c r="L799" t="str">
        <f t="shared" si="77"/>
        <v>2024-09</v>
      </c>
      <c r="M799">
        <f t="shared" si="75"/>
        <v>513.09000000000037</v>
      </c>
    </row>
    <row r="800" spans="1:13" x14ac:dyDescent="0.25">
      <c r="A800" s="1">
        <v>45396</v>
      </c>
      <c r="B800" t="s">
        <v>21</v>
      </c>
      <c r="C800" t="s">
        <v>20</v>
      </c>
      <c r="D800" t="s">
        <v>13</v>
      </c>
      <c r="E800">
        <v>119.25</v>
      </c>
      <c r="F800">
        <v>66.44</v>
      </c>
      <c r="G800">
        <v>7</v>
      </c>
      <c r="H800">
        <f t="shared" si="72"/>
        <v>834.75</v>
      </c>
      <c r="I800">
        <f t="shared" si="76"/>
        <v>465.08</v>
      </c>
      <c r="J800">
        <f t="shared" si="73"/>
        <v>369.67</v>
      </c>
      <c r="K800" s="8">
        <f t="shared" si="74"/>
        <v>0.4428511530398323</v>
      </c>
      <c r="L800" t="str">
        <f t="shared" si="77"/>
        <v>2024-04</v>
      </c>
      <c r="M800">
        <f t="shared" si="75"/>
        <v>369.67</v>
      </c>
    </row>
    <row r="801" spans="1:13" x14ac:dyDescent="0.25">
      <c r="A801" s="1">
        <v>45469</v>
      </c>
      <c r="B801" t="s">
        <v>10</v>
      </c>
      <c r="C801" t="s">
        <v>11</v>
      </c>
      <c r="D801" t="s">
        <v>17</v>
      </c>
      <c r="E801">
        <v>272.44</v>
      </c>
      <c r="F801">
        <v>147.91</v>
      </c>
      <c r="G801">
        <v>2</v>
      </c>
      <c r="H801">
        <f t="shared" si="72"/>
        <v>544.88</v>
      </c>
      <c r="I801">
        <f t="shared" si="76"/>
        <v>295.82</v>
      </c>
      <c r="J801">
        <f t="shared" si="73"/>
        <v>249.06</v>
      </c>
      <c r="K801" s="8">
        <f t="shared" si="74"/>
        <v>0.45709146968139774</v>
      </c>
      <c r="L801" t="str">
        <f t="shared" si="77"/>
        <v>2024-06</v>
      </c>
      <c r="M801">
        <f t="shared" si="75"/>
        <v>249.06</v>
      </c>
    </row>
    <row r="802" spans="1:13" x14ac:dyDescent="0.25">
      <c r="A802" s="1">
        <v>45115</v>
      </c>
      <c r="B802" t="s">
        <v>24</v>
      </c>
      <c r="C802" t="s">
        <v>20</v>
      </c>
      <c r="D802" t="s">
        <v>13</v>
      </c>
      <c r="E802">
        <v>832.38</v>
      </c>
      <c r="F802">
        <v>531.5</v>
      </c>
      <c r="G802">
        <v>9</v>
      </c>
      <c r="H802">
        <f t="shared" si="72"/>
        <v>7491.42</v>
      </c>
      <c r="I802">
        <f t="shared" si="76"/>
        <v>4783.5</v>
      </c>
      <c r="J802">
        <f t="shared" si="73"/>
        <v>2707.92</v>
      </c>
      <c r="K802" s="8">
        <f t="shared" si="74"/>
        <v>0.36146952113217523</v>
      </c>
      <c r="L802" t="str">
        <f t="shared" si="77"/>
        <v>2023-07</v>
      </c>
      <c r="M802">
        <f t="shared" si="75"/>
        <v>2707.92</v>
      </c>
    </row>
    <row r="803" spans="1:13" x14ac:dyDescent="0.25">
      <c r="A803" s="1">
        <v>45476</v>
      </c>
      <c r="B803" t="s">
        <v>19</v>
      </c>
      <c r="C803" t="s">
        <v>20</v>
      </c>
      <c r="D803" t="s">
        <v>9</v>
      </c>
      <c r="E803">
        <v>1508.92</v>
      </c>
      <c r="F803">
        <v>807.26</v>
      </c>
      <c r="G803">
        <v>8</v>
      </c>
      <c r="H803">
        <f t="shared" si="72"/>
        <v>12071.36</v>
      </c>
      <c r="I803">
        <f t="shared" si="76"/>
        <v>6458.08</v>
      </c>
      <c r="J803">
        <f t="shared" si="73"/>
        <v>5613.2800000000007</v>
      </c>
      <c r="K803" s="8">
        <f t="shared" si="74"/>
        <v>0.46500808525302867</v>
      </c>
      <c r="L803" t="str">
        <f t="shared" si="77"/>
        <v>2024-07</v>
      </c>
      <c r="M803">
        <f t="shared" si="75"/>
        <v>5613.2800000000007</v>
      </c>
    </row>
    <row r="804" spans="1:13" x14ac:dyDescent="0.25">
      <c r="A804" s="1">
        <v>45182</v>
      </c>
      <c r="B804" t="s">
        <v>10</v>
      </c>
      <c r="C804" t="s">
        <v>11</v>
      </c>
      <c r="D804" t="s">
        <v>13</v>
      </c>
      <c r="E804">
        <v>55.43</v>
      </c>
      <c r="F804">
        <v>29.03</v>
      </c>
      <c r="G804">
        <v>6</v>
      </c>
      <c r="H804">
        <f t="shared" si="72"/>
        <v>332.58</v>
      </c>
      <c r="I804">
        <f t="shared" si="76"/>
        <v>174.18</v>
      </c>
      <c r="J804">
        <f t="shared" si="73"/>
        <v>158.39999999999998</v>
      </c>
      <c r="K804" s="8">
        <f t="shared" si="74"/>
        <v>0.47627638462926208</v>
      </c>
      <c r="L804" t="str">
        <f t="shared" si="77"/>
        <v>2023-09</v>
      </c>
      <c r="M804">
        <f t="shared" si="75"/>
        <v>158.39999999999998</v>
      </c>
    </row>
    <row r="805" spans="1:13" x14ac:dyDescent="0.25">
      <c r="A805" s="1">
        <v>44747</v>
      </c>
      <c r="B805" t="s">
        <v>22</v>
      </c>
      <c r="C805" t="s">
        <v>8</v>
      </c>
      <c r="D805" t="s">
        <v>9</v>
      </c>
      <c r="E805">
        <v>1396.43</v>
      </c>
      <c r="F805">
        <v>1085.81</v>
      </c>
      <c r="G805">
        <v>9</v>
      </c>
      <c r="H805">
        <f t="shared" si="72"/>
        <v>12567.87</v>
      </c>
      <c r="I805">
        <f t="shared" si="76"/>
        <v>9772.2899999999991</v>
      </c>
      <c r="J805">
        <f t="shared" si="73"/>
        <v>2795.5800000000017</v>
      </c>
      <c r="K805" s="8">
        <f t="shared" si="74"/>
        <v>0.22243864712158876</v>
      </c>
      <c r="L805" t="str">
        <f t="shared" si="77"/>
        <v>2022-07</v>
      </c>
      <c r="M805">
        <f t="shared" si="75"/>
        <v>2795.5800000000017</v>
      </c>
    </row>
    <row r="806" spans="1:13" x14ac:dyDescent="0.25">
      <c r="A806" s="1">
        <v>45357</v>
      </c>
      <c r="B806" t="s">
        <v>12</v>
      </c>
      <c r="C806" t="s">
        <v>8</v>
      </c>
      <c r="D806" t="s">
        <v>18</v>
      </c>
      <c r="E806">
        <v>961.71</v>
      </c>
      <c r="F806">
        <v>605.24</v>
      </c>
      <c r="G806">
        <v>2</v>
      </c>
      <c r="H806">
        <f t="shared" si="72"/>
        <v>1923.42</v>
      </c>
      <c r="I806">
        <f t="shared" si="76"/>
        <v>1210.48</v>
      </c>
      <c r="J806">
        <f t="shared" si="73"/>
        <v>712.94</v>
      </c>
      <c r="K806" s="8">
        <f t="shared" si="74"/>
        <v>0.37066267377899786</v>
      </c>
      <c r="L806" t="str">
        <f t="shared" si="77"/>
        <v>2024-03</v>
      </c>
      <c r="M806">
        <f t="shared" si="75"/>
        <v>712.94</v>
      </c>
    </row>
    <row r="807" spans="1:13" x14ac:dyDescent="0.25">
      <c r="A807" s="1">
        <v>45179</v>
      </c>
      <c r="B807" t="s">
        <v>19</v>
      </c>
      <c r="C807" t="s">
        <v>20</v>
      </c>
      <c r="D807" t="s">
        <v>18</v>
      </c>
      <c r="E807">
        <v>1887.07</v>
      </c>
      <c r="F807">
        <v>1016.06</v>
      </c>
      <c r="G807">
        <v>8</v>
      </c>
      <c r="H807">
        <f t="shared" si="72"/>
        <v>15096.56</v>
      </c>
      <c r="I807">
        <f t="shared" si="76"/>
        <v>8128.48</v>
      </c>
      <c r="J807">
        <f t="shared" si="73"/>
        <v>6968.08</v>
      </c>
      <c r="K807" s="8">
        <f t="shared" si="74"/>
        <v>0.46156740343495473</v>
      </c>
      <c r="L807" t="str">
        <f t="shared" si="77"/>
        <v>2023-09</v>
      </c>
      <c r="M807">
        <f t="shared" si="75"/>
        <v>6968.08</v>
      </c>
    </row>
    <row r="808" spans="1:13" x14ac:dyDescent="0.25">
      <c r="A808" s="1">
        <v>45418</v>
      </c>
      <c r="B808" t="s">
        <v>25</v>
      </c>
      <c r="C808" t="s">
        <v>15</v>
      </c>
      <c r="D808" t="s">
        <v>18</v>
      </c>
      <c r="E808">
        <v>1474.54</v>
      </c>
      <c r="F808">
        <v>1144.78</v>
      </c>
      <c r="G808">
        <v>5</v>
      </c>
      <c r="H808">
        <f t="shared" si="72"/>
        <v>7372.7</v>
      </c>
      <c r="I808">
        <f t="shared" si="76"/>
        <v>5723.9</v>
      </c>
      <c r="J808">
        <f t="shared" si="73"/>
        <v>1648.8000000000002</v>
      </c>
      <c r="K808" s="8">
        <f t="shared" si="74"/>
        <v>0.22363584575528642</v>
      </c>
      <c r="L808" t="str">
        <f t="shared" si="77"/>
        <v>2024-05</v>
      </c>
      <c r="M808">
        <f t="shared" si="75"/>
        <v>1648.8000000000002</v>
      </c>
    </row>
    <row r="809" spans="1:13" x14ac:dyDescent="0.25">
      <c r="A809" s="1">
        <v>45273</v>
      </c>
      <c r="B809" t="s">
        <v>22</v>
      </c>
      <c r="C809" t="s">
        <v>8</v>
      </c>
      <c r="D809" t="s">
        <v>9</v>
      </c>
      <c r="E809">
        <v>1888.52</v>
      </c>
      <c r="F809">
        <v>1339.7</v>
      </c>
      <c r="G809">
        <v>7</v>
      </c>
      <c r="H809">
        <f t="shared" si="72"/>
        <v>13219.64</v>
      </c>
      <c r="I809">
        <f t="shared" si="76"/>
        <v>9377.9</v>
      </c>
      <c r="J809">
        <f t="shared" si="73"/>
        <v>3841.74</v>
      </c>
      <c r="K809" s="8">
        <f t="shared" si="74"/>
        <v>0.29060851884014993</v>
      </c>
      <c r="L809" t="str">
        <f t="shared" si="77"/>
        <v>2023-12</v>
      </c>
      <c r="M809">
        <f t="shared" si="75"/>
        <v>3841.74</v>
      </c>
    </row>
    <row r="810" spans="1:13" x14ac:dyDescent="0.25">
      <c r="A810" s="1">
        <v>45167</v>
      </c>
      <c r="B810" t="s">
        <v>19</v>
      </c>
      <c r="C810" t="s">
        <v>20</v>
      </c>
      <c r="D810" t="s">
        <v>13</v>
      </c>
      <c r="E810">
        <v>972.66</v>
      </c>
      <c r="F810">
        <v>512.22</v>
      </c>
      <c r="G810">
        <v>10</v>
      </c>
      <c r="H810">
        <f t="shared" si="72"/>
        <v>9726.6</v>
      </c>
      <c r="I810">
        <f t="shared" si="76"/>
        <v>5122.2000000000007</v>
      </c>
      <c r="J810">
        <f t="shared" si="73"/>
        <v>4604.3999999999996</v>
      </c>
      <c r="K810" s="8">
        <f t="shared" si="74"/>
        <v>0.47338227129726723</v>
      </c>
      <c r="L810" t="str">
        <f t="shared" si="77"/>
        <v>2023-08</v>
      </c>
      <c r="M810">
        <f t="shared" si="75"/>
        <v>4604.3999999999996</v>
      </c>
    </row>
    <row r="811" spans="1:13" x14ac:dyDescent="0.25">
      <c r="A811" s="1">
        <v>44722</v>
      </c>
      <c r="B811" t="s">
        <v>16</v>
      </c>
      <c r="C811" t="s">
        <v>15</v>
      </c>
      <c r="D811" t="s">
        <v>18</v>
      </c>
      <c r="E811">
        <v>1428.26</v>
      </c>
      <c r="F811">
        <v>1154.57</v>
      </c>
      <c r="G811">
        <v>10</v>
      </c>
      <c r="H811">
        <f t="shared" si="72"/>
        <v>14282.6</v>
      </c>
      <c r="I811">
        <f t="shared" si="76"/>
        <v>11545.699999999999</v>
      </c>
      <c r="J811">
        <f t="shared" si="73"/>
        <v>2736.9000000000015</v>
      </c>
      <c r="K811" s="8">
        <f t="shared" si="74"/>
        <v>0.19162477420077587</v>
      </c>
      <c r="L811" t="str">
        <f t="shared" si="77"/>
        <v>2022-06</v>
      </c>
      <c r="M811">
        <f t="shared" si="75"/>
        <v>2736.9000000000015</v>
      </c>
    </row>
    <row r="812" spans="1:13" x14ac:dyDescent="0.25">
      <c r="A812" s="1">
        <v>44855</v>
      </c>
      <c r="B812" t="s">
        <v>19</v>
      </c>
      <c r="C812" t="s">
        <v>20</v>
      </c>
      <c r="D812" t="s">
        <v>9</v>
      </c>
      <c r="E812">
        <v>396.7</v>
      </c>
      <c r="F812">
        <v>309.06</v>
      </c>
      <c r="G812">
        <v>8</v>
      </c>
      <c r="H812">
        <f t="shared" si="72"/>
        <v>3173.6</v>
      </c>
      <c r="I812">
        <f t="shared" si="76"/>
        <v>2472.48</v>
      </c>
      <c r="J812">
        <f t="shared" si="73"/>
        <v>701.11999999999989</v>
      </c>
      <c r="K812" s="8">
        <f t="shared" si="74"/>
        <v>0.22092261154524828</v>
      </c>
      <c r="L812" t="str">
        <f t="shared" si="77"/>
        <v>2022-10</v>
      </c>
      <c r="M812">
        <f t="shared" si="75"/>
        <v>701.11999999999989</v>
      </c>
    </row>
    <row r="813" spans="1:13" x14ac:dyDescent="0.25">
      <c r="A813" s="1">
        <v>45245</v>
      </c>
      <c r="B813" t="s">
        <v>16</v>
      </c>
      <c r="C813" t="s">
        <v>15</v>
      </c>
      <c r="D813" t="s">
        <v>18</v>
      </c>
      <c r="E813">
        <v>1200.1400000000001</v>
      </c>
      <c r="F813">
        <v>896.95</v>
      </c>
      <c r="G813">
        <v>1</v>
      </c>
      <c r="H813">
        <f t="shared" si="72"/>
        <v>1200.1400000000001</v>
      </c>
      <c r="I813">
        <f t="shared" si="76"/>
        <v>896.95</v>
      </c>
      <c r="J813">
        <f t="shared" si="73"/>
        <v>303.19000000000005</v>
      </c>
      <c r="K813" s="8">
        <f t="shared" si="74"/>
        <v>0.25262885996633727</v>
      </c>
      <c r="L813" t="str">
        <f t="shared" si="77"/>
        <v>2023-11</v>
      </c>
      <c r="M813">
        <f t="shared" si="75"/>
        <v>303.19000000000005</v>
      </c>
    </row>
    <row r="814" spans="1:13" x14ac:dyDescent="0.25">
      <c r="A814" s="1">
        <v>45133</v>
      </c>
      <c r="B814" t="s">
        <v>22</v>
      </c>
      <c r="C814" t="s">
        <v>8</v>
      </c>
      <c r="D814" t="s">
        <v>17</v>
      </c>
      <c r="E814">
        <v>1398.77</v>
      </c>
      <c r="F814">
        <v>837.02</v>
      </c>
      <c r="G814">
        <v>9</v>
      </c>
      <c r="H814">
        <f t="shared" si="72"/>
        <v>12588.93</v>
      </c>
      <c r="I814">
        <f t="shared" si="76"/>
        <v>7533.18</v>
      </c>
      <c r="J814">
        <f t="shared" si="73"/>
        <v>5055.75</v>
      </c>
      <c r="K814" s="8">
        <f t="shared" si="74"/>
        <v>0.40160283677802638</v>
      </c>
      <c r="L814" t="str">
        <f t="shared" si="77"/>
        <v>2023-07</v>
      </c>
      <c r="M814">
        <f t="shared" si="75"/>
        <v>5055.75</v>
      </c>
    </row>
    <row r="815" spans="1:13" x14ac:dyDescent="0.25">
      <c r="A815" s="1">
        <v>45543</v>
      </c>
      <c r="B815" t="s">
        <v>21</v>
      </c>
      <c r="C815" t="s">
        <v>20</v>
      </c>
      <c r="D815" t="s">
        <v>17</v>
      </c>
      <c r="E815">
        <v>977.72</v>
      </c>
      <c r="F815">
        <v>583.77</v>
      </c>
      <c r="G815">
        <v>2</v>
      </c>
      <c r="H815">
        <f t="shared" si="72"/>
        <v>1955.44</v>
      </c>
      <c r="I815">
        <f t="shared" si="76"/>
        <v>1167.54</v>
      </c>
      <c r="J815">
        <f t="shared" si="73"/>
        <v>787.90000000000009</v>
      </c>
      <c r="K815" s="8">
        <f t="shared" si="74"/>
        <v>0.40292721842654344</v>
      </c>
      <c r="L815" t="str">
        <f t="shared" si="77"/>
        <v>2024-09</v>
      </c>
      <c r="M815">
        <f t="shared" si="75"/>
        <v>787.90000000000009</v>
      </c>
    </row>
    <row r="816" spans="1:13" x14ac:dyDescent="0.25">
      <c r="A816" s="1">
        <v>45371</v>
      </c>
      <c r="B816" t="s">
        <v>7</v>
      </c>
      <c r="C816" t="s">
        <v>8</v>
      </c>
      <c r="D816" t="s">
        <v>17</v>
      </c>
      <c r="E816">
        <v>731.89</v>
      </c>
      <c r="F816">
        <v>620.66</v>
      </c>
      <c r="G816">
        <v>10</v>
      </c>
      <c r="H816">
        <f t="shared" si="72"/>
        <v>7318.9</v>
      </c>
      <c r="I816">
        <f t="shared" si="76"/>
        <v>6206.5999999999995</v>
      </c>
      <c r="J816">
        <f t="shared" si="73"/>
        <v>1112.3000000000002</v>
      </c>
      <c r="K816" s="8">
        <f t="shared" si="74"/>
        <v>0.15197638989465634</v>
      </c>
      <c r="L816" t="str">
        <f t="shared" si="77"/>
        <v>2024-03</v>
      </c>
      <c r="M816">
        <f t="shared" si="75"/>
        <v>1112.3000000000002</v>
      </c>
    </row>
    <row r="817" spans="1:13" x14ac:dyDescent="0.25">
      <c r="A817" s="1">
        <v>44576</v>
      </c>
      <c r="B817" t="s">
        <v>23</v>
      </c>
      <c r="C817" t="s">
        <v>11</v>
      </c>
      <c r="D817" t="s">
        <v>17</v>
      </c>
      <c r="E817">
        <v>514.36</v>
      </c>
      <c r="F817">
        <v>258.14</v>
      </c>
      <c r="G817">
        <v>6</v>
      </c>
      <c r="H817">
        <f t="shared" si="72"/>
        <v>3086.16</v>
      </c>
      <c r="I817">
        <f t="shared" si="76"/>
        <v>1548.84</v>
      </c>
      <c r="J817">
        <f t="shared" si="73"/>
        <v>1537.32</v>
      </c>
      <c r="K817" s="8">
        <f t="shared" si="74"/>
        <v>0.49813360292402209</v>
      </c>
      <c r="L817" t="str">
        <f t="shared" si="77"/>
        <v>2022-01</v>
      </c>
      <c r="M817">
        <f t="shared" si="75"/>
        <v>1537.32</v>
      </c>
    </row>
    <row r="818" spans="1:13" x14ac:dyDescent="0.25">
      <c r="A818" s="1">
        <v>45007</v>
      </c>
      <c r="B818" t="s">
        <v>10</v>
      </c>
      <c r="C818" t="s">
        <v>11</v>
      </c>
      <c r="D818" t="s">
        <v>17</v>
      </c>
      <c r="E818">
        <v>728.8</v>
      </c>
      <c r="F818">
        <v>578.70000000000005</v>
      </c>
      <c r="G818">
        <v>4</v>
      </c>
      <c r="H818">
        <f t="shared" si="72"/>
        <v>2915.2</v>
      </c>
      <c r="I818">
        <f t="shared" si="76"/>
        <v>2314.8000000000002</v>
      </c>
      <c r="J818">
        <f t="shared" si="73"/>
        <v>600.39999999999964</v>
      </c>
      <c r="K818" s="8">
        <f t="shared" si="74"/>
        <v>0.20595499451152569</v>
      </c>
      <c r="L818" t="str">
        <f t="shared" si="77"/>
        <v>2023-03</v>
      </c>
      <c r="M818">
        <f t="shared" si="75"/>
        <v>600.39999999999964</v>
      </c>
    </row>
    <row r="819" spans="1:13" x14ac:dyDescent="0.25">
      <c r="A819" s="1">
        <v>44730</v>
      </c>
      <c r="B819" t="s">
        <v>12</v>
      </c>
      <c r="C819" t="s">
        <v>8</v>
      </c>
      <c r="D819" t="s">
        <v>18</v>
      </c>
      <c r="E819">
        <v>635.74</v>
      </c>
      <c r="F819">
        <v>333.96</v>
      </c>
      <c r="G819">
        <v>3</v>
      </c>
      <c r="H819">
        <f t="shared" si="72"/>
        <v>1907.22</v>
      </c>
      <c r="I819">
        <f t="shared" si="76"/>
        <v>1001.8799999999999</v>
      </c>
      <c r="J819">
        <f t="shared" si="73"/>
        <v>905.34000000000015</v>
      </c>
      <c r="K819" s="8">
        <f t="shared" si="74"/>
        <v>0.47469091137886565</v>
      </c>
      <c r="L819" t="str">
        <f t="shared" si="77"/>
        <v>2022-06</v>
      </c>
      <c r="M819">
        <f t="shared" si="75"/>
        <v>905.34000000000015</v>
      </c>
    </row>
    <row r="820" spans="1:13" x14ac:dyDescent="0.25">
      <c r="A820" s="1">
        <v>45321</v>
      </c>
      <c r="B820" t="s">
        <v>10</v>
      </c>
      <c r="C820" t="s">
        <v>11</v>
      </c>
      <c r="D820" t="s">
        <v>18</v>
      </c>
      <c r="E820">
        <v>51.32</v>
      </c>
      <c r="F820">
        <v>35.08</v>
      </c>
      <c r="G820">
        <v>9</v>
      </c>
      <c r="H820">
        <f t="shared" si="72"/>
        <v>461.88</v>
      </c>
      <c r="I820">
        <f t="shared" si="76"/>
        <v>315.71999999999997</v>
      </c>
      <c r="J820">
        <f t="shared" si="73"/>
        <v>146.16000000000003</v>
      </c>
      <c r="K820" s="8">
        <f t="shared" si="74"/>
        <v>0.31644583008573662</v>
      </c>
      <c r="L820" t="str">
        <f t="shared" si="77"/>
        <v>2024-01</v>
      </c>
      <c r="M820">
        <f t="shared" si="75"/>
        <v>146.16000000000003</v>
      </c>
    </row>
    <row r="821" spans="1:13" x14ac:dyDescent="0.25">
      <c r="A821" s="1">
        <v>44982</v>
      </c>
      <c r="B821" t="s">
        <v>24</v>
      </c>
      <c r="C821" t="s">
        <v>20</v>
      </c>
      <c r="D821" t="s">
        <v>13</v>
      </c>
      <c r="E821">
        <v>345.85</v>
      </c>
      <c r="F821">
        <v>277.18</v>
      </c>
      <c r="G821">
        <v>6</v>
      </c>
      <c r="H821">
        <f t="shared" si="72"/>
        <v>2075.1000000000004</v>
      </c>
      <c r="I821">
        <f t="shared" si="76"/>
        <v>1663.08</v>
      </c>
      <c r="J821">
        <f t="shared" si="73"/>
        <v>412.02000000000044</v>
      </c>
      <c r="K821" s="8">
        <f t="shared" si="74"/>
        <v>0.19855428654040785</v>
      </c>
      <c r="L821" t="str">
        <f t="shared" si="77"/>
        <v>2023-02</v>
      </c>
      <c r="M821">
        <f t="shared" si="75"/>
        <v>412.02000000000044</v>
      </c>
    </row>
    <row r="822" spans="1:13" x14ac:dyDescent="0.25">
      <c r="A822" s="1">
        <v>44718</v>
      </c>
      <c r="B822" t="s">
        <v>23</v>
      </c>
      <c r="C822" t="s">
        <v>11</v>
      </c>
      <c r="D822" t="s">
        <v>18</v>
      </c>
      <c r="E822">
        <v>1978.7</v>
      </c>
      <c r="F822">
        <v>1584.44</v>
      </c>
      <c r="G822">
        <v>7</v>
      </c>
      <c r="H822">
        <f t="shared" si="72"/>
        <v>13850.9</v>
      </c>
      <c r="I822">
        <f t="shared" si="76"/>
        <v>11091.08</v>
      </c>
      <c r="J822">
        <f t="shared" si="73"/>
        <v>2759.8199999999997</v>
      </c>
      <c r="K822" s="8">
        <f t="shared" si="74"/>
        <v>0.19925203416384493</v>
      </c>
      <c r="L822" t="str">
        <f t="shared" si="77"/>
        <v>2022-06</v>
      </c>
      <c r="M822">
        <f t="shared" si="75"/>
        <v>2759.8199999999997</v>
      </c>
    </row>
    <row r="823" spans="1:13" x14ac:dyDescent="0.25">
      <c r="A823" s="1">
        <v>45403</v>
      </c>
      <c r="B823" t="s">
        <v>7</v>
      </c>
      <c r="C823" t="s">
        <v>8</v>
      </c>
      <c r="D823" t="s">
        <v>18</v>
      </c>
      <c r="E823">
        <v>310.52999999999997</v>
      </c>
      <c r="F823">
        <v>252.84</v>
      </c>
      <c r="G823">
        <v>4</v>
      </c>
      <c r="H823">
        <f t="shared" si="72"/>
        <v>1242.1199999999999</v>
      </c>
      <c r="I823">
        <f t="shared" si="76"/>
        <v>1011.36</v>
      </c>
      <c r="J823">
        <f t="shared" si="73"/>
        <v>230.75999999999988</v>
      </c>
      <c r="K823" s="8">
        <f t="shared" si="74"/>
        <v>0.18577915177277549</v>
      </c>
      <c r="L823" t="str">
        <f t="shared" si="77"/>
        <v>2024-04</v>
      </c>
      <c r="M823">
        <f t="shared" si="75"/>
        <v>230.75999999999988</v>
      </c>
    </row>
    <row r="824" spans="1:13" x14ac:dyDescent="0.25">
      <c r="A824" s="1">
        <v>45244</v>
      </c>
      <c r="B824" t="s">
        <v>14</v>
      </c>
      <c r="C824" t="s">
        <v>15</v>
      </c>
      <c r="D824" t="s">
        <v>13</v>
      </c>
      <c r="E824">
        <v>1270.4000000000001</v>
      </c>
      <c r="F824">
        <v>951.87</v>
      </c>
      <c r="G824">
        <v>4</v>
      </c>
      <c r="H824">
        <f t="shared" si="72"/>
        <v>5081.6000000000004</v>
      </c>
      <c r="I824">
        <f t="shared" si="76"/>
        <v>3807.48</v>
      </c>
      <c r="J824">
        <f t="shared" si="73"/>
        <v>1274.1200000000003</v>
      </c>
      <c r="K824" s="8">
        <f t="shared" si="74"/>
        <v>0.25073205289672551</v>
      </c>
      <c r="L824" t="str">
        <f t="shared" si="77"/>
        <v>2023-11</v>
      </c>
      <c r="M824">
        <f t="shared" si="75"/>
        <v>1274.1200000000003</v>
      </c>
    </row>
    <row r="825" spans="1:13" x14ac:dyDescent="0.25">
      <c r="A825" s="1">
        <v>44807</v>
      </c>
      <c r="B825" t="s">
        <v>16</v>
      </c>
      <c r="C825" t="s">
        <v>15</v>
      </c>
      <c r="D825" t="s">
        <v>9</v>
      </c>
      <c r="E825">
        <v>1440.37</v>
      </c>
      <c r="F825">
        <v>965.15</v>
      </c>
      <c r="G825">
        <v>4</v>
      </c>
      <c r="H825">
        <f t="shared" si="72"/>
        <v>5761.48</v>
      </c>
      <c r="I825">
        <f t="shared" si="76"/>
        <v>3860.6</v>
      </c>
      <c r="J825">
        <f t="shared" si="73"/>
        <v>1900.8799999999997</v>
      </c>
      <c r="K825" s="8">
        <f t="shared" si="74"/>
        <v>0.3299291154356172</v>
      </c>
      <c r="L825" t="str">
        <f t="shared" si="77"/>
        <v>2022-09</v>
      </c>
      <c r="M825">
        <f t="shared" si="75"/>
        <v>1900.8799999999997</v>
      </c>
    </row>
    <row r="826" spans="1:13" x14ac:dyDescent="0.25">
      <c r="A826" s="1">
        <v>44831</v>
      </c>
      <c r="B826" t="s">
        <v>21</v>
      </c>
      <c r="C826" t="s">
        <v>20</v>
      </c>
      <c r="D826" t="s">
        <v>17</v>
      </c>
      <c r="E826">
        <v>1643.19</v>
      </c>
      <c r="F826">
        <v>1099.18</v>
      </c>
      <c r="G826">
        <v>10</v>
      </c>
      <c r="H826">
        <f t="shared" si="72"/>
        <v>16431.900000000001</v>
      </c>
      <c r="I826">
        <f t="shared" si="76"/>
        <v>10991.800000000001</v>
      </c>
      <c r="J826">
        <f t="shared" si="73"/>
        <v>5440.1</v>
      </c>
      <c r="K826" s="8">
        <f t="shared" si="74"/>
        <v>0.33106944419087264</v>
      </c>
      <c r="L826" t="str">
        <f t="shared" si="77"/>
        <v>2022-09</v>
      </c>
      <c r="M826">
        <f t="shared" si="75"/>
        <v>5440.1</v>
      </c>
    </row>
    <row r="827" spans="1:13" x14ac:dyDescent="0.25">
      <c r="A827" s="1">
        <v>44952</v>
      </c>
      <c r="B827" t="s">
        <v>7</v>
      </c>
      <c r="C827" t="s">
        <v>8</v>
      </c>
      <c r="D827" t="s">
        <v>18</v>
      </c>
      <c r="E827">
        <v>1253.99</v>
      </c>
      <c r="F827">
        <v>713.32</v>
      </c>
      <c r="G827">
        <v>4</v>
      </c>
      <c r="H827">
        <f t="shared" si="72"/>
        <v>5015.96</v>
      </c>
      <c r="I827">
        <f t="shared" si="76"/>
        <v>2853.28</v>
      </c>
      <c r="J827">
        <f t="shared" si="73"/>
        <v>2162.6799999999998</v>
      </c>
      <c r="K827" s="8">
        <f t="shared" si="74"/>
        <v>0.43115973811593389</v>
      </c>
      <c r="L827" t="str">
        <f t="shared" si="77"/>
        <v>2023-01</v>
      </c>
      <c r="M827">
        <f t="shared" si="75"/>
        <v>2162.6799999999998</v>
      </c>
    </row>
    <row r="828" spans="1:13" x14ac:dyDescent="0.25">
      <c r="A828" s="1">
        <v>44635</v>
      </c>
      <c r="B828" t="s">
        <v>25</v>
      </c>
      <c r="C828" t="s">
        <v>15</v>
      </c>
      <c r="D828" t="s">
        <v>17</v>
      </c>
      <c r="E828">
        <v>1080.98</v>
      </c>
      <c r="F828">
        <v>544.49</v>
      </c>
      <c r="G828">
        <v>1</v>
      </c>
      <c r="H828">
        <f t="shared" si="72"/>
        <v>1080.98</v>
      </c>
      <c r="I828">
        <f t="shared" si="76"/>
        <v>544.49</v>
      </c>
      <c r="J828">
        <f t="shared" si="73"/>
        <v>536.49</v>
      </c>
      <c r="K828" s="8">
        <f t="shared" si="74"/>
        <v>0.49629965401765064</v>
      </c>
      <c r="L828" t="str">
        <f t="shared" si="77"/>
        <v>2022-03</v>
      </c>
      <c r="M828">
        <f t="shared" si="75"/>
        <v>536.49</v>
      </c>
    </row>
    <row r="829" spans="1:13" x14ac:dyDescent="0.25">
      <c r="A829" s="1">
        <v>44833</v>
      </c>
      <c r="B829" t="s">
        <v>7</v>
      </c>
      <c r="C829" t="s">
        <v>8</v>
      </c>
      <c r="D829" t="s">
        <v>9</v>
      </c>
      <c r="E829">
        <v>1697.2</v>
      </c>
      <c r="F829">
        <v>1035.8699999999999</v>
      </c>
      <c r="G829">
        <v>2</v>
      </c>
      <c r="H829">
        <f t="shared" si="72"/>
        <v>3394.4</v>
      </c>
      <c r="I829">
        <f t="shared" si="76"/>
        <v>2071.7399999999998</v>
      </c>
      <c r="J829">
        <f t="shared" si="73"/>
        <v>1322.6600000000003</v>
      </c>
      <c r="K829" s="8">
        <f t="shared" si="74"/>
        <v>0.38965943907612549</v>
      </c>
      <c r="L829" t="str">
        <f t="shared" si="77"/>
        <v>2022-09</v>
      </c>
      <c r="M829">
        <f t="shared" si="75"/>
        <v>1322.6600000000003</v>
      </c>
    </row>
    <row r="830" spans="1:13" x14ac:dyDescent="0.25">
      <c r="A830" s="1">
        <v>45472</v>
      </c>
      <c r="B830" t="s">
        <v>10</v>
      </c>
      <c r="C830" t="s">
        <v>11</v>
      </c>
      <c r="D830" t="s">
        <v>9</v>
      </c>
      <c r="E830">
        <v>259.38</v>
      </c>
      <c r="F830">
        <v>224.25</v>
      </c>
      <c r="G830">
        <v>3</v>
      </c>
      <c r="H830">
        <f t="shared" si="72"/>
        <v>778.14</v>
      </c>
      <c r="I830">
        <f t="shared" si="76"/>
        <v>672.75</v>
      </c>
      <c r="J830">
        <f t="shared" si="73"/>
        <v>105.38999999999999</v>
      </c>
      <c r="K830" s="8">
        <f t="shared" si="74"/>
        <v>0.13543835299560489</v>
      </c>
      <c r="L830" t="str">
        <f t="shared" si="77"/>
        <v>2024-06</v>
      </c>
      <c r="M830">
        <f t="shared" si="75"/>
        <v>105.38999999999999</v>
      </c>
    </row>
    <row r="831" spans="1:13" x14ac:dyDescent="0.25">
      <c r="A831" s="1">
        <v>45492</v>
      </c>
      <c r="B831" t="s">
        <v>12</v>
      </c>
      <c r="C831" t="s">
        <v>8</v>
      </c>
      <c r="D831" t="s">
        <v>13</v>
      </c>
      <c r="E831">
        <v>857.1</v>
      </c>
      <c r="F831">
        <v>578.89</v>
      </c>
      <c r="G831">
        <v>8</v>
      </c>
      <c r="H831">
        <f t="shared" si="72"/>
        <v>6856.8</v>
      </c>
      <c r="I831">
        <f t="shared" si="76"/>
        <v>4631.12</v>
      </c>
      <c r="J831">
        <f t="shared" si="73"/>
        <v>2225.6800000000003</v>
      </c>
      <c r="K831" s="8">
        <f t="shared" si="74"/>
        <v>0.32459456306148643</v>
      </c>
      <c r="L831" t="str">
        <f t="shared" si="77"/>
        <v>2024-07</v>
      </c>
      <c r="M831">
        <f t="shared" si="75"/>
        <v>2225.6800000000003</v>
      </c>
    </row>
    <row r="832" spans="1:13" x14ac:dyDescent="0.25">
      <c r="A832" s="1">
        <v>45558</v>
      </c>
      <c r="B832" t="s">
        <v>12</v>
      </c>
      <c r="C832" t="s">
        <v>8</v>
      </c>
      <c r="D832" t="s">
        <v>17</v>
      </c>
      <c r="E832">
        <v>383.57</v>
      </c>
      <c r="F832">
        <v>217.65</v>
      </c>
      <c r="G832">
        <v>8</v>
      </c>
      <c r="H832">
        <f t="shared" si="72"/>
        <v>3068.56</v>
      </c>
      <c r="I832">
        <f t="shared" si="76"/>
        <v>1741.2</v>
      </c>
      <c r="J832">
        <f t="shared" si="73"/>
        <v>1327.36</v>
      </c>
      <c r="K832" s="8">
        <f t="shared" si="74"/>
        <v>0.43256771906040614</v>
      </c>
      <c r="L832" t="str">
        <f t="shared" si="77"/>
        <v>2024-09</v>
      </c>
      <c r="M832">
        <f t="shared" si="75"/>
        <v>1327.36</v>
      </c>
    </row>
    <row r="833" spans="1:13" x14ac:dyDescent="0.25">
      <c r="A833" s="1">
        <v>45457</v>
      </c>
      <c r="B833" t="s">
        <v>10</v>
      </c>
      <c r="C833" t="s">
        <v>11</v>
      </c>
      <c r="D833" t="s">
        <v>13</v>
      </c>
      <c r="E833">
        <v>1548.33</v>
      </c>
      <c r="F833">
        <v>1355.86</v>
      </c>
      <c r="G833">
        <v>8</v>
      </c>
      <c r="H833">
        <f t="shared" si="72"/>
        <v>12386.64</v>
      </c>
      <c r="I833">
        <f t="shared" si="76"/>
        <v>10846.88</v>
      </c>
      <c r="J833">
        <f t="shared" si="73"/>
        <v>1539.7600000000002</v>
      </c>
      <c r="K833" s="8">
        <f t="shared" si="74"/>
        <v>0.12430812552879557</v>
      </c>
      <c r="L833" t="str">
        <f t="shared" si="77"/>
        <v>2024-06</v>
      </c>
      <c r="M833">
        <f t="shared" si="75"/>
        <v>1539.7600000000002</v>
      </c>
    </row>
    <row r="834" spans="1:13" x14ac:dyDescent="0.25">
      <c r="A834" s="1">
        <v>44705</v>
      </c>
      <c r="B834" t="s">
        <v>16</v>
      </c>
      <c r="C834" t="s">
        <v>15</v>
      </c>
      <c r="D834" t="s">
        <v>17</v>
      </c>
      <c r="E834">
        <v>812.87</v>
      </c>
      <c r="F834">
        <v>503.85</v>
      </c>
      <c r="G834">
        <v>10</v>
      </c>
      <c r="H834">
        <f t="shared" si="72"/>
        <v>8128.7</v>
      </c>
      <c r="I834">
        <f t="shared" si="76"/>
        <v>5038.5</v>
      </c>
      <c r="J834">
        <f t="shared" si="73"/>
        <v>3090.2</v>
      </c>
      <c r="K834" s="8">
        <f t="shared" si="74"/>
        <v>0.38015918904621893</v>
      </c>
      <c r="L834" t="str">
        <f t="shared" si="77"/>
        <v>2022-05</v>
      </c>
      <c r="M834">
        <f t="shared" si="75"/>
        <v>3090.2</v>
      </c>
    </row>
    <row r="835" spans="1:13" x14ac:dyDescent="0.25">
      <c r="A835" s="1">
        <v>44680</v>
      </c>
      <c r="B835" t="s">
        <v>22</v>
      </c>
      <c r="C835" t="s">
        <v>8</v>
      </c>
      <c r="D835" t="s">
        <v>13</v>
      </c>
      <c r="E835">
        <v>1236.8499999999999</v>
      </c>
      <c r="F835">
        <v>834.5</v>
      </c>
      <c r="G835">
        <v>1</v>
      </c>
      <c r="H835">
        <f t="shared" ref="H835:H898" si="78">E835*G835</f>
        <v>1236.8499999999999</v>
      </c>
      <c r="I835">
        <f t="shared" si="76"/>
        <v>834.5</v>
      </c>
      <c r="J835">
        <f t="shared" ref="J835:J898" si="79">H835-I835</f>
        <v>402.34999999999991</v>
      </c>
      <c r="K835" s="8">
        <f t="shared" ref="K835:K898" si="80">(H835-I835)/H835</f>
        <v>0.32530217892226215</v>
      </c>
      <c r="L835" t="str">
        <f t="shared" si="77"/>
        <v>2022-04</v>
      </c>
      <c r="M835">
        <f t="shared" ref="M835:M898" si="81">H835-I835</f>
        <v>402.34999999999991</v>
      </c>
    </row>
    <row r="836" spans="1:13" x14ac:dyDescent="0.25">
      <c r="A836" s="1">
        <v>44943</v>
      </c>
      <c r="B836" t="s">
        <v>12</v>
      </c>
      <c r="C836" t="s">
        <v>8</v>
      </c>
      <c r="D836" t="s">
        <v>18</v>
      </c>
      <c r="E836">
        <v>132.03</v>
      </c>
      <c r="F836">
        <v>69.98</v>
      </c>
      <c r="G836">
        <v>4</v>
      </c>
      <c r="H836">
        <f t="shared" si="78"/>
        <v>528.12</v>
      </c>
      <c r="I836">
        <f t="shared" ref="I836:I899" si="82">F836*G836</f>
        <v>279.92</v>
      </c>
      <c r="J836">
        <f t="shared" si="79"/>
        <v>248.2</v>
      </c>
      <c r="K836" s="8">
        <f t="shared" si="80"/>
        <v>0.46996894645156401</v>
      </c>
      <c r="L836" t="str">
        <f t="shared" ref="L836:L899" si="83">TEXT(A836,"rrrr-mm")</f>
        <v>2023-01</v>
      </c>
      <c r="M836">
        <f t="shared" si="81"/>
        <v>248.2</v>
      </c>
    </row>
    <row r="837" spans="1:13" x14ac:dyDescent="0.25">
      <c r="A837" s="1">
        <v>44572</v>
      </c>
      <c r="B837" t="s">
        <v>23</v>
      </c>
      <c r="C837" t="s">
        <v>11</v>
      </c>
      <c r="D837" t="s">
        <v>17</v>
      </c>
      <c r="E837">
        <v>1659.81</v>
      </c>
      <c r="F837">
        <v>1377.79</v>
      </c>
      <c r="G837">
        <v>10</v>
      </c>
      <c r="H837">
        <f t="shared" si="78"/>
        <v>16598.099999999999</v>
      </c>
      <c r="I837">
        <f t="shared" si="82"/>
        <v>13777.9</v>
      </c>
      <c r="J837">
        <f t="shared" si="79"/>
        <v>2820.1999999999989</v>
      </c>
      <c r="K837" s="8">
        <f t="shared" si="80"/>
        <v>0.16991101391123076</v>
      </c>
      <c r="L837" t="str">
        <f t="shared" si="83"/>
        <v>2022-01</v>
      </c>
      <c r="M837">
        <f t="shared" si="81"/>
        <v>2820.1999999999989</v>
      </c>
    </row>
    <row r="838" spans="1:13" x14ac:dyDescent="0.25">
      <c r="A838" s="1">
        <v>45070</v>
      </c>
      <c r="B838" t="s">
        <v>22</v>
      </c>
      <c r="C838" t="s">
        <v>8</v>
      </c>
      <c r="D838" t="s">
        <v>18</v>
      </c>
      <c r="E838">
        <v>607.11</v>
      </c>
      <c r="F838">
        <v>510.45</v>
      </c>
      <c r="G838">
        <v>1</v>
      </c>
      <c r="H838">
        <f t="shared" si="78"/>
        <v>607.11</v>
      </c>
      <c r="I838">
        <f t="shared" si="82"/>
        <v>510.45</v>
      </c>
      <c r="J838">
        <f t="shared" si="79"/>
        <v>96.660000000000025</v>
      </c>
      <c r="K838" s="8">
        <f t="shared" si="80"/>
        <v>0.15921332213272721</v>
      </c>
      <c r="L838" t="str">
        <f t="shared" si="83"/>
        <v>2023-05</v>
      </c>
      <c r="M838">
        <f t="shared" si="81"/>
        <v>96.660000000000025</v>
      </c>
    </row>
    <row r="839" spans="1:13" x14ac:dyDescent="0.25">
      <c r="A839" s="1">
        <v>44991</v>
      </c>
      <c r="B839" t="s">
        <v>21</v>
      </c>
      <c r="C839" t="s">
        <v>20</v>
      </c>
      <c r="D839" t="s">
        <v>13</v>
      </c>
      <c r="E839">
        <v>743.19</v>
      </c>
      <c r="F839">
        <v>483.14</v>
      </c>
      <c r="G839">
        <v>10</v>
      </c>
      <c r="H839">
        <f t="shared" si="78"/>
        <v>7431.9000000000005</v>
      </c>
      <c r="I839">
        <f t="shared" si="82"/>
        <v>4831.3999999999996</v>
      </c>
      <c r="J839">
        <f t="shared" si="79"/>
        <v>2600.5000000000009</v>
      </c>
      <c r="K839" s="8">
        <f t="shared" si="80"/>
        <v>0.34991052086276736</v>
      </c>
      <c r="L839" t="str">
        <f t="shared" si="83"/>
        <v>2023-03</v>
      </c>
      <c r="M839">
        <f t="shared" si="81"/>
        <v>2600.5000000000009</v>
      </c>
    </row>
    <row r="840" spans="1:13" x14ac:dyDescent="0.25">
      <c r="A840" s="1">
        <v>45123</v>
      </c>
      <c r="B840" t="s">
        <v>24</v>
      </c>
      <c r="C840" t="s">
        <v>20</v>
      </c>
      <c r="D840" t="s">
        <v>9</v>
      </c>
      <c r="E840">
        <v>144.15</v>
      </c>
      <c r="F840">
        <v>78.47</v>
      </c>
      <c r="G840">
        <v>8</v>
      </c>
      <c r="H840">
        <f t="shared" si="78"/>
        <v>1153.2</v>
      </c>
      <c r="I840">
        <f t="shared" si="82"/>
        <v>627.76</v>
      </c>
      <c r="J840">
        <f t="shared" si="79"/>
        <v>525.44000000000005</v>
      </c>
      <c r="K840" s="8">
        <f t="shared" si="80"/>
        <v>0.45563648976760324</v>
      </c>
      <c r="L840" t="str">
        <f t="shared" si="83"/>
        <v>2023-07</v>
      </c>
      <c r="M840">
        <f t="shared" si="81"/>
        <v>525.44000000000005</v>
      </c>
    </row>
    <row r="841" spans="1:13" x14ac:dyDescent="0.25">
      <c r="A841" s="1">
        <v>44664</v>
      </c>
      <c r="B841" t="s">
        <v>25</v>
      </c>
      <c r="C841" t="s">
        <v>15</v>
      </c>
      <c r="D841" t="s">
        <v>17</v>
      </c>
      <c r="E841">
        <v>1046.01</v>
      </c>
      <c r="F841">
        <v>852.24</v>
      </c>
      <c r="G841">
        <v>8</v>
      </c>
      <c r="H841">
        <f t="shared" si="78"/>
        <v>8368.08</v>
      </c>
      <c r="I841">
        <f t="shared" si="82"/>
        <v>6817.92</v>
      </c>
      <c r="J841">
        <f t="shared" si="79"/>
        <v>1550.1599999999999</v>
      </c>
      <c r="K841" s="8">
        <f t="shared" si="80"/>
        <v>0.18524679496371926</v>
      </c>
      <c r="L841" t="str">
        <f t="shared" si="83"/>
        <v>2022-04</v>
      </c>
      <c r="M841">
        <f t="shared" si="81"/>
        <v>1550.1599999999999</v>
      </c>
    </row>
    <row r="842" spans="1:13" x14ac:dyDescent="0.25">
      <c r="A842" s="1">
        <v>45418</v>
      </c>
      <c r="B842" t="s">
        <v>12</v>
      </c>
      <c r="C842" t="s">
        <v>8</v>
      </c>
      <c r="D842" t="s">
        <v>18</v>
      </c>
      <c r="E842">
        <v>1655.37</v>
      </c>
      <c r="F842">
        <v>1469.43</v>
      </c>
      <c r="G842">
        <v>8</v>
      </c>
      <c r="H842">
        <f t="shared" si="78"/>
        <v>13242.96</v>
      </c>
      <c r="I842">
        <f t="shared" si="82"/>
        <v>11755.44</v>
      </c>
      <c r="J842">
        <f t="shared" si="79"/>
        <v>1487.5199999999986</v>
      </c>
      <c r="K842" s="8">
        <f t="shared" si="80"/>
        <v>0.11232534116239865</v>
      </c>
      <c r="L842" t="str">
        <f t="shared" si="83"/>
        <v>2024-05</v>
      </c>
      <c r="M842">
        <f t="shared" si="81"/>
        <v>1487.5199999999986</v>
      </c>
    </row>
    <row r="843" spans="1:13" x14ac:dyDescent="0.25">
      <c r="A843" s="1">
        <v>44639</v>
      </c>
      <c r="B843" t="s">
        <v>7</v>
      </c>
      <c r="C843" t="s">
        <v>8</v>
      </c>
      <c r="D843" t="s">
        <v>18</v>
      </c>
      <c r="E843">
        <v>908.43</v>
      </c>
      <c r="F843">
        <v>603.88</v>
      </c>
      <c r="G843">
        <v>5</v>
      </c>
      <c r="H843">
        <f t="shared" si="78"/>
        <v>4542.1499999999996</v>
      </c>
      <c r="I843">
        <f t="shared" si="82"/>
        <v>3019.4</v>
      </c>
      <c r="J843">
        <f t="shared" si="79"/>
        <v>1522.7499999999995</v>
      </c>
      <c r="K843" s="8">
        <f t="shared" si="80"/>
        <v>0.33524872582367371</v>
      </c>
      <c r="L843" t="str">
        <f t="shared" si="83"/>
        <v>2022-03</v>
      </c>
      <c r="M843">
        <f t="shared" si="81"/>
        <v>1522.7499999999995</v>
      </c>
    </row>
    <row r="844" spans="1:13" x14ac:dyDescent="0.25">
      <c r="A844" s="1">
        <v>45366</v>
      </c>
      <c r="B844" t="s">
        <v>22</v>
      </c>
      <c r="C844" t="s">
        <v>8</v>
      </c>
      <c r="D844" t="s">
        <v>9</v>
      </c>
      <c r="E844">
        <v>1969.88</v>
      </c>
      <c r="F844">
        <v>1572.94</v>
      </c>
      <c r="G844">
        <v>1</v>
      </c>
      <c r="H844">
        <f t="shared" si="78"/>
        <v>1969.88</v>
      </c>
      <c r="I844">
        <f t="shared" si="82"/>
        <v>1572.94</v>
      </c>
      <c r="J844">
        <f t="shared" si="79"/>
        <v>396.94000000000005</v>
      </c>
      <c r="K844" s="8">
        <f t="shared" si="80"/>
        <v>0.20150466018234614</v>
      </c>
      <c r="L844" t="str">
        <f t="shared" si="83"/>
        <v>2024-03</v>
      </c>
      <c r="M844">
        <f t="shared" si="81"/>
        <v>396.94000000000005</v>
      </c>
    </row>
    <row r="845" spans="1:13" x14ac:dyDescent="0.25">
      <c r="A845" s="1">
        <v>45286</v>
      </c>
      <c r="B845" t="s">
        <v>21</v>
      </c>
      <c r="C845" t="s">
        <v>20</v>
      </c>
      <c r="D845" t="s">
        <v>13</v>
      </c>
      <c r="E845">
        <v>1558.93</v>
      </c>
      <c r="F845">
        <v>1116.58</v>
      </c>
      <c r="G845">
        <v>6</v>
      </c>
      <c r="H845">
        <f t="shared" si="78"/>
        <v>9353.58</v>
      </c>
      <c r="I845">
        <f t="shared" si="82"/>
        <v>6699.48</v>
      </c>
      <c r="J845">
        <f t="shared" si="79"/>
        <v>2654.1000000000004</v>
      </c>
      <c r="K845" s="8">
        <f t="shared" si="80"/>
        <v>0.28375231729455463</v>
      </c>
      <c r="L845" t="str">
        <f t="shared" si="83"/>
        <v>2023-12</v>
      </c>
      <c r="M845">
        <f t="shared" si="81"/>
        <v>2654.1000000000004</v>
      </c>
    </row>
    <row r="846" spans="1:13" x14ac:dyDescent="0.25">
      <c r="A846" s="1">
        <v>44970</v>
      </c>
      <c r="B846" t="s">
        <v>7</v>
      </c>
      <c r="C846" t="s">
        <v>8</v>
      </c>
      <c r="D846" t="s">
        <v>9</v>
      </c>
      <c r="E846">
        <v>345.48</v>
      </c>
      <c r="F846">
        <v>230.17</v>
      </c>
      <c r="G846">
        <v>9</v>
      </c>
      <c r="H846">
        <f t="shared" si="78"/>
        <v>3109.32</v>
      </c>
      <c r="I846">
        <f t="shared" si="82"/>
        <v>2071.5299999999997</v>
      </c>
      <c r="J846">
        <f t="shared" si="79"/>
        <v>1037.7900000000004</v>
      </c>
      <c r="K846" s="8">
        <f t="shared" si="80"/>
        <v>0.33376751186754672</v>
      </c>
      <c r="L846" t="str">
        <f t="shared" si="83"/>
        <v>2023-02</v>
      </c>
      <c r="M846">
        <f t="shared" si="81"/>
        <v>1037.7900000000004</v>
      </c>
    </row>
    <row r="847" spans="1:13" x14ac:dyDescent="0.25">
      <c r="A847" s="1">
        <v>45066</v>
      </c>
      <c r="B847" t="s">
        <v>12</v>
      </c>
      <c r="C847" t="s">
        <v>8</v>
      </c>
      <c r="D847" t="s">
        <v>17</v>
      </c>
      <c r="E847">
        <v>583.87</v>
      </c>
      <c r="F847">
        <v>349.35</v>
      </c>
      <c r="G847">
        <v>1</v>
      </c>
      <c r="H847">
        <f t="shared" si="78"/>
        <v>583.87</v>
      </c>
      <c r="I847">
        <f t="shared" si="82"/>
        <v>349.35</v>
      </c>
      <c r="J847">
        <f t="shared" si="79"/>
        <v>234.51999999999998</v>
      </c>
      <c r="K847" s="8">
        <f t="shared" si="80"/>
        <v>0.40166475414047642</v>
      </c>
      <c r="L847" t="str">
        <f t="shared" si="83"/>
        <v>2023-05</v>
      </c>
      <c r="M847">
        <f t="shared" si="81"/>
        <v>234.51999999999998</v>
      </c>
    </row>
    <row r="848" spans="1:13" x14ac:dyDescent="0.25">
      <c r="A848" s="1">
        <v>44963</v>
      </c>
      <c r="B848" t="s">
        <v>22</v>
      </c>
      <c r="C848" t="s">
        <v>8</v>
      </c>
      <c r="D848" t="s">
        <v>9</v>
      </c>
      <c r="E848">
        <v>1050.5</v>
      </c>
      <c r="F848">
        <v>703.28</v>
      </c>
      <c r="G848">
        <v>9</v>
      </c>
      <c r="H848">
        <f t="shared" si="78"/>
        <v>9454.5</v>
      </c>
      <c r="I848">
        <f t="shared" si="82"/>
        <v>6329.5199999999995</v>
      </c>
      <c r="J848">
        <f t="shared" si="79"/>
        <v>3124.9800000000005</v>
      </c>
      <c r="K848" s="8">
        <f t="shared" si="80"/>
        <v>0.3305283198476916</v>
      </c>
      <c r="L848" t="str">
        <f t="shared" si="83"/>
        <v>2023-02</v>
      </c>
      <c r="M848">
        <f t="shared" si="81"/>
        <v>3124.9800000000005</v>
      </c>
    </row>
    <row r="849" spans="1:13" x14ac:dyDescent="0.25">
      <c r="A849" s="1">
        <v>44640</v>
      </c>
      <c r="B849" t="s">
        <v>12</v>
      </c>
      <c r="C849" t="s">
        <v>8</v>
      </c>
      <c r="D849" t="s">
        <v>13</v>
      </c>
      <c r="E849">
        <v>401.32</v>
      </c>
      <c r="F849">
        <v>293.98</v>
      </c>
      <c r="G849">
        <v>4</v>
      </c>
      <c r="H849">
        <f t="shared" si="78"/>
        <v>1605.28</v>
      </c>
      <c r="I849">
        <f t="shared" si="82"/>
        <v>1175.92</v>
      </c>
      <c r="J849">
        <f t="shared" si="79"/>
        <v>429.3599999999999</v>
      </c>
      <c r="K849" s="8">
        <f t="shared" si="80"/>
        <v>0.26746735771952551</v>
      </c>
      <c r="L849" t="str">
        <f t="shared" si="83"/>
        <v>2022-03</v>
      </c>
      <c r="M849">
        <f t="shared" si="81"/>
        <v>429.3599999999999</v>
      </c>
    </row>
    <row r="850" spans="1:13" x14ac:dyDescent="0.25">
      <c r="A850" s="1">
        <v>44684</v>
      </c>
      <c r="B850" t="s">
        <v>24</v>
      </c>
      <c r="C850" t="s">
        <v>20</v>
      </c>
      <c r="D850" t="s">
        <v>13</v>
      </c>
      <c r="E850">
        <v>256.88</v>
      </c>
      <c r="F850">
        <v>161.41</v>
      </c>
      <c r="G850">
        <v>10</v>
      </c>
      <c r="H850">
        <f t="shared" si="78"/>
        <v>2568.8000000000002</v>
      </c>
      <c r="I850">
        <f t="shared" si="82"/>
        <v>1614.1</v>
      </c>
      <c r="J850">
        <f t="shared" si="79"/>
        <v>954.70000000000027</v>
      </c>
      <c r="K850" s="8">
        <f t="shared" si="80"/>
        <v>0.37165213329180946</v>
      </c>
      <c r="L850" t="str">
        <f t="shared" si="83"/>
        <v>2022-05</v>
      </c>
      <c r="M850">
        <f t="shared" si="81"/>
        <v>954.70000000000027</v>
      </c>
    </row>
    <row r="851" spans="1:13" x14ac:dyDescent="0.25">
      <c r="A851" s="1">
        <v>44901</v>
      </c>
      <c r="B851" t="s">
        <v>21</v>
      </c>
      <c r="C851" t="s">
        <v>20</v>
      </c>
      <c r="D851" t="s">
        <v>13</v>
      </c>
      <c r="E851">
        <v>1167.74</v>
      </c>
      <c r="F851">
        <v>596.29</v>
      </c>
      <c r="G851">
        <v>10</v>
      </c>
      <c r="H851">
        <f t="shared" si="78"/>
        <v>11677.4</v>
      </c>
      <c r="I851">
        <f t="shared" si="82"/>
        <v>5962.9</v>
      </c>
      <c r="J851">
        <f t="shared" si="79"/>
        <v>5714.5</v>
      </c>
      <c r="K851" s="8">
        <f t="shared" si="80"/>
        <v>0.48936407076917809</v>
      </c>
      <c r="L851" t="str">
        <f t="shared" si="83"/>
        <v>2022-12</v>
      </c>
      <c r="M851">
        <f t="shared" si="81"/>
        <v>5714.5</v>
      </c>
    </row>
    <row r="852" spans="1:13" x14ac:dyDescent="0.25">
      <c r="A852" s="1">
        <v>45325</v>
      </c>
      <c r="B852" t="s">
        <v>22</v>
      </c>
      <c r="C852" t="s">
        <v>8</v>
      </c>
      <c r="D852" t="s">
        <v>9</v>
      </c>
      <c r="E852">
        <v>1007.7</v>
      </c>
      <c r="F852">
        <v>777.54</v>
      </c>
      <c r="G852">
        <v>5</v>
      </c>
      <c r="H852">
        <f t="shared" si="78"/>
        <v>5038.5</v>
      </c>
      <c r="I852">
        <f t="shared" si="82"/>
        <v>3887.7</v>
      </c>
      <c r="J852">
        <f t="shared" si="79"/>
        <v>1150.8000000000002</v>
      </c>
      <c r="K852" s="8">
        <f t="shared" si="80"/>
        <v>0.22840130991366481</v>
      </c>
      <c r="L852" t="str">
        <f t="shared" si="83"/>
        <v>2024-02</v>
      </c>
      <c r="M852">
        <f t="shared" si="81"/>
        <v>1150.8000000000002</v>
      </c>
    </row>
    <row r="853" spans="1:13" x14ac:dyDescent="0.25">
      <c r="A853" s="1">
        <v>45094</v>
      </c>
      <c r="B853" t="s">
        <v>7</v>
      </c>
      <c r="C853" t="s">
        <v>8</v>
      </c>
      <c r="D853" t="s">
        <v>9</v>
      </c>
      <c r="E853">
        <v>1706.91</v>
      </c>
      <c r="F853">
        <v>1298.08</v>
      </c>
      <c r="G853">
        <v>6</v>
      </c>
      <c r="H853">
        <f t="shared" si="78"/>
        <v>10241.460000000001</v>
      </c>
      <c r="I853">
        <f t="shared" si="82"/>
        <v>7788.48</v>
      </c>
      <c r="J853">
        <f t="shared" si="79"/>
        <v>2452.9800000000014</v>
      </c>
      <c r="K853" s="8">
        <f t="shared" si="80"/>
        <v>0.23951467857121944</v>
      </c>
      <c r="L853" t="str">
        <f t="shared" si="83"/>
        <v>2023-06</v>
      </c>
      <c r="M853">
        <f t="shared" si="81"/>
        <v>2452.9800000000014</v>
      </c>
    </row>
    <row r="854" spans="1:13" x14ac:dyDescent="0.25">
      <c r="A854" s="1">
        <v>44767</v>
      </c>
      <c r="B854" t="s">
        <v>24</v>
      </c>
      <c r="C854" t="s">
        <v>20</v>
      </c>
      <c r="D854" t="s">
        <v>13</v>
      </c>
      <c r="E854">
        <v>1167.67</v>
      </c>
      <c r="F854">
        <v>773.59</v>
      </c>
      <c r="G854">
        <v>5</v>
      </c>
      <c r="H854">
        <f t="shared" si="78"/>
        <v>5838.35</v>
      </c>
      <c r="I854">
        <f t="shared" si="82"/>
        <v>3867.9500000000003</v>
      </c>
      <c r="J854">
        <f t="shared" si="79"/>
        <v>1970.4</v>
      </c>
      <c r="K854" s="8">
        <f t="shared" si="80"/>
        <v>0.33749261349525123</v>
      </c>
      <c r="L854" t="str">
        <f t="shared" si="83"/>
        <v>2022-07</v>
      </c>
      <c r="M854">
        <f t="shared" si="81"/>
        <v>1970.4</v>
      </c>
    </row>
    <row r="855" spans="1:13" x14ac:dyDescent="0.25">
      <c r="A855" s="1">
        <v>44728</v>
      </c>
      <c r="B855" t="s">
        <v>14</v>
      </c>
      <c r="C855" t="s">
        <v>15</v>
      </c>
      <c r="D855" t="s">
        <v>9</v>
      </c>
      <c r="E855">
        <v>822.04</v>
      </c>
      <c r="F855">
        <v>551.04999999999995</v>
      </c>
      <c r="G855">
        <v>10</v>
      </c>
      <c r="H855">
        <f t="shared" si="78"/>
        <v>8220.4</v>
      </c>
      <c r="I855">
        <f t="shared" si="82"/>
        <v>5510.5</v>
      </c>
      <c r="J855">
        <f t="shared" si="79"/>
        <v>2709.8999999999996</v>
      </c>
      <c r="K855" s="8">
        <f t="shared" si="80"/>
        <v>0.32965549121697241</v>
      </c>
      <c r="L855" t="str">
        <f t="shared" si="83"/>
        <v>2022-06</v>
      </c>
      <c r="M855">
        <f t="shared" si="81"/>
        <v>2709.8999999999996</v>
      </c>
    </row>
    <row r="856" spans="1:13" x14ac:dyDescent="0.25">
      <c r="A856" s="1">
        <v>45099</v>
      </c>
      <c r="B856" t="s">
        <v>19</v>
      </c>
      <c r="C856" t="s">
        <v>20</v>
      </c>
      <c r="D856" t="s">
        <v>18</v>
      </c>
      <c r="E856">
        <v>1753.69</v>
      </c>
      <c r="F856">
        <v>1528.59</v>
      </c>
      <c r="G856">
        <v>7</v>
      </c>
      <c r="H856">
        <f t="shared" si="78"/>
        <v>12275.83</v>
      </c>
      <c r="I856">
        <f t="shared" si="82"/>
        <v>10700.13</v>
      </c>
      <c r="J856">
        <f t="shared" si="79"/>
        <v>1575.7000000000007</v>
      </c>
      <c r="K856" s="8">
        <f t="shared" si="80"/>
        <v>0.12835791958670009</v>
      </c>
      <c r="L856" t="str">
        <f t="shared" si="83"/>
        <v>2023-06</v>
      </c>
      <c r="M856">
        <f t="shared" si="81"/>
        <v>1575.7000000000007</v>
      </c>
    </row>
    <row r="857" spans="1:13" x14ac:dyDescent="0.25">
      <c r="A857" s="1">
        <v>45421</v>
      </c>
      <c r="B857" t="s">
        <v>16</v>
      </c>
      <c r="C857" t="s">
        <v>15</v>
      </c>
      <c r="D857" t="s">
        <v>17</v>
      </c>
      <c r="E857">
        <v>1048.1500000000001</v>
      </c>
      <c r="F857">
        <v>903.16</v>
      </c>
      <c r="G857">
        <v>2</v>
      </c>
      <c r="H857">
        <f t="shared" si="78"/>
        <v>2096.3000000000002</v>
      </c>
      <c r="I857">
        <f t="shared" si="82"/>
        <v>1806.32</v>
      </c>
      <c r="J857">
        <f t="shared" si="79"/>
        <v>289.98000000000025</v>
      </c>
      <c r="K857" s="8">
        <f t="shared" si="80"/>
        <v>0.13832943758049909</v>
      </c>
      <c r="L857" t="str">
        <f t="shared" si="83"/>
        <v>2024-05</v>
      </c>
      <c r="M857">
        <f t="shared" si="81"/>
        <v>289.98000000000025</v>
      </c>
    </row>
    <row r="858" spans="1:13" x14ac:dyDescent="0.25">
      <c r="A858" s="1">
        <v>45014</v>
      </c>
      <c r="B858" t="s">
        <v>22</v>
      </c>
      <c r="C858" t="s">
        <v>8</v>
      </c>
      <c r="D858" t="s">
        <v>17</v>
      </c>
      <c r="E858">
        <v>1177.75</v>
      </c>
      <c r="F858">
        <v>645.09</v>
      </c>
      <c r="G858">
        <v>7</v>
      </c>
      <c r="H858">
        <f t="shared" si="78"/>
        <v>8244.25</v>
      </c>
      <c r="I858">
        <f t="shared" si="82"/>
        <v>4515.63</v>
      </c>
      <c r="J858">
        <f t="shared" si="79"/>
        <v>3728.62</v>
      </c>
      <c r="K858" s="8">
        <f t="shared" si="80"/>
        <v>0.45226915729144557</v>
      </c>
      <c r="L858" t="str">
        <f t="shared" si="83"/>
        <v>2023-03</v>
      </c>
      <c r="M858">
        <f t="shared" si="81"/>
        <v>3728.62</v>
      </c>
    </row>
    <row r="859" spans="1:13" x14ac:dyDescent="0.25">
      <c r="A859" s="1">
        <v>44736</v>
      </c>
      <c r="B859" t="s">
        <v>21</v>
      </c>
      <c r="C859" t="s">
        <v>20</v>
      </c>
      <c r="D859" t="s">
        <v>18</v>
      </c>
      <c r="E859">
        <v>1249.48</v>
      </c>
      <c r="F859">
        <v>991.53</v>
      </c>
      <c r="G859">
        <v>9</v>
      </c>
      <c r="H859">
        <f t="shared" si="78"/>
        <v>11245.32</v>
      </c>
      <c r="I859">
        <f t="shared" si="82"/>
        <v>8923.77</v>
      </c>
      <c r="J859">
        <f t="shared" si="79"/>
        <v>2321.5499999999993</v>
      </c>
      <c r="K859" s="8">
        <f t="shared" si="80"/>
        <v>0.2064458814866984</v>
      </c>
      <c r="L859" t="str">
        <f t="shared" si="83"/>
        <v>2022-06</v>
      </c>
      <c r="M859">
        <f t="shared" si="81"/>
        <v>2321.5499999999993</v>
      </c>
    </row>
    <row r="860" spans="1:13" x14ac:dyDescent="0.25">
      <c r="A860" s="1">
        <v>45441</v>
      </c>
      <c r="B860" t="s">
        <v>19</v>
      </c>
      <c r="C860" t="s">
        <v>20</v>
      </c>
      <c r="D860" t="s">
        <v>13</v>
      </c>
      <c r="E860">
        <v>95.41</v>
      </c>
      <c r="F860">
        <v>69.02</v>
      </c>
      <c r="G860">
        <v>7</v>
      </c>
      <c r="H860">
        <f t="shared" si="78"/>
        <v>667.87</v>
      </c>
      <c r="I860">
        <f t="shared" si="82"/>
        <v>483.14</v>
      </c>
      <c r="J860">
        <f t="shared" si="79"/>
        <v>184.73000000000002</v>
      </c>
      <c r="K860" s="8">
        <f t="shared" si="80"/>
        <v>0.27659574468085107</v>
      </c>
      <c r="L860" t="str">
        <f t="shared" si="83"/>
        <v>2024-05</v>
      </c>
      <c r="M860">
        <f t="shared" si="81"/>
        <v>184.73000000000002</v>
      </c>
    </row>
    <row r="861" spans="1:13" x14ac:dyDescent="0.25">
      <c r="A861" s="1">
        <v>45461</v>
      </c>
      <c r="B861" t="s">
        <v>23</v>
      </c>
      <c r="C861" t="s">
        <v>11</v>
      </c>
      <c r="D861" t="s">
        <v>17</v>
      </c>
      <c r="E861">
        <v>1344.58</v>
      </c>
      <c r="F861">
        <v>1068.26</v>
      </c>
      <c r="G861">
        <v>7</v>
      </c>
      <c r="H861">
        <f t="shared" si="78"/>
        <v>9412.06</v>
      </c>
      <c r="I861">
        <f t="shared" si="82"/>
        <v>7477.82</v>
      </c>
      <c r="J861">
        <f t="shared" si="79"/>
        <v>1934.2399999999998</v>
      </c>
      <c r="K861" s="8">
        <f t="shared" si="80"/>
        <v>0.20550655223192371</v>
      </c>
      <c r="L861" t="str">
        <f t="shared" si="83"/>
        <v>2024-06</v>
      </c>
      <c r="M861">
        <f t="shared" si="81"/>
        <v>1934.2399999999998</v>
      </c>
    </row>
    <row r="862" spans="1:13" x14ac:dyDescent="0.25">
      <c r="A862" s="1">
        <v>44822</v>
      </c>
      <c r="B862" t="s">
        <v>7</v>
      </c>
      <c r="C862" t="s">
        <v>8</v>
      </c>
      <c r="D862" t="s">
        <v>13</v>
      </c>
      <c r="E862">
        <v>1552.55</v>
      </c>
      <c r="F862">
        <v>1214.02</v>
      </c>
      <c r="G862">
        <v>5</v>
      </c>
      <c r="H862">
        <f t="shared" si="78"/>
        <v>7762.75</v>
      </c>
      <c r="I862">
        <f t="shared" si="82"/>
        <v>6070.1</v>
      </c>
      <c r="J862">
        <f t="shared" si="79"/>
        <v>1692.6499999999996</v>
      </c>
      <c r="K862" s="8">
        <f t="shared" si="80"/>
        <v>0.21804772793146754</v>
      </c>
      <c r="L862" t="str">
        <f t="shared" si="83"/>
        <v>2022-09</v>
      </c>
      <c r="M862">
        <f t="shared" si="81"/>
        <v>1692.6499999999996</v>
      </c>
    </row>
    <row r="863" spans="1:13" x14ac:dyDescent="0.25">
      <c r="A863" s="1">
        <v>45322</v>
      </c>
      <c r="B863" t="s">
        <v>22</v>
      </c>
      <c r="C863" t="s">
        <v>8</v>
      </c>
      <c r="D863" t="s">
        <v>9</v>
      </c>
      <c r="E863">
        <v>1709.38</v>
      </c>
      <c r="F863">
        <v>902.13</v>
      </c>
      <c r="G863">
        <v>1</v>
      </c>
      <c r="H863">
        <f t="shared" si="78"/>
        <v>1709.38</v>
      </c>
      <c r="I863">
        <f t="shared" si="82"/>
        <v>902.13</v>
      </c>
      <c r="J863">
        <f t="shared" si="79"/>
        <v>807.25000000000011</v>
      </c>
      <c r="K863" s="8">
        <f t="shared" si="80"/>
        <v>0.47224724754004377</v>
      </c>
      <c r="L863" t="str">
        <f t="shared" si="83"/>
        <v>2024-01</v>
      </c>
      <c r="M863">
        <f t="shared" si="81"/>
        <v>807.25000000000011</v>
      </c>
    </row>
    <row r="864" spans="1:13" x14ac:dyDescent="0.25">
      <c r="A864" s="1">
        <v>44594</v>
      </c>
      <c r="B864" t="s">
        <v>14</v>
      </c>
      <c r="C864" t="s">
        <v>15</v>
      </c>
      <c r="D864" t="s">
        <v>17</v>
      </c>
      <c r="E864">
        <v>1462.64</v>
      </c>
      <c r="F864">
        <v>1240.02</v>
      </c>
      <c r="G864">
        <v>8</v>
      </c>
      <c r="H864">
        <f t="shared" si="78"/>
        <v>11701.12</v>
      </c>
      <c r="I864">
        <f t="shared" si="82"/>
        <v>9920.16</v>
      </c>
      <c r="J864">
        <f t="shared" si="79"/>
        <v>1780.9600000000009</v>
      </c>
      <c r="K864" s="8">
        <f t="shared" si="80"/>
        <v>0.15220423344090145</v>
      </c>
      <c r="L864" t="str">
        <f t="shared" si="83"/>
        <v>2022-02</v>
      </c>
      <c r="M864">
        <f t="shared" si="81"/>
        <v>1780.9600000000009</v>
      </c>
    </row>
    <row r="865" spans="1:13" x14ac:dyDescent="0.25">
      <c r="A865" s="1">
        <v>44981</v>
      </c>
      <c r="B865" t="s">
        <v>14</v>
      </c>
      <c r="C865" t="s">
        <v>15</v>
      </c>
      <c r="D865" t="s">
        <v>18</v>
      </c>
      <c r="E865">
        <v>40.81</v>
      </c>
      <c r="F865">
        <v>31.2</v>
      </c>
      <c r="G865">
        <v>3</v>
      </c>
      <c r="H865">
        <f t="shared" si="78"/>
        <v>122.43</v>
      </c>
      <c r="I865">
        <f t="shared" si="82"/>
        <v>93.6</v>
      </c>
      <c r="J865">
        <f t="shared" si="79"/>
        <v>28.830000000000013</v>
      </c>
      <c r="K865" s="8">
        <f t="shared" si="80"/>
        <v>0.23548149963244311</v>
      </c>
      <c r="L865" t="str">
        <f t="shared" si="83"/>
        <v>2023-02</v>
      </c>
      <c r="M865">
        <f t="shared" si="81"/>
        <v>28.830000000000013</v>
      </c>
    </row>
    <row r="866" spans="1:13" x14ac:dyDescent="0.25">
      <c r="A866" s="1">
        <v>45465</v>
      </c>
      <c r="B866" t="s">
        <v>19</v>
      </c>
      <c r="C866" t="s">
        <v>20</v>
      </c>
      <c r="D866" t="s">
        <v>13</v>
      </c>
      <c r="E866">
        <v>115.98</v>
      </c>
      <c r="F866">
        <v>79.650000000000006</v>
      </c>
      <c r="G866">
        <v>5</v>
      </c>
      <c r="H866">
        <f t="shared" si="78"/>
        <v>579.9</v>
      </c>
      <c r="I866">
        <f t="shared" si="82"/>
        <v>398.25</v>
      </c>
      <c r="J866">
        <f t="shared" si="79"/>
        <v>181.64999999999998</v>
      </c>
      <c r="K866" s="8">
        <f t="shared" si="80"/>
        <v>0.31324366270046555</v>
      </c>
      <c r="L866" t="str">
        <f t="shared" si="83"/>
        <v>2024-06</v>
      </c>
      <c r="M866">
        <f t="shared" si="81"/>
        <v>181.64999999999998</v>
      </c>
    </row>
    <row r="867" spans="1:13" x14ac:dyDescent="0.25">
      <c r="A867" s="1">
        <v>45637</v>
      </c>
      <c r="B867" t="s">
        <v>22</v>
      </c>
      <c r="C867" t="s">
        <v>8</v>
      </c>
      <c r="D867" t="s">
        <v>9</v>
      </c>
      <c r="E867">
        <v>1013.84</v>
      </c>
      <c r="F867">
        <v>620.41999999999996</v>
      </c>
      <c r="G867">
        <v>3</v>
      </c>
      <c r="H867">
        <f t="shared" si="78"/>
        <v>3041.52</v>
      </c>
      <c r="I867">
        <f t="shared" si="82"/>
        <v>1861.2599999999998</v>
      </c>
      <c r="J867">
        <f t="shared" si="79"/>
        <v>1180.2600000000002</v>
      </c>
      <c r="K867" s="8">
        <f t="shared" si="80"/>
        <v>0.3880493963544544</v>
      </c>
      <c r="L867" t="str">
        <f t="shared" si="83"/>
        <v>2024-12</v>
      </c>
      <c r="M867">
        <f t="shared" si="81"/>
        <v>1180.2600000000002</v>
      </c>
    </row>
    <row r="868" spans="1:13" x14ac:dyDescent="0.25">
      <c r="A868" s="1">
        <v>45151</v>
      </c>
      <c r="B868" t="s">
        <v>7</v>
      </c>
      <c r="C868" t="s">
        <v>8</v>
      </c>
      <c r="D868" t="s">
        <v>18</v>
      </c>
      <c r="E868">
        <v>1837.42</v>
      </c>
      <c r="F868">
        <v>1495.72</v>
      </c>
      <c r="G868">
        <v>8</v>
      </c>
      <c r="H868">
        <f t="shared" si="78"/>
        <v>14699.36</v>
      </c>
      <c r="I868">
        <f t="shared" si="82"/>
        <v>11965.76</v>
      </c>
      <c r="J868">
        <f t="shared" si="79"/>
        <v>2733.6000000000004</v>
      </c>
      <c r="K868" s="8">
        <f t="shared" si="80"/>
        <v>0.18596728020811792</v>
      </c>
      <c r="L868" t="str">
        <f t="shared" si="83"/>
        <v>2023-08</v>
      </c>
      <c r="M868">
        <f t="shared" si="81"/>
        <v>2733.6000000000004</v>
      </c>
    </row>
    <row r="869" spans="1:13" x14ac:dyDescent="0.25">
      <c r="A869" s="1">
        <v>45482</v>
      </c>
      <c r="B869" t="s">
        <v>16</v>
      </c>
      <c r="C869" t="s">
        <v>15</v>
      </c>
      <c r="D869" t="s">
        <v>13</v>
      </c>
      <c r="E869">
        <v>869.8</v>
      </c>
      <c r="F869">
        <v>652.88</v>
      </c>
      <c r="G869">
        <v>5</v>
      </c>
      <c r="H869">
        <f t="shared" si="78"/>
        <v>4349</v>
      </c>
      <c r="I869">
        <f t="shared" si="82"/>
        <v>3264.4</v>
      </c>
      <c r="J869">
        <f t="shared" si="79"/>
        <v>1084.5999999999999</v>
      </c>
      <c r="K869" s="8">
        <f t="shared" si="80"/>
        <v>0.24939066452057942</v>
      </c>
      <c r="L869" t="str">
        <f t="shared" si="83"/>
        <v>2024-07</v>
      </c>
      <c r="M869">
        <f t="shared" si="81"/>
        <v>1084.5999999999999</v>
      </c>
    </row>
    <row r="870" spans="1:13" x14ac:dyDescent="0.25">
      <c r="A870" s="1">
        <v>45528</v>
      </c>
      <c r="B870" t="s">
        <v>14</v>
      </c>
      <c r="C870" t="s">
        <v>15</v>
      </c>
      <c r="D870" t="s">
        <v>13</v>
      </c>
      <c r="E870">
        <v>870.2</v>
      </c>
      <c r="F870">
        <v>511.07</v>
      </c>
      <c r="G870">
        <v>6</v>
      </c>
      <c r="H870">
        <f t="shared" si="78"/>
        <v>5221.2000000000007</v>
      </c>
      <c r="I870">
        <f t="shared" si="82"/>
        <v>3066.42</v>
      </c>
      <c r="J870">
        <f t="shared" si="79"/>
        <v>2154.7800000000007</v>
      </c>
      <c r="K870" s="8">
        <f t="shared" si="80"/>
        <v>0.41269823029188701</v>
      </c>
      <c r="L870" t="str">
        <f t="shared" si="83"/>
        <v>2024-08</v>
      </c>
      <c r="M870">
        <f t="shared" si="81"/>
        <v>2154.7800000000007</v>
      </c>
    </row>
    <row r="871" spans="1:13" x14ac:dyDescent="0.25">
      <c r="A871" s="1">
        <v>45434</v>
      </c>
      <c r="B871" t="s">
        <v>10</v>
      </c>
      <c r="C871" t="s">
        <v>11</v>
      </c>
      <c r="D871" t="s">
        <v>17</v>
      </c>
      <c r="E871">
        <v>965.07</v>
      </c>
      <c r="F871">
        <v>749.17</v>
      </c>
      <c r="G871">
        <v>2</v>
      </c>
      <c r="H871">
        <f t="shared" si="78"/>
        <v>1930.14</v>
      </c>
      <c r="I871">
        <f t="shared" si="82"/>
        <v>1498.34</v>
      </c>
      <c r="J871">
        <f t="shared" si="79"/>
        <v>431.80000000000018</v>
      </c>
      <c r="K871" s="8">
        <f t="shared" si="80"/>
        <v>0.22371434196483164</v>
      </c>
      <c r="L871" t="str">
        <f t="shared" si="83"/>
        <v>2024-05</v>
      </c>
      <c r="M871">
        <f t="shared" si="81"/>
        <v>431.80000000000018</v>
      </c>
    </row>
    <row r="872" spans="1:13" x14ac:dyDescent="0.25">
      <c r="A872" s="1">
        <v>45608</v>
      </c>
      <c r="B872" t="s">
        <v>25</v>
      </c>
      <c r="C872" t="s">
        <v>15</v>
      </c>
      <c r="D872" t="s">
        <v>13</v>
      </c>
      <c r="E872">
        <v>1552.46</v>
      </c>
      <c r="F872">
        <v>1076.48</v>
      </c>
      <c r="G872">
        <v>9</v>
      </c>
      <c r="H872">
        <f t="shared" si="78"/>
        <v>13972.14</v>
      </c>
      <c r="I872">
        <f t="shared" si="82"/>
        <v>9688.32</v>
      </c>
      <c r="J872">
        <f t="shared" si="79"/>
        <v>4283.82</v>
      </c>
      <c r="K872" s="8">
        <f t="shared" si="80"/>
        <v>0.30659727142728316</v>
      </c>
      <c r="L872" t="str">
        <f t="shared" si="83"/>
        <v>2024-11</v>
      </c>
      <c r="M872">
        <f t="shared" si="81"/>
        <v>4283.82</v>
      </c>
    </row>
    <row r="873" spans="1:13" x14ac:dyDescent="0.25">
      <c r="A873" s="1">
        <v>44765</v>
      </c>
      <c r="B873" t="s">
        <v>21</v>
      </c>
      <c r="C873" t="s">
        <v>20</v>
      </c>
      <c r="D873" t="s">
        <v>13</v>
      </c>
      <c r="E873">
        <v>1393.33</v>
      </c>
      <c r="F873">
        <v>853.65</v>
      </c>
      <c r="G873">
        <v>6</v>
      </c>
      <c r="H873">
        <f t="shared" si="78"/>
        <v>8359.98</v>
      </c>
      <c r="I873">
        <f t="shared" si="82"/>
        <v>5121.8999999999996</v>
      </c>
      <c r="J873">
        <f t="shared" si="79"/>
        <v>3238.08</v>
      </c>
      <c r="K873" s="8">
        <f t="shared" si="80"/>
        <v>0.38733107017002433</v>
      </c>
      <c r="L873" t="str">
        <f t="shared" si="83"/>
        <v>2022-07</v>
      </c>
      <c r="M873">
        <f t="shared" si="81"/>
        <v>3238.08</v>
      </c>
    </row>
    <row r="874" spans="1:13" x14ac:dyDescent="0.25">
      <c r="A874" s="1">
        <v>44881</v>
      </c>
      <c r="B874" t="s">
        <v>16</v>
      </c>
      <c r="C874" t="s">
        <v>15</v>
      </c>
      <c r="D874" t="s">
        <v>18</v>
      </c>
      <c r="E874">
        <v>940.42</v>
      </c>
      <c r="F874">
        <v>576.51</v>
      </c>
      <c r="G874">
        <v>3</v>
      </c>
      <c r="H874">
        <f t="shared" si="78"/>
        <v>2821.2599999999998</v>
      </c>
      <c r="I874">
        <f t="shared" si="82"/>
        <v>1729.53</v>
      </c>
      <c r="J874">
        <f t="shared" si="79"/>
        <v>1091.7299999999998</v>
      </c>
      <c r="K874" s="8">
        <f t="shared" si="80"/>
        <v>0.3869653984389953</v>
      </c>
      <c r="L874" t="str">
        <f t="shared" si="83"/>
        <v>2022-11</v>
      </c>
      <c r="M874">
        <f t="shared" si="81"/>
        <v>1091.7299999999998</v>
      </c>
    </row>
    <row r="875" spans="1:13" x14ac:dyDescent="0.25">
      <c r="A875" s="1">
        <v>45043</v>
      </c>
      <c r="B875" t="s">
        <v>21</v>
      </c>
      <c r="C875" t="s">
        <v>20</v>
      </c>
      <c r="D875" t="s">
        <v>13</v>
      </c>
      <c r="E875">
        <v>565.27</v>
      </c>
      <c r="F875">
        <v>284.8</v>
      </c>
      <c r="G875">
        <v>2</v>
      </c>
      <c r="H875">
        <f t="shared" si="78"/>
        <v>1130.54</v>
      </c>
      <c r="I875">
        <f t="shared" si="82"/>
        <v>569.6</v>
      </c>
      <c r="J875">
        <f t="shared" si="79"/>
        <v>560.93999999999994</v>
      </c>
      <c r="K875" s="8">
        <f t="shared" si="80"/>
        <v>0.4961699718718488</v>
      </c>
      <c r="L875" t="str">
        <f t="shared" si="83"/>
        <v>2023-04</v>
      </c>
      <c r="M875">
        <f t="shared" si="81"/>
        <v>560.93999999999994</v>
      </c>
    </row>
    <row r="876" spans="1:13" x14ac:dyDescent="0.25">
      <c r="A876" s="1">
        <v>44752</v>
      </c>
      <c r="B876" t="s">
        <v>14</v>
      </c>
      <c r="C876" t="s">
        <v>15</v>
      </c>
      <c r="D876" t="s">
        <v>17</v>
      </c>
      <c r="E876">
        <v>1092.5899999999999</v>
      </c>
      <c r="F876">
        <v>816.65</v>
      </c>
      <c r="G876">
        <v>6</v>
      </c>
      <c r="H876">
        <f t="shared" si="78"/>
        <v>6555.5399999999991</v>
      </c>
      <c r="I876">
        <f t="shared" si="82"/>
        <v>4899.8999999999996</v>
      </c>
      <c r="J876">
        <f t="shared" si="79"/>
        <v>1655.6399999999994</v>
      </c>
      <c r="K876" s="8">
        <f t="shared" si="80"/>
        <v>0.25255585352236426</v>
      </c>
      <c r="L876" t="str">
        <f t="shared" si="83"/>
        <v>2022-07</v>
      </c>
      <c r="M876">
        <f t="shared" si="81"/>
        <v>1655.6399999999994</v>
      </c>
    </row>
    <row r="877" spans="1:13" x14ac:dyDescent="0.25">
      <c r="A877" s="1">
        <v>45458</v>
      </c>
      <c r="B877" t="s">
        <v>19</v>
      </c>
      <c r="C877" t="s">
        <v>20</v>
      </c>
      <c r="D877" t="s">
        <v>17</v>
      </c>
      <c r="E877">
        <v>886.88</v>
      </c>
      <c r="F877">
        <v>763.51</v>
      </c>
      <c r="G877">
        <v>6</v>
      </c>
      <c r="H877">
        <f t="shared" si="78"/>
        <v>5321.28</v>
      </c>
      <c r="I877">
        <f t="shared" si="82"/>
        <v>4581.0599999999995</v>
      </c>
      <c r="J877">
        <f t="shared" si="79"/>
        <v>740.22000000000025</v>
      </c>
      <c r="K877" s="8">
        <f t="shared" si="80"/>
        <v>0.13910562872090931</v>
      </c>
      <c r="L877" t="str">
        <f t="shared" si="83"/>
        <v>2024-06</v>
      </c>
      <c r="M877">
        <f t="shared" si="81"/>
        <v>740.22000000000025</v>
      </c>
    </row>
    <row r="878" spans="1:13" x14ac:dyDescent="0.25">
      <c r="A878" s="1">
        <v>45518</v>
      </c>
      <c r="B878" t="s">
        <v>10</v>
      </c>
      <c r="C878" t="s">
        <v>11</v>
      </c>
      <c r="D878" t="s">
        <v>18</v>
      </c>
      <c r="E878">
        <v>563.82000000000005</v>
      </c>
      <c r="F878">
        <v>447.57</v>
      </c>
      <c r="G878">
        <v>7</v>
      </c>
      <c r="H878">
        <f t="shared" si="78"/>
        <v>3946.7400000000002</v>
      </c>
      <c r="I878">
        <f t="shared" si="82"/>
        <v>3132.99</v>
      </c>
      <c r="J878">
        <f t="shared" si="79"/>
        <v>813.75000000000045</v>
      </c>
      <c r="K878" s="8">
        <f t="shared" si="80"/>
        <v>0.20618282430562956</v>
      </c>
      <c r="L878" t="str">
        <f t="shared" si="83"/>
        <v>2024-08</v>
      </c>
      <c r="M878">
        <f t="shared" si="81"/>
        <v>813.75000000000045</v>
      </c>
    </row>
    <row r="879" spans="1:13" x14ac:dyDescent="0.25">
      <c r="A879" s="1">
        <v>44839</v>
      </c>
      <c r="B879" t="s">
        <v>7</v>
      </c>
      <c r="C879" t="s">
        <v>8</v>
      </c>
      <c r="D879" t="s">
        <v>13</v>
      </c>
      <c r="E879">
        <v>1852.48</v>
      </c>
      <c r="F879">
        <v>1214.31</v>
      </c>
      <c r="G879">
        <v>10</v>
      </c>
      <c r="H879">
        <f t="shared" si="78"/>
        <v>18524.8</v>
      </c>
      <c r="I879">
        <f t="shared" si="82"/>
        <v>12143.099999999999</v>
      </c>
      <c r="J879">
        <f t="shared" si="79"/>
        <v>6381.7000000000007</v>
      </c>
      <c r="K879" s="8">
        <f t="shared" si="80"/>
        <v>0.3444949473138712</v>
      </c>
      <c r="L879" t="str">
        <f t="shared" si="83"/>
        <v>2022-10</v>
      </c>
      <c r="M879">
        <f t="shared" si="81"/>
        <v>6381.7000000000007</v>
      </c>
    </row>
    <row r="880" spans="1:13" x14ac:dyDescent="0.25">
      <c r="A880" s="1">
        <v>44862</v>
      </c>
      <c r="B880" t="s">
        <v>21</v>
      </c>
      <c r="C880" t="s">
        <v>20</v>
      </c>
      <c r="D880" t="s">
        <v>17</v>
      </c>
      <c r="E880">
        <v>636.84</v>
      </c>
      <c r="F880">
        <v>488.95</v>
      </c>
      <c r="G880">
        <v>7</v>
      </c>
      <c r="H880">
        <f t="shared" si="78"/>
        <v>4457.88</v>
      </c>
      <c r="I880">
        <f t="shared" si="82"/>
        <v>3422.65</v>
      </c>
      <c r="J880">
        <f t="shared" si="79"/>
        <v>1035.23</v>
      </c>
      <c r="K880" s="8">
        <f t="shared" si="80"/>
        <v>0.2322247346272219</v>
      </c>
      <c r="L880" t="str">
        <f t="shared" si="83"/>
        <v>2022-10</v>
      </c>
      <c r="M880">
        <f t="shared" si="81"/>
        <v>1035.23</v>
      </c>
    </row>
    <row r="881" spans="1:13" x14ac:dyDescent="0.25">
      <c r="A881" s="1">
        <v>45377</v>
      </c>
      <c r="B881" t="s">
        <v>21</v>
      </c>
      <c r="C881" t="s">
        <v>20</v>
      </c>
      <c r="D881" t="s">
        <v>9</v>
      </c>
      <c r="E881">
        <v>34.46</v>
      </c>
      <c r="F881">
        <v>24.58</v>
      </c>
      <c r="G881">
        <v>7</v>
      </c>
      <c r="H881">
        <f t="shared" si="78"/>
        <v>241.22</v>
      </c>
      <c r="I881">
        <f t="shared" si="82"/>
        <v>172.06</v>
      </c>
      <c r="J881">
        <f t="shared" si="79"/>
        <v>69.16</v>
      </c>
      <c r="K881" s="8">
        <f t="shared" si="80"/>
        <v>0.28670922809053973</v>
      </c>
      <c r="L881" t="str">
        <f t="shared" si="83"/>
        <v>2024-03</v>
      </c>
      <c r="M881">
        <f t="shared" si="81"/>
        <v>69.16</v>
      </c>
    </row>
    <row r="882" spans="1:13" x14ac:dyDescent="0.25">
      <c r="A882" s="1">
        <v>44883</v>
      </c>
      <c r="B882" t="s">
        <v>7</v>
      </c>
      <c r="C882" t="s">
        <v>8</v>
      </c>
      <c r="D882" t="s">
        <v>9</v>
      </c>
      <c r="E882">
        <v>1488.8</v>
      </c>
      <c r="F882">
        <v>1093.22</v>
      </c>
      <c r="G882">
        <v>8</v>
      </c>
      <c r="H882">
        <f t="shared" si="78"/>
        <v>11910.4</v>
      </c>
      <c r="I882">
        <f t="shared" si="82"/>
        <v>8745.76</v>
      </c>
      <c r="J882">
        <f t="shared" si="79"/>
        <v>3164.6399999999994</v>
      </c>
      <c r="K882" s="8">
        <f t="shared" si="80"/>
        <v>0.26570392262224607</v>
      </c>
      <c r="L882" t="str">
        <f t="shared" si="83"/>
        <v>2022-11</v>
      </c>
      <c r="M882">
        <f t="shared" si="81"/>
        <v>3164.6399999999994</v>
      </c>
    </row>
    <row r="883" spans="1:13" x14ac:dyDescent="0.25">
      <c r="A883" s="1">
        <v>45218</v>
      </c>
      <c r="B883" t="s">
        <v>21</v>
      </c>
      <c r="C883" t="s">
        <v>20</v>
      </c>
      <c r="D883" t="s">
        <v>13</v>
      </c>
      <c r="E883">
        <v>247.17</v>
      </c>
      <c r="F883">
        <v>149.16999999999999</v>
      </c>
      <c r="G883">
        <v>6</v>
      </c>
      <c r="H883">
        <f t="shared" si="78"/>
        <v>1483.02</v>
      </c>
      <c r="I883">
        <f t="shared" si="82"/>
        <v>895.02</v>
      </c>
      <c r="J883">
        <f t="shared" si="79"/>
        <v>588</v>
      </c>
      <c r="K883" s="8">
        <f t="shared" si="80"/>
        <v>0.39648824695553669</v>
      </c>
      <c r="L883" t="str">
        <f t="shared" si="83"/>
        <v>2023-10</v>
      </c>
      <c r="M883">
        <f t="shared" si="81"/>
        <v>588</v>
      </c>
    </row>
    <row r="884" spans="1:13" x14ac:dyDescent="0.25">
      <c r="A884" s="1">
        <v>44655</v>
      </c>
      <c r="B884" t="s">
        <v>19</v>
      </c>
      <c r="C884" t="s">
        <v>20</v>
      </c>
      <c r="D884" t="s">
        <v>18</v>
      </c>
      <c r="E884">
        <v>1624.58</v>
      </c>
      <c r="F884">
        <v>859.79</v>
      </c>
      <c r="G884">
        <v>4</v>
      </c>
      <c r="H884">
        <f t="shared" si="78"/>
        <v>6498.32</v>
      </c>
      <c r="I884">
        <f t="shared" si="82"/>
        <v>3439.16</v>
      </c>
      <c r="J884">
        <f t="shared" si="79"/>
        <v>3059.16</v>
      </c>
      <c r="K884" s="8">
        <f t="shared" si="80"/>
        <v>0.47076167378645556</v>
      </c>
      <c r="L884" t="str">
        <f t="shared" si="83"/>
        <v>2022-04</v>
      </c>
      <c r="M884">
        <f t="shared" si="81"/>
        <v>3059.16</v>
      </c>
    </row>
    <row r="885" spans="1:13" x14ac:dyDescent="0.25">
      <c r="A885" s="1">
        <v>44816</v>
      </c>
      <c r="B885" t="s">
        <v>10</v>
      </c>
      <c r="C885" t="s">
        <v>11</v>
      </c>
      <c r="D885" t="s">
        <v>13</v>
      </c>
      <c r="E885">
        <v>187.14</v>
      </c>
      <c r="F885">
        <v>147.25</v>
      </c>
      <c r="G885">
        <v>6</v>
      </c>
      <c r="H885">
        <f t="shared" si="78"/>
        <v>1122.8399999999999</v>
      </c>
      <c r="I885">
        <f t="shared" si="82"/>
        <v>883.5</v>
      </c>
      <c r="J885">
        <f t="shared" si="79"/>
        <v>239.33999999999992</v>
      </c>
      <c r="K885" s="8">
        <f t="shared" si="80"/>
        <v>0.21315592604467237</v>
      </c>
      <c r="L885" t="str">
        <f t="shared" si="83"/>
        <v>2022-09</v>
      </c>
      <c r="M885">
        <f t="shared" si="81"/>
        <v>239.33999999999992</v>
      </c>
    </row>
    <row r="886" spans="1:13" x14ac:dyDescent="0.25">
      <c r="A886" s="1">
        <v>45468</v>
      </c>
      <c r="B886" t="s">
        <v>10</v>
      </c>
      <c r="C886" t="s">
        <v>11</v>
      </c>
      <c r="D886" t="s">
        <v>13</v>
      </c>
      <c r="E886">
        <v>570.54999999999995</v>
      </c>
      <c r="F886">
        <v>428.31</v>
      </c>
      <c r="G886">
        <v>5</v>
      </c>
      <c r="H886">
        <f t="shared" si="78"/>
        <v>2852.75</v>
      </c>
      <c r="I886">
        <f t="shared" si="82"/>
        <v>2141.5500000000002</v>
      </c>
      <c r="J886">
        <f t="shared" si="79"/>
        <v>711.19999999999982</v>
      </c>
      <c r="K886" s="8">
        <f t="shared" si="80"/>
        <v>0.249303303829638</v>
      </c>
      <c r="L886" t="str">
        <f t="shared" si="83"/>
        <v>2024-06</v>
      </c>
      <c r="M886">
        <f t="shared" si="81"/>
        <v>711.19999999999982</v>
      </c>
    </row>
    <row r="887" spans="1:13" x14ac:dyDescent="0.25">
      <c r="A887" s="1">
        <v>44648</v>
      </c>
      <c r="B887" t="s">
        <v>14</v>
      </c>
      <c r="C887" t="s">
        <v>15</v>
      </c>
      <c r="D887" t="s">
        <v>13</v>
      </c>
      <c r="E887">
        <v>118.04</v>
      </c>
      <c r="F887">
        <v>59.24</v>
      </c>
      <c r="G887">
        <v>6</v>
      </c>
      <c r="H887">
        <f t="shared" si="78"/>
        <v>708.24</v>
      </c>
      <c r="I887">
        <f t="shared" si="82"/>
        <v>355.44</v>
      </c>
      <c r="J887">
        <f t="shared" si="79"/>
        <v>352.8</v>
      </c>
      <c r="K887" s="8">
        <f t="shared" si="80"/>
        <v>0.49813622500847171</v>
      </c>
      <c r="L887" t="str">
        <f t="shared" si="83"/>
        <v>2022-03</v>
      </c>
      <c r="M887">
        <f t="shared" si="81"/>
        <v>352.8</v>
      </c>
    </row>
    <row r="888" spans="1:13" x14ac:dyDescent="0.25">
      <c r="A888" s="1">
        <v>44633</v>
      </c>
      <c r="B888" t="s">
        <v>16</v>
      </c>
      <c r="C888" t="s">
        <v>15</v>
      </c>
      <c r="D888" t="s">
        <v>18</v>
      </c>
      <c r="E888">
        <v>1799.86</v>
      </c>
      <c r="F888">
        <v>1532.25</v>
      </c>
      <c r="G888">
        <v>3</v>
      </c>
      <c r="H888">
        <f t="shared" si="78"/>
        <v>5399.58</v>
      </c>
      <c r="I888">
        <f t="shared" si="82"/>
        <v>4596.75</v>
      </c>
      <c r="J888">
        <f t="shared" si="79"/>
        <v>802.82999999999993</v>
      </c>
      <c r="K888" s="8">
        <f t="shared" si="80"/>
        <v>0.14868378651672906</v>
      </c>
      <c r="L888" t="str">
        <f t="shared" si="83"/>
        <v>2022-03</v>
      </c>
      <c r="M888">
        <f t="shared" si="81"/>
        <v>802.82999999999993</v>
      </c>
    </row>
    <row r="889" spans="1:13" x14ac:dyDescent="0.25">
      <c r="A889" s="1">
        <v>45555</v>
      </c>
      <c r="B889" t="s">
        <v>7</v>
      </c>
      <c r="C889" t="s">
        <v>8</v>
      </c>
      <c r="D889" t="s">
        <v>17</v>
      </c>
      <c r="E889">
        <v>1059.07</v>
      </c>
      <c r="F889">
        <v>839.85</v>
      </c>
      <c r="G889">
        <v>6</v>
      </c>
      <c r="H889">
        <f t="shared" si="78"/>
        <v>6354.42</v>
      </c>
      <c r="I889">
        <f t="shared" si="82"/>
        <v>5039.1000000000004</v>
      </c>
      <c r="J889">
        <f t="shared" si="79"/>
        <v>1315.3199999999997</v>
      </c>
      <c r="K889" s="8">
        <f t="shared" si="80"/>
        <v>0.20699292775737199</v>
      </c>
      <c r="L889" t="str">
        <f t="shared" si="83"/>
        <v>2024-09</v>
      </c>
      <c r="M889">
        <f t="shared" si="81"/>
        <v>1315.3199999999997</v>
      </c>
    </row>
    <row r="890" spans="1:13" x14ac:dyDescent="0.25">
      <c r="A890" s="1">
        <v>45138</v>
      </c>
      <c r="B890" t="s">
        <v>12</v>
      </c>
      <c r="C890" t="s">
        <v>8</v>
      </c>
      <c r="D890" t="s">
        <v>18</v>
      </c>
      <c r="E890">
        <v>104.85</v>
      </c>
      <c r="F890">
        <v>56.17</v>
      </c>
      <c r="G890">
        <v>8</v>
      </c>
      <c r="H890">
        <f t="shared" si="78"/>
        <v>838.8</v>
      </c>
      <c r="I890">
        <f t="shared" si="82"/>
        <v>449.36</v>
      </c>
      <c r="J890">
        <f t="shared" si="79"/>
        <v>389.43999999999994</v>
      </c>
      <c r="K890" s="8">
        <f t="shared" si="80"/>
        <v>0.46428230805913207</v>
      </c>
      <c r="L890" t="str">
        <f t="shared" si="83"/>
        <v>2023-07</v>
      </c>
      <c r="M890">
        <f t="shared" si="81"/>
        <v>389.43999999999994</v>
      </c>
    </row>
    <row r="891" spans="1:13" x14ac:dyDescent="0.25">
      <c r="A891" s="1">
        <v>44591</v>
      </c>
      <c r="B891" t="s">
        <v>22</v>
      </c>
      <c r="C891" t="s">
        <v>8</v>
      </c>
      <c r="D891" t="s">
        <v>9</v>
      </c>
      <c r="E891">
        <v>299.82</v>
      </c>
      <c r="F891">
        <v>180.43</v>
      </c>
      <c r="G891">
        <v>6</v>
      </c>
      <c r="H891">
        <f t="shared" si="78"/>
        <v>1798.92</v>
      </c>
      <c r="I891">
        <f t="shared" si="82"/>
        <v>1082.58</v>
      </c>
      <c r="J891">
        <f t="shared" si="79"/>
        <v>716.34000000000015</v>
      </c>
      <c r="K891" s="8">
        <f t="shared" si="80"/>
        <v>0.39820559002067912</v>
      </c>
      <c r="L891" t="str">
        <f t="shared" si="83"/>
        <v>2022-01</v>
      </c>
      <c r="M891">
        <f t="shared" si="81"/>
        <v>716.34000000000015</v>
      </c>
    </row>
    <row r="892" spans="1:13" x14ac:dyDescent="0.25">
      <c r="A892" s="1">
        <v>44777</v>
      </c>
      <c r="B892" t="s">
        <v>19</v>
      </c>
      <c r="C892" t="s">
        <v>20</v>
      </c>
      <c r="D892" t="s">
        <v>18</v>
      </c>
      <c r="E892">
        <v>1795.63</v>
      </c>
      <c r="F892">
        <v>1385.1</v>
      </c>
      <c r="G892">
        <v>6</v>
      </c>
      <c r="H892">
        <f t="shared" si="78"/>
        <v>10773.78</v>
      </c>
      <c r="I892">
        <f t="shared" si="82"/>
        <v>8310.5999999999985</v>
      </c>
      <c r="J892">
        <f t="shared" si="79"/>
        <v>2463.1800000000021</v>
      </c>
      <c r="K892" s="8">
        <f t="shared" si="80"/>
        <v>0.22862727844823283</v>
      </c>
      <c r="L892" t="str">
        <f t="shared" si="83"/>
        <v>2022-08</v>
      </c>
      <c r="M892">
        <f t="shared" si="81"/>
        <v>2463.1800000000021</v>
      </c>
    </row>
    <row r="893" spans="1:13" x14ac:dyDescent="0.25">
      <c r="A893" s="1">
        <v>45408</v>
      </c>
      <c r="B893" t="s">
        <v>16</v>
      </c>
      <c r="C893" t="s">
        <v>15</v>
      </c>
      <c r="D893" t="s">
        <v>18</v>
      </c>
      <c r="E893">
        <v>1230.48</v>
      </c>
      <c r="F893">
        <v>1063.77</v>
      </c>
      <c r="G893">
        <v>3</v>
      </c>
      <c r="H893">
        <f t="shared" si="78"/>
        <v>3691.44</v>
      </c>
      <c r="I893">
        <f t="shared" si="82"/>
        <v>3191.31</v>
      </c>
      <c r="J893">
        <f t="shared" si="79"/>
        <v>500.13000000000011</v>
      </c>
      <c r="K893" s="8">
        <f t="shared" si="80"/>
        <v>0.13548371367271311</v>
      </c>
      <c r="L893" t="str">
        <f t="shared" si="83"/>
        <v>2024-04</v>
      </c>
      <c r="M893">
        <f t="shared" si="81"/>
        <v>500.13000000000011</v>
      </c>
    </row>
    <row r="894" spans="1:13" x14ac:dyDescent="0.25">
      <c r="A894" s="1">
        <v>44848</v>
      </c>
      <c r="B894" t="s">
        <v>16</v>
      </c>
      <c r="C894" t="s">
        <v>15</v>
      </c>
      <c r="D894" t="s">
        <v>17</v>
      </c>
      <c r="E894">
        <v>1086.1600000000001</v>
      </c>
      <c r="F894">
        <v>722.9</v>
      </c>
      <c r="G894">
        <v>10</v>
      </c>
      <c r="H894">
        <f t="shared" si="78"/>
        <v>10861.6</v>
      </c>
      <c r="I894">
        <f t="shared" si="82"/>
        <v>7229</v>
      </c>
      <c r="J894">
        <f t="shared" si="79"/>
        <v>3632.6000000000004</v>
      </c>
      <c r="K894" s="8">
        <f t="shared" si="80"/>
        <v>0.3344442807689475</v>
      </c>
      <c r="L894" t="str">
        <f t="shared" si="83"/>
        <v>2022-10</v>
      </c>
      <c r="M894">
        <f t="shared" si="81"/>
        <v>3632.6000000000004</v>
      </c>
    </row>
    <row r="895" spans="1:13" x14ac:dyDescent="0.25">
      <c r="A895" s="1">
        <v>45402</v>
      </c>
      <c r="B895" t="s">
        <v>12</v>
      </c>
      <c r="C895" t="s">
        <v>8</v>
      </c>
      <c r="D895" t="s">
        <v>13</v>
      </c>
      <c r="E895">
        <v>1434.56</v>
      </c>
      <c r="F895">
        <v>855.14</v>
      </c>
      <c r="G895">
        <v>1</v>
      </c>
      <c r="H895">
        <f t="shared" si="78"/>
        <v>1434.56</v>
      </c>
      <c r="I895">
        <f t="shared" si="82"/>
        <v>855.14</v>
      </c>
      <c r="J895">
        <f t="shared" si="79"/>
        <v>579.41999999999996</v>
      </c>
      <c r="K895" s="8">
        <f t="shared" si="80"/>
        <v>0.40390084764666517</v>
      </c>
      <c r="L895" t="str">
        <f t="shared" si="83"/>
        <v>2024-04</v>
      </c>
      <c r="M895">
        <f t="shared" si="81"/>
        <v>579.41999999999996</v>
      </c>
    </row>
    <row r="896" spans="1:13" x14ac:dyDescent="0.25">
      <c r="A896" s="1">
        <v>45222</v>
      </c>
      <c r="B896" t="s">
        <v>19</v>
      </c>
      <c r="C896" t="s">
        <v>20</v>
      </c>
      <c r="D896" t="s">
        <v>9</v>
      </c>
      <c r="E896">
        <v>722.1</v>
      </c>
      <c r="F896">
        <v>557.02</v>
      </c>
      <c r="G896">
        <v>2</v>
      </c>
      <c r="H896">
        <f t="shared" si="78"/>
        <v>1444.2</v>
      </c>
      <c r="I896">
        <f t="shared" si="82"/>
        <v>1114.04</v>
      </c>
      <c r="J896">
        <f t="shared" si="79"/>
        <v>330.16000000000008</v>
      </c>
      <c r="K896" s="8">
        <f t="shared" si="80"/>
        <v>0.22861099570696583</v>
      </c>
      <c r="L896" t="str">
        <f t="shared" si="83"/>
        <v>2023-10</v>
      </c>
      <c r="M896">
        <f t="shared" si="81"/>
        <v>330.16000000000008</v>
      </c>
    </row>
    <row r="897" spans="1:13" x14ac:dyDescent="0.25">
      <c r="A897" s="1">
        <v>44795</v>
      </c>
      <c r="B897" t="s">
        <v>19</v>
      </c>
      <c r="C897" t="s">
        <v>20</v>
      </c>
      <c r="D897" t="s">
        <v>17</v>
      </c>
      <c r="E897">
        <v>550.96</v>
      </c>
      <c r="F897">
        <v>303.19</v>
      </c>
      <c r="G897">
        <v>8</v>
      </c>
      <c r="H897">
        <f t="shared" si="78"/>
        <v>4407.68</v>
      </c>
      <c r="I897">
        <f t="shared" si="82"/>
        <v>2425.52</v>
      </c>
      <c r="J897">
        <f t="shared" si="79"/>
        <v>1982.1600000000003</v>
      </c>
      <c r="K897" s="8">
        <f t="shared" si="80"/>
        <v>0.44970596776535504</v>
      </c>
      <c r="L897" t="str">
        <f t="shared" si="83"/>
        <v>2022-08</v>
      </c>
      <c r="M897">
        <f t="shared" si="81"/>
        <v>1982.1600000000003</v>
      </c>
    </row>
    <row r="898" spans="1:13" x14ac:dyDescent="0.25">
      <c r="A898" s="1">
        <v>44689</v>
      </c>
      <c r="B898" t="s">
        <v>22</v>
      </c>
      <c r="C898" t="s">
        <v>8</v>
      </c>
      <c r="D898" t="s">
        <v>17</v>
      </c>
      <c r="E898">
        <v>570.80999999999995</v>
      </c>
      <c r="F898">
        <v>437.82</v>
      </c>
      <c r="G898">
        <v>10</v>
      </c>
      <c r="H898">
        <f t="shared" si="78"/>
        <v>5708.0999999999995</v>
      </c>
      <c r="I898">
        <f t="shared" si="82"/>
        <v>4378.2</v>
      </c>
      <c r="J898">
        <f t="shared" si="79"/>
        <v>1329.8999999999996</v>
      </c>
      <c r="K898" s="8">
        <f t="shared" si="80"/>
        <v>0.23298470594418455</v>
      </c>
      <c r="L898" t="str">
        <f t="shared" si="83"/>
        <v>2022-05</v>
      </c>
      <c r="M898">
        <f t="shared" si="81"/>
        <v>1329.8999999999996</v>
      </c>
    </row>
    <row r="899" spans="1:13" x14ac:dyDescent="0.25">
      <c r="A899" s="1">
        <v>44689</v>
      </c>
      <c r="B899" t="s">
        <v>25</v>
      </c>
      <c r="C899" t="s">
        <v>15</v>
      </c>
      <c r="D899" t="s">
        <v>18</v>
      </c>
      <c r="E899">
        <v>1458.37</v>
      </c>
      <c r="F899">
        <v>1048.27</v>
      </c>
      <c r="G899">
        <v>5</v>
      </c>
      <c r="H899">
        <f t="shared" ref="H899:H962" si="84">E899*G899</f>
        <v>7291.8499999999995</v>
      </c>
      <c r="I899">
        <f t="shared" si="82"/>
        <v>5241.3500000000004</v>
      </c>
      <c r="J899">
        <f t="shared" ref="J899:J962" si="85">H899-I899</f>
        <v>2050.4999999999991</v>
      </c>
      <c r="K899" s="8">
        <f t="shared" ref="K899:K962" si="86">(H899-I899)/H899</f>
        <v>0.28120435829042001</v>
      </c>
      <c r="L899" t="str">
        <f t="shared" si="83"/>
        <v>2022-05</v>
      </c>
      <c r="M899">
        <f t="shared" ref="M899:M962" si="87">H899-I899</f>
        <v>2050.4999999999991</v>
      </c>
    </row>
    <row r="900" spans="1:13" x14ac:dyDescent="0.25">
      <c r="A900" s="1">
        <v>45588</v>
      </c>
      <c r="B900" t="s">
        <v>16</v>
      </c>
      <c r="C900" t="s">
        <v>15</v>
      </c>
      <c r="D900" t="s">
        <v>9</v>
      </c>
      <c r="E900">
        <v>1747.08</v>
      </c>
      <c r="F900">
        <v>1112.3399999999999</v>
      </c>
      <c r="G900">
        <v>9</v>
      </c>
      <c r="H900">
        <f t="shared" si="84"/>
        <v>15723.72</v>
      </c>
      <c r="I900">
        <f t="shared" ref="I900:I963" si="88">F900*G900</f>
        <v>10011.06</v>
      </c>
      <c r="J900">
        <f t="shared" si="85"/>
        <v>5712.66</v>
      </c>
      <c r="K900" s="8">
        <f t="shared" si="86"/>
        <v>0.36331478810357853</v>
      </c>
      <c r="L900" t="str">
        <f t="shared" ref="L900:L963" si="89">TEXT(A900,"rrrr-mm")</f>
        <v>2024-10</v>
      </c>
      <c r="M900">
        <f t="shared" si="87"/>
        <v>5712.66</v>
      </c>
    </row>
    <row r="901" spans="1:13" x14ac:dyDescent="0.25">
      <c r="A901" s="1">
        <v>44861</v>
      </c>
      <c r="B901" t="s">
        <v>23</v>
      </c>
      <c r="C901" t="s">
        <v>11</v>
      </c>
      <c r="D901" t="s">
        <v>13</v>
      </c>
      <c r="E901">
        <v>641.33000000000004</v>
      </c>
      <c r="F901">
        <v>529.37</v>
      </c>
      <c r="G901">
        <v>9</v>
      </c>
      <c r="H901">
        <f t="shared" si="84"/>
        <v>5771.97</v>
      </c>
      <c r="I901">
        <f t="shared" si="88"/>
        <v>4764.33</v>
      </c>
      <c r="J901">
        <f t="shared" si="85"/>
        <v>1007.6400000000003</v>
      </c>
      <c r="K901" s="8">
        <f t="shared" si="86"/>
        <v>0.1745747119267772</v>
      </c>
      <c r="L901" t="str">
        <f t="shared" si="89"/>
        <v>2022-10</v>
      </c>
      <c r="M901">
        <f t="shared" si="87"/>
        <v>1007.6400000000003</v>
      </c>
    </row>
    <row r="902" spans="1:13" x14ac:dyDescent="0.25">
      <c r="A902" s="1">
        <v>45319</v>
      </c>
      <c r="B902" t="s">
        <v>16</v>
      </c>
      <c r="C902" t="s">
        <v>15</v>
      </c>
      <c r="D902" t="s">
        <v>13</v>
      </c>
      <c r="E902">
        <v>169.73</v>
      </c>
      <c r="F902">
        <v>93.74</v>
      </c>
      <c r="G902">
        <v>2</v>
      </c>
      <c r="H902">
        <f t="shared" si="84"/>
        <v>339.46</v>
      </c>
      <c r="I902">
        <f t="shared" si="88"/>
        <v>187.48</v>
      </c>
      <c r="J902">
        <f t="shared" si="85"/>
        <v>151.97999999999999</v>
      </c>
      <c r="K902" s="8">
        <f t="shared" si="86"/>
        <v>0.44771107052377307</v>
      </c>
      <c r="L902" t="str">
        <f t="shared" si="89"/>
        <v>2024-01</v>
      </c>
      <c r="M902">
        <f t="shared" si="87"/>
        <v>151.97999999999999</v>
      </c>
    </row>
    <row r="903" spans="1:13" x14ac:dyDescent="0.25">
      <c r="A903" s="1">
        <v>45449</v>
      </c>
      <c r="B903" t="s">
        <v>16</v>
      </c>
      <c r="C903" t="s">
        <v>15</v>
      </c>
      <c r="D903" t="s">
        <v>9</v>
      </c>
      <c r="E903">
        <v>1510.62</v>
      </c>
      <c r="F903">
        <v>762.81</v>
      </c>
      <c r="G903">
        <v>7</v>
      </c>
      <c r="H903">
        <f t="shared" si="84"/>
        <v>10574.34</v>
      </c>
      <c r="I903">
        <f t="shared" si="88"/>
        <v>5339.67</v>
      </c>
      <c r="J903">
        <f t="shared" si="85"/>
        <v>5234.67</v>
      </c>
      <c r="K903" s="8">
        <f t="shared" si="86"/>
        <v>0.49503515112999963</v>
      </c>
      <c r="L903" t="str">
        <f t="shared" si="89"/>
        <v>2024-06</v>
      </c>
      <c r="M903">
        <f t="shared" si="87"/>
        <v>5234.67</v>
      </c>
    </row>
    <row r="904" spans="1:13" x14ac:dyDescent="0.25">
      <c r="A904" s="1">
        <v>44951</v>
      </c>
      <c r="B904" t="s">
        <v>25</v>
      </c>
      <c r="C904" t="s">
        <v>15</v>
      </c>
      <c r="D904" t="s">
        <v>13</v>
      </c>
      <c r="E904">
        <v>1788.19</v>
      </c>
      <c r="F904">
        <v>1548.42</v>
      </c>
      <c r="G904">
        <v>7</v>
      </c>
      <c r="H904">
        <f t="shared" si="84"/>
        <v>12517.33</v>
      </c>
      <c r="I904">
        <f t="shared" si="88"/>
        <v>10838.94</v>
      </c>
      <c r="J904">
        <f t="shared" si="85"/>
        <v>1678.3899999999994</v>
      </c>
      <c r="K904" s="8">
        <f t="shared" si="86"/>
        <v>0.1340853041343481</v>
      </c>
      <c r="L904" t="str">
        <f t="shared" si="89"/>
        <v>2023-01</v>
      </c>
      <c r="M904">
        <f t="shared" si="87"/>
        <v>1678.3899999999994</v>
      </c>
    </row>
    <row r="905" spans="1:13" x14ac:dyDescent="0.25">
      <c r="A905" s="1">
        <v>44917</v>
      </c>
      <c r="B905" t="s">
        <v>19</v>
      </c>
      <c r="C905" t="s">
        <v>20</v>
      </c>
      <c r="D905" t="s">
        <v>17</v>
      </c>
      <c r="E905">
        <v>1698.31</v>
      </c>
      <c r="F905">
        <v>886.44</v>
      </c>
      <c r="G905">
        <v>3</v>
      </c>
      <c r="H905">
        <f t="shared" si="84"/>
        <v>5094.93</v>
      </c>
      <c r="I905">
        <f t="shared" si="88"/>
        <v>2659.32</v>
      </c>
      <c r="J905">
        <f t="shared" si="85"/>
        <v>2435.61</v>
      </c>
      <c r="K905" s="8">
        <f t="shared" si="86"/>
        <v>0.47804582202307</v>
      </c>
      <c r="L905" t="str">
        <f t="shared" si="89"/>
        <v>2022-12</v>
      </c>
      <c r="M905">
        <f t="shared" si="87"/>
        <v>2435.61</v>
      </c>
    </row>
    <row r="906" spans="1:13" x14ac:dyDescent="0.25">
      <c r="A906" s="1">
        <v>45187</v>
      </c>
      <c r="B906" t="s">
        <v>12</v>
      </c>
      <c r="C906" t="s">
        <v>8</v>
      </c>
      <c r="D906" t="s">
        <v>9</v>
      </c>
      <c r="E906">
        <v>147.34</v>
      </c>
      <c r="F906">
        <v>122.6</v>
      </c>
      <c r="G906">
        <v>3</v>
      </c>
      <c r="H906">
        <f t="shared" si="84"/>
        <v>442.02</v>
      </c>
      <c r="I906">
        <f t="shared" si="88"/>
        <v>367.79999999999995</v>
      </c>
      <c r="J906">
        <f t="shared" si="85"/>
        <v>74.220000000000027</v>
      </c>
      <c r="K906" s="8">
        <f t="shared" si="86"/>
        <v>0.16791095425546362</v>
      </c>
      <c r="L906" t="str">
        <f t="shared" si="89"/>
        <v>2023-09</v>
      </c>
      <c r="M906">
        <f t="shared" si="87"/>
        <v>74.220000000000027</v>
      </c>
    </row>
    <row r="907" spans="1:13" x14ac:dyDescent="0.25">
      <c r="A907" s="1">
        <v>44744</v>
      </c>
      <c r="B907" t="s">
        <v>14</v>
      </c>
      <c r="C907" t="s">
        <v>15</v>
      </c>
      <c r="D907" t="s">
        <v>9</v>
      </c>
      <c r="E907">
        <v>560.34</v>
      </c>
      <c r="F907">
        <v>420.85</v>
      </c>
      <c r="G907">
        <v>2</v>
      </c>
      <c r="H907">
        <f t="shared" si="84"/>
        <v>1120.68</v>
      </c>
      <c r="I907">
        <f t="shared" si="88"/>
        <v>841.7</v>
      </c>
      <c r="J907">
        <f t="shared" si="85"/>
        <v>278.98</v>
      </c>
      <c r="K907" s="8">
        <f t="shared" si="86"/>
        <v>0.24893814469786202</v>
      </c>
      <c r="L907" t="str">
        <f t="shared" si="89"/>
        <v>2022-07</v>
      </c>
      <c r="M907">
        <f t="shared" si="87"/>
        <v>278.98</v>
      </c>
    </row>
    <row r="908" spans="1:13" x14ac:dyDescent="0.25">
      <c r="A908" s="1">
        <v>45607</v>
      </c>
      <c r="B908" t="s">
        <v>12</v>
      </c>
      <c r="C908" t="s">
        <v>8</v>
      </c>
      <c r="D908" t="s">
        <v>13</v>
      </c>
      <c r="E908">
        <v>1494.83</v>
      </c>
      <c r="F908">
        <v>996.02</v>
      </c>
      <c r="G908">
        <v>1</v>
      </c>
      <c r="H908">
        <f t="shared" si="84"/>
        <v>1494.83</v>
      </c>
      <c r="I908">
        <f t="shared" si="88"/>
        <v>996.02</v>
      </c>
      <c r="J908">
        <f t="shared" si="85"/>
        <v>498.80999999999995</v>
      </c>
      <c r="K908" s="8">
        <f t="shared" si="86"/>
        <v>0.33369011860880499</v>
      </c>
      <c r="L908" t="str">
        <f t="shared" si="89"/>
        <v>2024-11</v>
      </c>
      <c r="M908">
        <f t="shared" si="87"/>
        <v>498.80999999999995</v>
      </c>
    </row>
    <row r="909" spans="1:13" x14ac:dyDescent="0.25">
      <c r="A909" s="1">
        <v>44686</v>
      </c>
      <c r="B909" t="s">
        <v>12</v>
      </c>
      <c r="C909" t="s">
        <v>8</v>
      </c>
      <c r="D909" t="s">
        <v>17</v>
      </c>
      <c r="E909">
        <v>548.86</v>
      </c>
      <c r="F909">
        <v>294.20999999999998</v>
      </c>
      <c r="G909">
        <v>5</v>
      </c>
      <c r="H909">
        <f t="shared" si="84"/>
        <v>2744.3</v>
      </c>
      <c r="I909">
        <f t="shared" si="88"/>
        <v>1471.05</v>
      </c>
      <c r="J909">
        <f t="shared" si="85"/>
        <v>1273.2500000000002</v>
      </c>
      <c r="K909" s="8">
        <f t="shared" si="86"/>
        <v>0.46396166599861538</v>
      </c>
      <c r="L909" t="str">
        <f t="shared" si="89"/>
        <v>2022-05</v>
      </c>
      <c r="M909">
        <f t="shared" si="87"/>
        <v>1273.2500000000002</v>
      </c>
    </row>
    <row r="910" spans="1:13" x14ac:dyDescent="0.25">
      <c r="A910" s="1">
        <v>44643</v>
      </c>
      <c r="B910" t="s">
        <v>25</v>
      </c>
      <c r="C910" t="s">
        <v>15</v>
      </c>
      <c r="D910" t="s">
        <v>18</v>
      </c>
      <c r="E910">
        <v>468.19</v>
      </c>
      <c r="F910">
        <v>247.74</v>
      </c>
      <c r="G910">
        <v>4</v>
      </c>
      <c r="H910">
        <f t="shared" si="84"/>
        <v>1872.76</v>
      </c>
      <c r="I910">
        <f t="shared" si="88"/>
        <v>990.96</v>
      </c>
      <c r="J910">
        <f t="shared" si="85"/>
        <v>881.8</v>
      </c>
      <c r="K910" s="8">
        <f t="shared" si="86"/>
        <v>0.4708558491210833</v>
      </c>
      <c r="L910" t="str">
        <f t="shared" si="89"/>
        <v>2022-03</v>
      </c>
      <c r="M910">
        <f t="shared" si="87"/>
        <v>881.8</v>
      </c>
    </row>
    <row r="911" spans="1:13" x14ac:dyDescent="0.25">
      <c r="A911" s="1">
        <v>45294</v>
      </c>
      <c r="B911" t="s">
        <v>24</v>
      </c>
      <c r="C911" t="s">
        <v>20</v>
      </c>
      <c r="D911" t="s">
        <v>18</v>
      </c>
      <c r="E911">
        <v>1172.93</v>
      </c>
      <c r="F911">
        <v>698.61</v>
      </c>
      <c r="G911">
        <v>1</v>
      </c>
      <c r="H911">
        <f t="shared" si="84"/>
        <v>1172.93</v>
      </c>
      <c r="I911">
        <f t="shared" si="88"/>
        <v>698.61</v>
      </c>
      <c r="J911">
        <f t="shared" si="85"/>
        <v>474.32000000000005</v>
      </c>
      <c r="K911" s="8">
        <f t="shared" si="86"/>
        <v>0.4043890087217481</v>
      </c>
      <c r="L911" t="str">
        <f t="shared" si="89"/>
        <v>2024-01</v>
      </c>
      <c r="M911">
        <f t="shared" si="87"/>
        <v>474.32000000000005</v>
      </c>
    </row>
    <row r="912" spans="1:13" x14ac:dyDescent="0.25">
      <c r="A912" s="1">
        <v>45172</v>
      </c>
      <c r="B912" t="s">
        <v>12</v>
      </c>
      <c r="C912" t="s">
        <v>8</v>
      </c>
      <c r="D912" t="s">
        <v>9</v>
      </c>
      <c r="E912">
        <v>1044.02</v>
      </c>
      <c r="F912">
        <v>917.71</v>
      </c>
      <c r="G912">
        <v>4</v>
      </c>
      <c r="H912">
        <f t="shared" si="84"/>
        <v>4176.08</v>
      </c>
      <c r="I912">
        <f t="shared" si="88"/>
        <v>3670.84</v>
      </c>
      <c r="J912">
        <f t="shared" si="85"/>
        <v>505.23999999999978</v>
      </c>
      <c r="K912" s="8">
        <f t="shared" si="86"/>
        <v>0.12098427233194761</v>
      </c>
      <c r="L912" t="str">
        <f t="shared" si="89"/>
        <v>2023-09</v>
      </c>
      <c r="M912">
        <f t="shared" si="87"/>
        <v>505.23999999999978</v>
      </c>
    </row>
    <row r="913" spans="1:13" x14ac:dyDescent="0.25">
      <c r="A913" s="1">
        <v>45436</v>
      </c>
      <c r="B913" t="s">
        <v>10</v>
      </c>
      <c r="C913" t="s">
        <v>11</v>
      </c>
      <c r="D913" t="s">
        <v>13</v>
      </c>
      <c r="E913">
        <v>342.52</v>
      </c>
      <c r="F913">
        <v>281.45</v>
      </c>
      <c r="G913">
        <v>5</v>
      </c>
      <c r="H913">
        <f t="shared" si="84"/>
        <v>1712.6</v>
      </c>
      <c r="I913">
        <f t="shared" si="88"/>
        <v>1407.25</v>
      </c>
      <c r="J913">
        <f t="shared" si="85"/>
        <v>305.34999999999991</v>
      </c>
      <c r="K913" s="8">
        <f t="shared" si="86"/>
        <v>0.17829615788859041</v>
      </c>
      <c r="L913" t="str">
        <f t="shared" si="89"/>
        <v>2024-05</v>
      </c>
      <c r="M913">
        <f t="shared" si="87"/>
        <v>305.34999999999991</v>
      </c>
    </row>
    <row r="914" spans="1:13" x14ac:dyDescent="0.25">
      <c r="A914" s="1">
        <v>44739</v>
      </c>
      <c r="B914" t="s">
        <v>22</v>
      </c>
      <c r="C914" t="s">
        <v>8</v>
      </c>
      <c r="D914" t="s">
        <v>18</v>
      </c>
      <c r="E914">
        <v>1745.28</v>
      </c>
      <c r="F914">
        <v>1510.66</v>
      </c>
      <c r="G914">
        <v>9</v>
      </c>
      <c r="H914">
        <f t="shared" si="84"/>
        <v>15707.52</v>
      </c>
      <c r="I914">
        <f t="shared" si="88"/>
        <v>13595.94</v>
      </c>
      <c r="J914">
        <f t="shared" si="85"/>
        <v>2111.58</v>
      </c>
      <c r="K914" s="8">
        <f t="shared" si="86"/>
        <v>0.13443115144847817</v>
      </c>
      <c r="L914" t="str">
        <f t="shared" si="89"/>
        <v>2022-06</v>
      </c>
      <c r="M914">
        <f t="shared" si="87"/>
        <v>2111.58</v>
      </c>
    </row>
    <row r="915" spans="1:13" x14ac:dyDescent="0.25">
      <c r="A915" s="1">
        <v>45140</v>
      </c>
      <c r="B915" t="s">
        <v>16</v>
      </c>
      <c r="C915" t="s">
        <v>15</v>
      </c>
      <c r="D915" t="s">
        <v>17</v>
      </c>
      <c r="E915">
        <v>1364.37</v>
      </c>
      <c r="F915">
        <v>873.64</v>
      </c>
      <c r="G915">
        <v>7</v>
      </c>
      <c r="H915">
        <f t="shared" si="84"/>
        <v>9550.59</v>
      </c>
      <c r="I915">
        <f t="shared" si="88"/>
        <v>6115.48</v>
      </c>
      <c r="J915">
        <f t="shared" si="85"/>
        <v>3435.1100000000006</v>
      </c>
      <c r="K915" s="8">
        <f t="shared" si="86"/>
        <v>0.35967516142981748</v>
      </c>
      <c r="L915" t="str">
        <f t="shared" si="89"/>
        <v>2023-08</v>
      </c>
      <c r="M915">
        <f t="shared" si="87"/>
        <v>3435.1100000000006</v>
      </c>
    </row>
    <row r="916" spans="1:13" x14ac:dyDescent="0.25">
      <c r="A916" s="1">
        <v>44604</v>
      </c>
      <c r="B916" t="s">
        <v>21</v>
      </c>
      <c r="C916" t="s">
        <v>20</v>
      </c>
      <c r="D916" t="s">
        <v>18</v>
      </c>
      <c r="E916">
        <v>672.46</v>
      </c>
      <c r="F916">
        <v>583.25</v>
      </c>
      <c r="G916">
        <v>3</v>
      </c>
      <c r="H916">
        <f t="shared" si="84"/>
        <v>2017.38</v>
      </c>
      <c r="I916">
        <f t="shared" si="88"/>
        <v>1749.75</v>
      </c>
      <c r="J916">
        <f t="shared" si="85"/>
        <v>267.63000000000011</v>
      </c>
      <c r="K916" s="8">
        <f t="shared" si="86"/>
        <v>0.13266216577937726</v>
      </c>
      <c r="L916" t="str">
        <f t="shared" si="89"/>
        <v>2022-02</v>
      </c>
      <c r="M916">
        <f t="shared" si="87"/>
        <v>267.63000000000011</v>
      </c>
    </row>
    <row r="917" spans="1:13" x14ac:dyDescent="0.25">
      <c r="A917" s="1">
        <v>44701</v>
      </c>
      <c r="B917" t="s">
        <v>10</v>
      </c>
      <c r="C917" t="s">
        <v>11</v>
      </c>
      <c r="D917" t="s">
        <v>13</v>
      </c>
      <c r="E917">
        <v>1218.8499999999999</v>
      </c>
      <c r="F917">
        <v>1038</v>
      </c>
      <c r="G917">
        <v>9</v>
      </c>
      <c r="H917">
        <f t="shared" si="84"/>
        <v>10969.65</v>
      </c>
      <c r="I917">
        <f t="shared" si="88"/>
        <v>9342</v>
      </c>
      <c r="J917">
        <f t="shared" si="85"/>
        <v>1627.6499999999996</v>
      </c>
      <c r="K917" s="8">
        <f t="shared" si="86"/>
        <v>0.14837756901997781</v>
      </c>
      <c r="L917" t="str">
        <f t="shared" si="89"/>
        <v>2022-05</v>
      </c>
      <c r="M917">
        <f t="shared" si="87"/>
        <v>1627.6499999999996</v>
      </c>
    </row>
    <row r="918" spans="1:13" x14ac:dyDescent="0.25">
      <c r="A918" s="1">
        <v>45639</v>
      </c>
      <c r="B918" t="s">
        <v>7</v>
      </c>
      <c r="C918" t="s">
        <v>8</v>
      </c>
      <c r="D918" t="s">
        <v>13</v>
      </c>
      <c r="E918">
        <v>1194.75</v>
      </c>
      <c r="F918">
        <v>1048.8699999999999</v>
      </c>
      <c r="G918">
        <v>3</v>
      </c>
      <c r="H918">
        <f t="shared" si="84"/>
        <v>3584.25</v>
      </c>
      <c r="I918">
        <f t="shared" si="88"/>
        <v>3146.6099999999997</v>
      </c>
      <c r="J918">
        <f t="shared" si="85"/>
        <v>437.64000000000033</v>
      </c>
      <c r="K918" s="8">
        <f t="shared" si="86"/>
        <v>0.12210085792006706</v>
      </c>
      <c r="L918" t="str">
        <f t="shared" si="89"/>
        <v>2024-12</v>
      </c>
      <c r="M918">
        <f t="shared" si="87"/>
        <v>437.64000000000033</v>
      </c>
    </row>
    <row r="919" spans="1:13" x14ac:dyDescent="0.25">
      <c r="A919" s="1">
        <v>45270</v>
      </c>
      <c r="B919" t="s">
        <v>16</v>
      </c>
      <c r="C919" t="s">
        <v>15</v>
      </c>
      <c r="D919" t="s">
        <v>13</v>
      </c>
      <c r="E919">
        <v>1027.8499999999999</v>
      </c>
      <c r="F919">
        <v>596.38</v>
      </c>
      <c r="G919">
        <v>7</v>
      </c>
      <c r="H919">
        <f t="shared" si="84"/>
        <v>7194.9499999999989</v>
      </c>
      <c r="I919">
        <f t="shared" si="88"/>
        <v>4174.66</v>
      </c>
      <c r="J919">
        <f t="shared" si="85"/>
        <v>3020.2899999999991</v>
      </c>
      <c r="K919" s="8">
        <f t="shared" si="86"/>
        <v>0.41977915065427829</v>
      </c>
      <c r="L919" t="str">
        <f t="shared" si="89"/>
        <v>2023-12</v>
      </c>
      <c r="M919">
        <f t="shared" si="87"/>
        <v>3020.2899999999991</v>
      </c>
    </row>
    <row r="920" spans="1:13" x14ac:dyDescent="0.25">
      <c r="A920" s="1">
        <v>45008</v>
      </c>
      <c r="B920" t="s">
        <v>23</v>
      </c>
      <c r="C920" t="s">
        <v>11</v>
      </c>
      <c r="D920" t="s">
        <v>17</v>
      </c>
      <c r="E920">
        <v>1260.6099999999999</v>
      </c>
      <c r="F920">
        <v>802.33</v>
      </c>
      <c r="G920">
        <v>9</v>
      </c>
      <c r="H920">
        <f t="shared" si="84"/>
        <v>11345.49</v>
      </c>
      <c r="I920">
        <f t="shared" si="88"/>
        <v>7220.97</v>
      </c>
      <c r="J920">
        <f t="shared" si="85"/>
        <v>4124.5199999999995</v>
      </c>
      <c r="K920" s="8">
        <f t="shared" si="86"/>
        <v>0.36353828701977609</v>
      </c>
      <c r="L920" t="str">
        <f t="shared" si="89"/>
        <v>2023-03</v>
      </c>
      <c r="M920">
        <f t="shared" si="87"/>
        <v>4124.5199999999995</v>
      </c>
    </row>
    <row r="921" spans="1:13" x14ac:dyDescent="0.25">
      <c r="A921" s="1">
        <v>45590</v>
      </c>
      <c r="B921" t="s">
        <v>14</v>
      </c>
      <c r="C921" t="s">
        <v>15</v>
      </c>
      <c r="D921" t="s">
        <v>18</v>
      </c>
      <c r="E921">
        <v>1609.36</v>
      </c>
      <c r="F921">
        <v>1405.59</v>
      </c>
      <c r="G921">
        <v>4</v>
      </c>
      <c r="H921">
        <f t="shared" si="84"/>
        <v>6437.44</v>
      </c>
      <c r="I921">
        <f t="shared" si="88"/>
        <v>5622.36</v>
      </c>
      <c r="J921">
        <f t="shared" si="85"/>
        <v>815.07999999999993</v>
      </c>
      <c r="K921" s="8">
        <f t="shared" si="86"/>
        <v>0.12661554903812697</v>
      </c>
      <c r="L921" t="str">
        <f t="shared" si="89"/>
        <v>2024-10</v>
      </c>
      <c r="M921">
        <f t="shared" si="87"/>
        <v>815.07999999999993</v>
      </c>
    </row>
    <row r="922" spans="1:13" x14ac:dyDescent="0.25">
      <c r="A922" s="1">
        <v>44883</v>
      </c>
      <c r="B922" t="s">
        <v>21</v>
      </c>
      <c r="C922" t="s">
        <v>20</v>
      </c>
      <c r="D922" t="s">
        <v>9</v>
      </c>
      <c r="E922">
        <v>1111.29</v>
      </c>
      <c r="F922">
        <v>897.77</v>
      </c>
      <c r="G922">
        <v>9</v>
      </c>
      <c r="H922">
        <f t="shared" si="84"/>
        <v>10001.61</v>
      </c>
      <c r="I922">
        <f t="shared" si="88"/>
        <v>8079.93</v>
      </c>
      <c r="J922">
        <f t="shared" si="85"/>
        <v>1921.6800000000003</v>
      </c>
      <c r="K922" s="8">
        <f t="shared" si="86"/>
        <v>0.19213706593238492</v>
      </c>
      <c r="L922" t="str">
        <f t="shared" si="89"/>
        <v>2022-11</v>
      </c>
      <c r="M922">
        <f t="shared" si="87"/>
        <v>1921.6800000000003</v>
      </c>
    </row>
    <row r="923" spans="1:13" x14ac:dyDescent="0.25">
      <c r="A923" s="1">
        <v>44806</v>
      </c>
      <c r="B923" t="s">
        <v>14</v>
      </c>
      <c r="C923" t="s">
        <v>15</v>
      </c>
      <c r="D923" t="s">
        <v>18</v>
      </c>
      <c r="E923">
        <v>1904.44</v>
      </c>
      <c r="F923">
        <v>1406.6</v>
      </c>
      <c r="G923">
        <v>4</v>
      </c>
      <c r="H923">
        <f t="shared" si="84"/>
        <v>7617.76</v>
      </c>
      <c r="I923">
        <f t="shared" si="88"/>
        <v>5626.4</v>
      </c>
      <c r="J923">
        <f t="shared" si="85"/>
        <v>1991.3600000000006</v>
      </c>
      <c r="K923" s="8">
        <f t="shared" si="86"/>
        <v>0.26141017832013619</v>
      </c>
      <c r="L923" t="str">
        <f t="shared" si="89"/>
        <v>2022-09</v>
      </c>
      <c r="M923">
        <f t="shared" si="87"/>
        <v>1991.3600000000006</v>
      </c>
    </row>
    <row r="924" spans="1:13" x14ac:dyDescent="0.25">
      <c r="A924" s="1">
        <v>44877</v>
      </c>
      <c r="B924" t="s">
        <v>22</v>
      </c>
      <c r="C924" t="s">
        <v>8</v>
      </c>
      <c r="D924" t="s">
        <v>9</v>
      </c>
      <c r="E924">
        <v>1002.29</v>
      </c>
      <c r="F924">
        <v>855.06</v>
      </c>
      <c r="G924">
        <v>8</v>
      </c>
      <c r="H924">
        <f t="shared" si="84"/>
        <v>8018.32</v>
      </c>
      <c r="I924">
        <f t="shared" si="88"/>
        <v>6840.48</v>
      </c>
      <c r="J924">
        <f t="shared" si="85"/>
        <v>1177.8400000000001</v>
      </c>
      <c r="K924" s="8">
        <f t="shared" si="86"/>
        <v>0.14689361362479925</v>
      </c>
      <c r="L924" t="str">
        <f t="shared" si="89"/>
        <v>2022-11</v>
      </c>
      <c r="M924">
        <f t="shared" si="87"/>
        <v>1177.8400000000001</v>
      </c>
    </row>
    <row r="925" spans="1:13" x14ac:dyDescent="0.25">
      <c r="A925" s="1">
        <v>45225</v>
      </c>
      <c r="B925" t="s">
        <v>23</v>
      </c>
      <c r="C925" t="s">
        <v>11</v>
      </c>
      <c r="D925" t="s">
        <v>9</v>
      </c>
      <c r="E925">
        <v>1584.15</v>
      </c>
      <c r="F925">
        <v>930.33</v>
      </c>
      <c r="G925">
        <v>8</v>
      </c>
      <c r="H925">
        <f t="shared" si="84"/>
        <v>12673.2</v>
      </c>
      <c r="I925">
        <f t="shared" si="88"/>
        <v>7442.64</v>
      </c>
      <c r="J925">
        <f t="shared" si="85"/>
        <v>5230.5600000000004</v>
      </c>
      <c r="K925" s="8">
        <f t="shared" si="86"/>
        <v>0.41272606760723418</v>
      </c>
      <c r="L925" t="str">
        <f t="shared" si="89"/>
        <v>2023-10</v>
      </c>
      <c r="M925">
        <f t="shared" si="87"/>
        <v>5230.5600000000004</v>
      </c>
    </row>
    <row r="926" spans="1:13" x14ac:dyDescent="0.25">
      <c r="A926" s="1">
        <v>45035</v>
      </c>
      <c r="B926" t="s">
        <v>12</v>
      </c>
      <c r="C926" t="s">
        <v>8</v>
      </c>
      <c r="D926" t="s">
        <v>9</v>
      </c>
      <c r="E926">
        <v>1984.77</v>
      </c>
      <c r="F926">
        <v>1036.8599999999999</v>
      </c>
      <c r="G926">
        <v>6</v>
      </c>
      <c r="H926">
        <f t="shared" si="84"/>
        <v>11908.619999999999</v>
      </c>
      <c r="I926">
        <f t="shared" si="88"/>
        <v>6221.16</v>
      </c>
      <c r="J926">
        <f t="shared" si="85"/>
        <v>5687.4599999999991</v>
      </c>
      <c r="K926" s="8">
        <f t="shared" si="86"/>
        <v>0.4775918620293535</v>
      </c>
      <c r="L926" t="str">
        <f t="shared" si="89"/>
        <v>2023-04</v>
      </c>
      <c r="M926">
        <f t="shared" si="87"/>
        <v>5687.4599999999991</v>
      </c>
    </row>
    <row r="927" spans="1:13" x14ac:dyDescent="0.25">
      <c r="A927" s="1">
        <v>44873</v>
      </c>
      <c r="B927" t="s">
        <v>10</v>
      </c>
      <c r="C927" t="s">
        <v>11</v>
      </c>
      <c r="D927" t="s">
        <v>13</v>
      </c>
      <c r="E927">
        <v>548.67999999999995</v>
      </c>
      <c r="F927">
        <v>295.42</v>
      </c>
      <c r="G927">
        <v>2</v>
      </c>
      <c r="H927">
        <f t="shared" si="84"/>
        <v>1097.3599999999999</v>
      </c>
      <c r="I927">
        <f t="shared" si="88"/>
        <v>590.84</v>
      </c>
      <c r="J927">
        <f t="shared" si="85"/>
        <v>506.51999999999987</v>
      </c>
      <c r="K927" s="8">
        <f t="shared" si="86"/>
        <v>0.46158052052197995</v>
      </c>
      <c r="L927" t="str">
        <f t="shared" si="89"/>
        <v>2022-11</v>
      </c>
      <c r="M927">
        <f t="shared" si="87"/>
        <v>506.51999999999987</v>
      </c>
    </row>
    <row r="928" spans="1:13" x14ac:dyDescent="0.25">
      <c r="A928" s="1">
        <v>45434</v>
      </c>
      <c r="B928" t="s">
        <v>21</v>
      </c>
      <c r="C928" t="s">
        <v>20</v>
      </c>
      <c r="D928" t="s">
        <v>17</v>
      </c>
      <c r="E928">
        <v>1967.67</v>
      </c>
      <c r="F928">
        <v>1234.5999999999999</v>
      </c>
      <c r="G928">
        <v>8</v>
      </c>
      <c r="H928">
        <f t="shared" si="84"/>
        <v>15741.36</v>
      </c>
      <c r="I928">
        <f t="shared" si="88"/>
        <v>9876.7999999999993</v>
      </c>
      <c r="J928">
        <f t="shared" si="85"/>
        <v>5864.5600000000013</v>
      </c>
      <c r="K928" s="8">
        <f t="shared" si="86"/>
        <v>0.37255739021278983</v>
      </c>
      <c r="L928" t="str">
        <f t="shared" si="89"/>
        <v>2024-05</v>
      </c>
      <c r="M928">
        <f t="shared" si="87"/>
        <v>5864.5600000000013</v>
      </c>
    </row>
    <row r="929" spans="1:13" x14ac:dyDescent="0.25">
      <c r="A929" s="1">
        <v>44644</v>
      </c>
      <c r="B929" t="s">
        <v>10</v>
      </c>
      <c r="C929" t="s">
        <v>11</v>
      </c>
      <c r="D929" t="s">
        <v>18</v>
      </c>
      <c r="E929">
        <v>1181.22</v>
      </c>
      <c r="F929">
        <v>984.63</v>
      </c>
      <c r="G929">
        <v>6</v>
      </c>
      <c r="H929">
        <f t="shared" si="84"/>
        <v>7087.32</v>
      </c>
      <c r="I929">
        <f t="shared" si="88"/>
        <v>5907.78</v>
      </c>
      <c r="J929">
        <f t="shared" si="85"/>
        <v>1179.54</v>
      </c>
      <c r="K929" s="8">
        <f t="shared" si="86"/>
        <v>0.16642962360948849</v>
      </c>
      <c r="L929" t="str">
        <f t="shared" si="89"/>
        <v>2022-03</v>
      </c>
      <c r="M929">
        <f t="shared" si="87"/>
        <v>1179.54</v>
      </c>
    </row>
    <row r="930" spans="1:13" x14ac:dyDescent="0.25">
      <c r="A930" s="1">
        <v>44819</v>
      </c>
      <c r="B930" t="s">
        <v>25</v>
      </c>
      <c r="C930" t="s">
        <v>15</v>
      </c>
      <c r="D930" t="s">
        <v>18</v>
      </c>
      <c r="E930">
        <v>937.23</v>
      </c>
      <c r="F930">
        <v>667.34</v>
      </c>
      <c r="G930">
        <v>7</v>
      </c>
      <c r="H930">
        <f t="shared" si="84"/>
        <v>6560.6100000000006</v>
      </c>
      <c r="I930">
        <f t="shared" si="88"/>
        <v>4671.38</v>
      </c>
      <c r="J930">
        <f t="shared" si="85"/>
        <v>1889.2300000000005</v>
      </c>
      <c r="K930" s="8">
        <f t="shared" si="86"/>
        <v>0.28796560075968552</v>
      </c>
      <c r="L930" t="str">
        <f t="shared" si="89"/>
        <v>2022-09</v>
      </c>
      <c r="M930">
        <f t="shared" si="87"/>
        <v>1889.2300000000005</v>
      </c>
    </row>
    <row r="931" spans="1:13" x14ac:dyDescent="0.25">
      <c r="A931" s="1">
        <v>45258</v>
      </c>
      <c r="B931" t="s">
        <v>23</v>
      </c>
      <c r="C931" t="s">
        <v>11</v>
      </c>
      <c r="D931" t="s">
        <v>17</v>
      </c>
      <c r="E931">
        <v>729.89</v>
      </c>
      <c r="F931">
        <v>480.65</v>
      </c>
      <c r="G931">
        <v>9</v>
      </c>
      <c r="H931">
        <f t="shared" si="84"/>
        <v>6569.01</v>
      </c>
      <c r="I931">
        <f t="shared" si="88"/>
        <v>4325.8499999999995</v>
      </c>
      <c r="J931">
        <f t="shared" si="85"/>
        <v>2243.1600000000008</v>
      </c>
      <c r="K931" s="8">
        <f t="shared" si="86"/>
        <v>0.34147611283892104</v>
      </c>
      <c r="L931" t="str">
        <f t="shared" si="89"/>
        <v>2023-11</v>
      </c>
      <c r="M931">
        <f t="shared" si="87"/>
        <v>2243.1600000000008</v>
      </c>
    </row>
    <row r="932" spans="1:13" x14ac:dyDescent="0.25">
      <c r="A932" s="1">
        <v>44703</v>
      </c>
      <c r="B932" t="s">
        <v>23</v>
      </c>
      <c r="C932" t="s">
        <v>11</v>
      </c>
      <c r="D932" t="s">
        <v>13</v>
      </c>
      <c r="E932">
        <v>1650.78</v>
      </c>
      <c r="F932">
        <v>1198.43</v>
      </c>
      <c r="G932">
        <v>7</v>
      </c>
      <c r="H932">
        <f t="shared" si="84"/>
        <v>11555.46</v>
      </c>
      <c r="I932">
        <f t="shared" si="88"/>
        <v>8389.01</v>
      </c>
      <c r="J932">
        <f t="shared" si="85"/>
        <v>3166.4499999999989</v>
      </c>
      <c r="K932" s="8">
        <f t="shared" si="86"/>
        <v>0.27402197748942919</v>
      </c>
      <c r="L932" t="str">
        <f t="shared" si="89"/>
        <v>2022-05</v>
      </c>
      <c r="M932">
        <f t="shared" si="87"/>
        <v>3166.4499999999989</v>
      </c>
    </row>
    <row r="933" spans="1:13" x14ac:dyDescent="0.25">
      <c r="A933" s="1">
        <v>45069</v>
      </c>
      <c r="B933" t="s">
        <v>14</v>
      </c>
      <c r="C933" t="s">
        <v>15</v>
      </c>
      <c r="D933" t="s">
        <v>18</v>
      </c>
      <c r="E933">
        <v>871.06</v>
      </c>
      <c r="F933">
        <v>569.6</v>
      </c>
      <c r="G933">
        <v>3</v>
      </c>
      <c r="H933">
        <f t="shared" si="84"/>
        <v>2613.1799999999998</v>
      </c>
      <c r="I933">
        <f t="shared" si="88"/>
        <v>1708.8000000000002</v>
      </c>
      <c r="J933">
        <f t="shared" si="85"/>
        <v>904.37999999999965</v>
      </c>
      <c r="K933" s="8">
        <f t="shared" si="86"/>
        <v>0.34608408146396336</v>
      </c>
      <c r="L933" t="str">
        <f t="shared" si="89"/>
        <v>2023-05</v>
      </c>
      <c r="M933">
        <f t="shared" si="87"/>
        <v>904.37999999999965</v>
      </c>
    </row>
    <row r="934" spans="1:13" x14ac:dyDescent="0.25">
      <c r="A934" s="1">
        <v>45360</v>
      </c>
      <c r="B934" t="s">
        <v>21</v>
      </c>
      <c r="C934" t="s">
        <v>20</v>
      </c>
      <c r="D934" t="s">
        <v>18</v>
      </c>
      <c r="E934">
        <v>650.54</v>
      </c>
      <c r="F934">
        <v>381.72</v>
      </c>
      <c r="G934">
        <v>6</v>
      </c>
      <c r="H934">
        <f t="shared" si="84"/>
        <v>3903.24</v>
      </c>
      <c r="I934">
        <f t="shared" si="88"/>
        <v>2290.3200000000002</v>
      </c>
      <c r="J934">
        <f t="shared" si="85"/>
        <v>1612.9199999999996</v>
      </c>
      <c r="K934" s="8">
        <f t="shared" si="86"/>
        <v>0.41322593537676383</v>
      </c>
      <c r="L934" t="str">
        <f t="shared" si="89"/>
        <v>2024-03</v>
      </c>
      <c r="M934">
        <f t="shared" si="87"/>
        <v>1612.9199999999996</v>
      </c>
    </row>
    <row r="935" spans="1:13" x14ac:dyDescent="0.25">
      <c r="A935" s="1">
        <v>44725</v>
      </c>
      <c r="B935" t="s">
        <v>21</v>
      </c>
      <c r="C935" t="s">
        <v>20</v>
      </c>
      <c r="D935" t="s">
        <v>18</v>
      </c>
      <c r="E935">
        <v>64.17</v>
      </c>
      <c r="F935">
        <v>36.68</v>
      </c>
      <c r="G935">
        <v>3</v>
      </c>
      <c r="H935">
        <f t="shared" si="84"/>
        <v>192.51</v>
      </c>
      <c r="I935">
        <f t="shared" si="88"/>
        <v>110.03999999999999</v>
      </c>
      <c r="J935">
        <f t="shared" si="85"/>
        <v>82.47</v>
      </c>
      <c r="K935" s="8">
        <f t="shared" si="86"/>
        <v>0.42839333021661213</v>
      </c>
      <c r="L935" t="str">
        <f t="shared" si="89"/>
        <v>2022-06</v>
      </c>
      <c r="M935">
        <f t="shared" si="87"/>
        <v>82.47</v>
      </c>
    </row>
    <row r="936" spans="1:13" x14ac:dyDescent="0.25">
      <c r="A936" s="1">
        <v>45091</v>
      </c>
      <c r="B936" t="s">
        <v>23</v>
      </c>
      <c r="C936" t="s">
        <v>11</v>
      </c>
      <c r="D936" t="s">
        <v>9</v>
      </c>
      <c r="E936">
        <v>1493.83</v>
      </c>
      <c r="F936">
        <v>1311.5</v>
      </c>
      <c r="G936">
        <v>8</v>
      </c>
      <c r="H936">
        <f t="shared" si="84"/>
        <v>11950.64</v>
      </c>
      <c r="I936">
        <f t="shared" si="88"/>
        <v>10492</v>
      </c>
      <c r="J936">
        <f t="shared" si="85"/>
        <v>1458.6399999999994</v>
      </c>
      <c r="K936" s="8">
        <f t="shared" si="86"/>
        <v>0.12205538782860161</v>
      </c>
      <c r="L936" t="str">
        <f t="shared" si="89"/>
        <v>2023-06</v>
      </c>
      <c r="M936">
        <f t="shared" si="87"/>
        <v>1458.6399999999994</v>
      </c>
    </row>
    <row r="937" spans="1:13" x14ac:dyDescent="0.25">
      <c r="A937" s="1">
        <v>44837</v>
      </c>
      <c r="B937" t="s">
        <v>16</v>
      </c>
      <c r="C937" t="s">
        <v>15</v>
      </c>
      <c r="D937" t="s">
        <v>9</v>
      </c>
      <c r="E937">
        <v>1230.76</v>
      </c>
      <c r="F937">
        <v>737.25</v>
      </c>
      <c r="G937">
        <v>6</v>
      </c>
      <c r="H937">
        <f t="shared" si="84"/>
        <v>7384.5599999999995</v>
      </c>
      <c r="I937">
        <f t="shared" si="88"/>
        <v>4423.5</v>
      </c>
      <c r="J937">
        <f t="shared" si="85"/>
        <v>2961.0599999999995</v>
      </c>
      <c r="K937" s="8">
        <f t="shared" si="86"/>
        <v>0.40097988234911758</v>
      </c>
      <c r="L937" t="str">
        <f t="shared" si="89"/>
        <v>2022-10</v>
      </c>
      <c r="M937">
        <f t="shared" si="87"/>
        <v>2961.0599999999995</v>
      </c>
    </row>
    <row r="938" spans="1:13" x14ac:dyDescent="0.25">
      <c r="A938" s="1">
        <v>44893</v>
      </c>
      <c r="B938" t="s">
        <v>24</v>
      </c>
      <c r="C938" t="s">
        <v>20</v>
      </c>
      <c r="D938" t="s">
        <v>13</v>
      </c>
      <c r="E938">
        <v>200.94</v>
      </c>
      <c r="F938">
        <v>176</v>
      </c>
      <c r="G938">
        <v>1</v>
      </c>
      <c r="H938">
        <f t="shared" si="84"/>
        <v>200.94</v>
      </c>
      <c r="I938">
        <f t="shared" si="88"/>
        <v>176</v>
      </c>
      <c r="J938">
        <f t="shared" si="85"/>
        <v>24.939999999999998</v>
      </c>
      <c r="K938" s="8">
        <f t="shared" si="86"/>
        <v>0.12411665173683685</v>
      </c>
      <c r="L938" t="str">
        <f t="shared" si="89"/>
        <v>2022-11</v>
      </c>
      <c r="M938">
        <f t="shared" si="87"/>
        <v>24.939999999999998</v>
      </c>
    </row>
    <row r="939" spans="1:13" x14ac:dyDescent="0.25">
      <c r="A939" s="1">
        <v>45492</v>
      </c>
      <c r="B939" t="s">
        <v>10</v>
      </c>
      <c r="C939" t="s">
        <v>11</v>
      </c>
      <c r="D939" t="s">
        <v>18</v>
      </c>
      <c r="E939">
        <v>1784.93</v>
      </c>
      <c r="F939">
        <v>1097.4100000000001</v>
      </c>
      <c r="G939">
        <v>7</v>
      </c>
      <c r="H939">
        <f t="shared" si="84"/>
        <v>12494.51</v>
      </c>
      <c r="I939">
        <f t="shared" si="88"/>
        <v>7681.8700000000008</v>
      </c>
      <c r="J939">
        <f t="shared" si="85"/>
        <v>4812.6399999999994</v>
      </c>
      <c r="K939" s="8">
        <f t="shared" si="86"/>
        <v>0.38518037121903936</v>
      </c>
      <c r="L939" t="str">
        <f t="shared" si="89"/>
        <v>2024-07</v>
      </c>
      <c r="M939">
        <f t="shared" si="87"/>
        <v>4812.6399999999994</v>
      </c>
    </row>
    <row r="940" spans="1:13" x14ac:dyDescent="0.25">
      <c r="A940" s="1">
        <v>45355</v>
      </c>
      <c r="B940" t="s">
        <v>25</v>
      </c>
      <c r="C940" t="s">
        <v>15</v>
      </c>
      <c r="D940" t="s">
        <v>9</v>
      </c>
      <c r="E940">
        <v>1373.04</v>
      </c>
      <c r="F940">
        <v>689.74</v>
      </c>
      <c r="G940">
        <v>10</v>
      </c>
      <c r="H940">
        <f t="shared" si="84"/>
        <v>13730.4</v>
      </c>
      <c r="I940">
        <f t="shared" si="88"/>
        <v>6897.4</v>
      </c>
      <c r="J940">
        <f t="shared" si="85"/>
        <v>6833</v>
      </c>
      <c r="K940" s="8">
        <f t="shared" si="86"/>
        <v>0.49765483889762863</v>
      </c>
      <c r="L940" t="str">
        <f t="shared" si="89"/>
        <v>2024-03</v>
      </c>
      <c r="M940">
        <f t="shared" si="87"/>
        <v>6833</v>
      </c>
    </row>
    <row r="941" spans="1:13" x14ac:dyDescent="0.25">
      <c r="A941" s="1">
        <v>44938</v>
      </c>
      <c r="B941" t="s">
        <v>16</v>
      </c>
      <c r="C941" t="s">
        <v>15</v>
      </c>
      <c r="D941" t="s">
        <v>9</v>
      </c>
      <c r="E941">
        <v>62.44</v>
      </c>
      <c r="F941">
        <v>49.93</v>
      </c>
      <c r="G941">
        <v>7</v>
      </c>
      <c r="H941">
        <f t="shared" si="84"/>
        <v>437.08</v>
      </c>
      <c r="I941">
        <f t="shared" si="88"/>
        <v>349.51</v>
      </c>
      <c r="J941">
        <f t="shared" si="85"/>
        <v>87.57</v>
      </c>
      <c r="K941" s="8">
        <f t="shared" si="86"/>
        <v>0.20035233824471491</v>
      </c>
      <c r="L941" t="str">
        <f t="shared" si="89"/>
        <v>2023-01</v>
      </c>
      <c r="M941">
        <f t="shared" si="87"/>
        <v>87.57</v>
      </c>
    </row>
    <row r="942" spans="1:13" x14ac:dyDescent="0.25">
      <c r="A942" s="1">
        <v>44602</v>
      </c>
      <c r="B942" t="s">
        <v>7</v>
      </c>
      <c r="C942" t="s">
        <v>8</v>
      </c>
      <c r="D942" t="s">
        <v>13</v>
      </c>
      <c r="E942">
        <v>505.68</v>
      </c>
      <c r="F942">
        <v>352.48</v>
      </c>
      <c r="G942">
        <v>2</v>
      </c>
      <c r="H942">
        <f t="shared" si="84"/>
        <v>1011.36</v>
      </c>
      <c r="I942">
        <f t="shared" si="88"/>
        <v>704.96</v>
      </c>
      <c r="J942">
        <f t="shared" si="85"/>
        <v>306.39999999999998</v>
      </c>
      <c r="K942" s="8">
        <f t="shared" si="86"/>
        <v>0.30295839265938929</v>
      </c>
      <c r="L942" t="str">
        <f t="shared" si="89"/>
        <v>2022-02</v>
      </c>
      <c r="M942">
        <f t="shared" si="87"/>
        <v>306.39999999999998</v>
      </c>
    </row>
    <row r="943" spans="1:13" x14ac:dyDescent="0.25">
      <c r="A943" s="1">
        <v>45099</v>
      </c>
      <c r="B943" t="s">
        <v>19</v>
      </c>
      <c r="C943" t="s">
        <v>20</v>
      </c>
      <c r="D943" t="s">
        <v>13</v>
      </c>
      <c r="E943">
        <v>156.74</v>
      </c>
      <c r="F943">
        <v>97.94</v>
      </c>
      <c r="G943">
        <v>9</v>
      </c>
      <c r="H943">
        <f t="shared" si="84"/>
        <v>1410.66</v>
      </c>
      <c r="I943">
        <f t="shared" si="88"/>
        <v>881.46</v>
      </c>
      <c r="J943">
        <f t="shared" si="85"/>
        <v>529.20000000000005</v>
      </c>
      <c r="K943" s="8">
        <f t="shared" si="86"/>
        <v>0.37514354982774023</v>
      </c>
      <c r="L943" t="str">
        <f t="shared" si="89"/>
        <v>2023-06</v>
      </c>
      <c r="M943">
        <f t="shared" si="87"/>
        <v>529.20000000000005</v>
      </c>
    </row>
    <row r="944" spans="1:13" x14ac:dyDescent="0.25">
      <c r="A944" s="1">
        <v>45022</v>
      </c>
      <c r="B944" t="s">
        <v>14</v>
      </c>
      <c r="C944" t="s">
        <v>15</v>
      </c>
      <c r="D944" t="s">
        <v>18</v>
      </c>
      <c r="E944">
        <v>598.61</v>
      </c>
      <c r="F944">
        <v>337.05</v>
      </c>
      <c r="G944">
        <v>4</v>
      </c>
      <c r="H944">
        <f t="shared" si="84"/>
        <v>2394.44</v>
      </c>
      <c r="I944">
        <f t="shared" si="88"/>
        <v>1348.2</v>
      </c>
      <c r="J944">
        <f t="shared" si="85"/>
        <v>1046.24</v>
      </c>
      <c r="K944" s="8">
        <f t="shared" si="86"/>
        <v>0.43694559061826566</v>
      </c>
      <c r="L944" t="str">
        <f t="shared" si="89"/>
        <v>2023-04</v>
      </c>
      <c r="M944">
        <f t="shared" si="87"/>
        <v>1046.24</v>
      </c>
    </row>
    <row r="945" spans="1:13" x14ac:dyDescent="0.25">
      <c r="A945" s="1">
        <v>45427</v>
      </c>
      <c r="B945" t="s">
        <v>21</v>
      </c>
      <c r="C945" t="s">
        <v>20</v>
      </c>
      <c r="D945" t="s">
        <v>18</v>
      </c>
      <c r="E945">
        <v>132.36000000000001</v>
      </c>
      <c r="F945">
        <v>88.86</v>
      </c>
      <c r="G945">
        <v>2</v>
      </c>
      <c r="H945">
        <f t="shared" si="84"/>
        <v>264.72000000000003</v>
      </c>
      <c r="I945">
        <f t="shared" si="88"/>
        <v>177.72</v>
      </c>
      <c r="J945">
        <f t="shared" si="85"/>
        <v>87.000000000000028</v>
      </c>
      <c r="K945" s="8">
        <f t="shared" si="86"/>
        <v>0.3286491387126021</v>
      </c>
      <c r="L945" t="str">
        <f t="shared" si="89"/>
        <v>2024-05</v>
      </c>
      <c r="M945">
        <f t="shared" si="87"/>
        <v>87.000000000000028</v>
      </c>
    </row>
    <row r="946" spans="1:13" x14ac:dyDescent="0.25">
      <c r="A946" s="1">
        <v>44936</v>
      </c>
      <c r="B946" t="s">
        <v>24</v>
      </c>
      <c r="C946" t="s">
        <v>20</v>
      </c>
      <c r="D946" t="s">
        <v>9</v>
      </c>
      <c r="E946">
        <v>1003.99</v>
      </c>
      <c r="F946">
        <v>521.48</v>
      </c>
      <c r="G946">
        <v>10</v>
      </c>
      <c r="H946">
        <f t="shared" si="84"/>
        <v>10039.9</v>
      </c>
      <c r="I946">
        <f t="shared" si="88"/>
        <v>5214.8</v>
      </c>
      <c r="J946">
        <f t="shared" si="85"/>
        <v>4825.0999999999995</v>
      </c>
      <c r="K946" s="8">
        <f t="shared" si="86"/>
        <v>0.4805924361796432</v>
      </c>
      <c r="L946" t="str">
        <f t="shared" si="89"/>
        <v>2023-01</v>
      </c>
      <c r="M946">
        <f t="shared" si="87"/>
        <v>4825.0999999999995</v>
      </c>
    </row>
    <row r="947" spans="1:13" x14ac:dyDescent="0.25">
      <c r="A947" s="1">
        <v>45512</v>
      </c>
      <c r="B947" t="s">
        <v>16</v>
      </c>
      <c r="C947" t="s">
        <v>15</v>
      </c>
      <c r="D947" t="s">
        <v>17</v>
      </c>
      <c r="E947">
        <v>1805.83</v>
      </c>
      <c r="F947">
        <v>1335.88</v>
      </c>
      <c r="G947">
        <v>1</v>
      </c>
      <c r="H947">
        <f t="shared" si="84"/>
        <v>1805.83</v>
      </c>
      <c r="I947">
        <f t="shared" si="88"/>
        <v>1335.88</v>
      </c>
      <c r="J947">
        <f t="shared" si="85"/>
        <v>469.94999999999982</v>
      </c>
      <c r="K947" s="8">
        <f t="shared" si="86"/>
        <v>0.26024044345259512</v>
      </c>
      <c r="L947" t="str">
        <f t="shared" si="89"/>
        <v>2024-08</v>
      </c>
      <c r="M947">
        <f t="shared" si="87"/>
        <v>469.94999999999982</v>
      </c>
    </row>
    <row r="948" spans="1:13" x14ac:dyDescent="0.25">
      <c r="A948" s="1">
        <v>45247</v>
      </c>
      <c r="B948" t="s">
        <v>7</v>
      </c>
      <c r="C948" t="s">
        <v>8</v>
      </c>
      <c r="D948" t="s">
        <v>9</v>
      </c>
      <c r="E948">
        <v>343.92</v>
      </c>
      <c r="F948">
        <v>253.06</v>
      </c>
      <c r="G948">
        <v>8</v>
      </c>
      <c r="H948">
        <f t="shared" si="84"/>
        <v>2751.36</v>
      </c>
      <c r="I948">
        <f t="shared" si="88"/>
        <v>2024.48</v>
      </c>
      <c r="J948">
        <f t="shared" si="85"/>
        <v>726.88000000000011</v>
      </c>
      <c r="K948" s="8">
        <f t="shared" si="86"/>
        <v>0.26418934635961855</v>
      </c>
      <c r="L948" t="str">
        <f t="shared" si="89"/>
        <v>2023-11</v>
      </c>
      <c r="M948">
        <f t="shared" si="87"/>
        <v>726.88000000000011</v>
      </c>
    </row>
    <row r="949" spans="1:13" x14ac:dyDescent="0.25">
      <c r="A949" s="1">
        <v>44920</v>
      </c>
      <c r="B949" t="s">
        <v>23</v>
      </c>
      <c r="C949" t="s">
        <v>11</v>
      </c>
      <c r="D949" t="s">
        <v>18</v>
      </c>
      <c r="E949">
        <v>806.27</v>
      </c>
      <c r="F949">
        <v>583.77</v>
      </c>
      <c r="G949">
        <v>5</v>
      </c>
      <c r="H949">
        <f t="shared" si="84"/>
        <v>4031.35</v>
      </c>
      <c r="I949">
        <f t="shared" si="88"/>
        <v>2918.85</v>
      </c>
      <c r="J949">
        <f t="shared" si="85"/>
        <v>1112.5</v>
      </c>
      <c r="K949" s="8">
        <f t="shared" si="86"/>
        <v>0.27596214667543129</v>
      </c>
      <c r="L949" t="str">
        <f t="shared" si="89"/>
        <v>2022-12</v>
      </c>
      <c r="M949">
        <f t="shared" si="87"/>
        <v>1112.5</v>
      </c>
    </row>
    <row r="950" spans="1:13" x14ac:dyDescent="0.25">
      <c r="A950" s="1">
        <v>45411</v>
      </c>
      <c r="B950" t="s">
        <v>25</v>
      </c>
      <c r="C950" t="s">
        <v>15</v>
      </c>
      <c r="D950" t="s">
        <v>9</v>
      </c>
      <c r="E950">
        <v>1892.14</v>
      </c>
      <c r="F950">
        <v>953.92</v>
      </c>
      <c r="G950">
        <v>7</v>
      </c>
      <c r="H950">
        <f t="shared" si="84"/>
        <v>13244.980000000001</v>
      </c>
      <c r="I950">
        <f t="shared" si="88"/>
        <v>6677.44</v>
      </c>
      <c r="J950">
        <f t="shared" si="85"/>
        <v>6567.5400000000018</v>
      </c>
      <c r="K950" s="8">
        <f t="shared" si="86"/>
        <v>0.4958512583635461</v>
      </c>
      <c r="L950" t="str">
        <f t="shared" si="89"/>
        <v>2024-04</v>
      </c>
      <c r="M950">
        <f t="shared" si="87"/>
        <v>6567.5400000000018</v>
      </c>
    </row>
    <row r="951" spans="1:13" x14ac:dyDescent="0.25">
      <c r="A951" s="1">
        <v>45119</v>
      </c>
      <c r="B951" t="s">
        <v>21</v>
      </c>
      <c r="C951" t="s">
        <v>20</v>
      </c>
      <c r="D951" t="s">
        <v>13</v>
      </c>
      <c r="E951">
        <v>1412.36</v>
      </c>
      <c r="F951">
        <v>1030.71</v>
      </c>
      <c r="G951">
        <v>1</v>
      </c>
      <c r="H951">
        <f t="shared" si="84"/>
        <v>1412.36</v>
      </c>
      <c r="I951">
        <f t="shared" si="88"/>
        <v>1030.71</v>
      </c>
      <c r="J951">
        <f t="shared" si="85"/>
        <v>381.64999999999986</v>
      </c>
      <c r="K951" s="8">
        <f t="shared" si="86"/>
        <v>0.27022147327876739</v>
      </c>
      <c r="L951" t="str">
        <f t="shared" si="89"/>
        <v>2023-07</v>
      </c>
      <c r="M951">
        <f t="shared" si="87"/>
        <v>381.64999999999986</v>
      </c>
    </row>
    <row r="952" spans="1:13" x14ac:dyDescent="0.25">
      <c r="A952" s="1">
        <v>44733</v>
      </c>
      <c r="B952" t="s">
        <v>25</v>
      </c>
      <c r="C952" t="s">
        <v>15</v>
      </c>
      <c r="D952" t="s">
        <v>17</v>
      </c>
      <c r="E952">
        <v>981.84</v>
      </c>
      <c r="F952">
        <v>796.18</v>
      </c>
      <c r="G952">
        <v>2</v>
      </c>
      <c r="H952">
        <f t="shared" si="84"/>
        <v>1963.68</v>
      </c>
      <c r="I952">
        <f t="shared" si="88"/>
        <v>1592.36</v>
      </c>
      <c r="J952">
        <f t="shared" si="85"/>
        <v>371.32000000000016</v>
      </c>
      <c r="K952" s="8">
        <f t="shared" si="86"/>
        <v>0.18909394606045798</v>
      </c>
      <c r="L952" t="str">
        <f t="shared" si="89"/>
        <v>2022-06</v>
      </c>
      <c r="M952">
        <f t="shared" si="87"/>
        <v>371.32000000000016</v>
      </c>
    </row>
    <row r="953" spans="1:13" x14ac:dyDescent="0.25">
      <c r="A953" s="1">
        <v>44793</v>
      </c>
      <c r="B953" t="s">
        <v>22</v>
      </c>
      <c r="C953" t="s">
        <v>8</v>
      </c>
      <c r="D953" t="s">
        <v>9</v>
      </c>
      <c r="E953">
        <v>725.63</v>
      </c>
      <c r="F953">
        <v>641.5</v>
      </c>
      <c r="G953">
        <v>5</v>
      </c>
      <c r="H953">
        <f t="shared" si="84"/>
        <v>3628.15</v>
      </c>
      <c r="I953">
        <f t="shared" si="88"/>
        <v>3207.5</v>
      </c>
      <c r="J953">
        <f t="shared" si="85"/>
        <v>420.65000000000009</v>
      </c>
      <c r="K953" s="8">
        <f t="shared" si="86"/>
        <v>0.1159406309000455</v>
      </c>
      <c r="L953" t="str">
        <f t="shared" si="89"/>
        <v>2022-08</v>
      </c>
      <c r="M953">
        <f t="shared" si="87"/>
        <v>420.65000000000009</v>
      </c>
    </row>
    <row r="954" spans="1:13" x14ac:dyDescent="0.25">
      <c r="A954" s="1">
        <v>44673</v>
      </c>
      <c r="B954" t="s">
        <v>22</v>
      </c>
      <c r="C954" t="s">
        <v>8</v>
      </c>
      <c r="D954" t="s">
        <v>18</v>
      </c>
      <c r="E954">
        <v>98.39</v>
      </c>
      <c r="F954">
        <v>78.39</v>
      </c>
      <c r="G954">
        <v>7</v>
      </c>
      <c r="H954">
        <f t="shared" si="84"/>
        <v>688.73</v>
      </c>
      <c r="I954">
        <f t="shared" si="88"/>
        <v>548.73</v>
      </c>
      <c r="J954">
        <f t="shared" si="85"/>
        <v>140</v>
      </c>
      <c r="K954" s="8">
        <f t="shared" si="86"/>
        <v>0.20327269031405631</v>
      </c>
      <c r="L954" t="str">
        <f t="shared" si="89"/>
        <v>2022-04</v>
      </c>
      <c r="M954">
        <f t="shared" si="87"/>
        <v>140</v>
      </c>
    </row>
    <row r="955" spans="1:13" x14ac:dyDescent="0.25">
      <c r="A955" s="1">
        <v>45063</v>
      </c>
      <c r="B955" t="s">
        <v>22</v>
      </c>
      <c r="C955" t="s">
        <v>8</v>
      </c>
      <c r="D955" t="s">
        <v>18</v>
      </c>
      <c r="E955">
        <v>1622.57</v>
      </c>
      <c r="F955">
        <v>996.65</v>
      </c>
      <c r="G955">
        <v>10</v>
      </c>
      <c r="H955">
        <f t="shared" si="84"/>
        <v>16225.699999999999</v>
      </c>
      <c r="I955">
        <f t="shared" si="88"/>
        <v>9966.5</v>
      </c>
      <c r="J955">
        <f t="shared" si="85"/>
        <v>6259.1999999999989</v>
      </c>
      <c r="K955" s="8">
        <f t="shared" si="86"/>
        <v>0.3857583956316214</v>
      </c>
      <c r="L955" t="str">
        <f t="shared" si="89"/>
        <v>2023-05</v>
      </c>
      <c r="M955">
        <f t="shared" si="87"/>
        <v>6259.1999999999989</v>
      </c>
    </row>
    <row r="956" spans="1:13" x14ac:dyDescent="0.25">
      <c r="A956" s="1">
        <v>44965</v>
      </c>
      <c r="B956" t="s">
        <v>21</v>
      </c>
      <c r="C956" t="s">
        <v>20</v>
      </c>
      <c r="D956" t="s">
        <v>17</v>
      </c>
      <c r="E956">
        <v>693.1</v>
      </c>
      <c r="F956">
        <v>590.91</v>
      </c>
      <c r="G956">
        <v>6</v>
      </c>
      <c r="H956">
        <f t="shared" si="84"/>
        <v>4158.6000000000004</v>
      </c>
      <c r="I956">
        <f t="shared" si="88"/>
        <v>3545.46</v>
      </c>
      <c r="J956">
        <f t="shared" si="85"/>
        <v>613.14000000000033</v>
      </c>
      <c r="K956" s="8">
        <f t="shared" si="86"/>
        <v>0.14743904198528357</v>
      </c>
      <c r="L956" t="str">
        <f t="shared" si="89"/>
        <v>2023-02</v>
      </c>
      <c r="M956">
        <f t="shared" si="87"/>
        <v>613.14000000000033</v>
      </c>
    </row>
    <row r="957" spans="1:13" x14ac:dyDescent="0.25">
      <c r="A957" s="1">
        <v>45235</v>
      </c>
      <c r="B957" t="s">
        <v>12</v>
      </c>
      <c r="C957" t="s">
        <v>8</v>
      </c>
      <c r="D957" t="s">
        <v>9</v>
      </c>
      <c r="E957">
        <v>463.91</v>
      </c>
      <c r="F957">
        <v>351.34</v>
      </c>
      <c r="G957">
        <v>6</v>
      </c>
      <c r="H957">
        <f t="shared" si="84"/>
        <v>2783.46</v>
      </c>
      <c r="I957">
        <f t="shared" si="88"/>
        <v>2108.04</v>
      </c>
      <c r="J957">
        <f t="shared" si="85"/>
        <v>675.42000000000007</v>
      </c>
      <c r="K957" s="8">
        <f t="shared" si="86"/>
        <v>0.24265482528938806</v>
      </c>
      <c r="L957" t="str">
        <f t="shared" si="89"/>
        <v>2023-11</v>
      </c>
      <c r="M957">
        <f t="shared" si="87"/>
        <v>675.42000000000007</v>
      </c>
    </row>
    <row r="958" spans="1:13" x14ac:dyDescent="0.25">
      <c r="A958" s="1">
        <v>45176</v>
      </c>
      <c r="B958" t="s">
        <v>23</v>
      </c>
      <c r="C958" t="s">
        <v>11</v>
      </c>
      <c r="D958" t="s">
        <v>9</v>
      </c>
      <c r="E958">
        <v>1302.49</v>
      </c>
      <c r="F958">
        <v>849.74</v>
      </c>
      <c r="G958">
        <v>3</v>
      </c>
      <c r="H958">
        <f t="shared" si="84"/>
        <v>3907.4700000000003</v>
      </c>
      <c r="I958">
        <f t="shared" si="88"/>
        <v>2549.2200000000003</v>
      </c>
      <c r="J958">
        <f t="shared" si="85"/>
        <v>1358.25</v>
      </c>
      <c r="K958" s="8">
        <f t="shared" si="86"/>
        <v>0.34760343649471392</v>
      </c>
      <c r="L958" t="str">
        <f t="shared" si="89"/>
        <v>2023-09</v>
      </c>
      <c r="M958">
        <f t="shared" si="87"/>
        <v>1358.25</v>
      </c>
    </row>
    <row r="959" spans="1:13" x14ac:dyDescent="0.25">
      <c r="A959" s="1">
        <v>44876</v>
      </c>
      <c r="B959" t="s">
        <v>24</v>
      </c>
      <c r="C959" t="s">
        <v>20</v>
      </c>
      <c r="D959" t="s">
        <v>17</v>
      </c>
      <c r="E959">
        <v>1424.75</v>
      </c>
      <c r="F959">
        <v>1055.73</v>
      </c>
      <c r="G959">
        <v>9</v>
      </c>
      <c r="H959">
        <f t="shared" si="84"/>
        <v>12822.75</v>
      </c>
      <c r="I959">
        <f t="shared" si="88"/>
        <v>9501.57</v>
      </c>
      <c r="J959">
        <f t="shared" si="85"/>
        <v>3321.1800000000003</v>
      </c>
      <c r="K959" s="8">
        <f t="shared" si="86"/>
        <v>0.25900684330584317</v>
      </c>
      <c r="L959" t="str">
        <f t="shared" si="89"/>
        <v>2022-11</v>
      </c>
      <c r="M959">
        <f t="shared" si="87"/>
        <v>3321.1800000000003</v>
      </c>
    </row>
    <row r="960" spans="1:13" x14ac:dyDescent="0.25">
      <c r="A960" s="1">
        <v>45055</v>
      </c>
      <c r="B960" t="s">
        <v>14</v>
      </c>
      <c r="C960" t="s">
        <v>15</v>
      </c>
      <c r="D960" t="s">
        <v>9</v>
      </c>
      <c r="E960">
        <v>1399.67</v>
      </c>
      <c r="F960">
        <v>1081.81</v>
      </c>
      <c r="G960">
        <v>9</v>
      </c>
      <c r="H960">
        <f t="shared" si="84"/>
        <v>12597.03</v>
      </c>
      <c r="I960">
        <f t="shared" si="88"/>
        <v>9736.2899999999991</v>
      </c>
      <c r="J960">
        <f t="shared" si="85"/>
        <v>2860.7400000000016</v>
      </c>
      <c r="K960" s="8">
        <f t="shared" si="86"/>
        <v>0.22709638700550855</v>
      </c>
      <c r="L960" t="str">
        <f t="shared" si="89"/>
        <v>2023-05</v>
      </c>
      <c r="M960">
        <f t="shared" si="87"/>
        <v>2860.7400000000016</v>
      </c>
    </row>
    <row r="961" spans="1:13" x14ac:dyDescent="0.25">
      <c r="A961" s="1">
        <v>45007</v>
      </c>
      <c r="B961" t="s">
        <v>10</v>
      </c>
      <c r="C961" t="s">
        <v>11</v>
      </c>
      <c r="D961" t="s">
        <v>18</v>
      </c>
      <c r="E961">
        <v>1822.7</v>
      </c>
      <c r="F961">
        <v>1349.45</v>
      </c>
      <c r="G961">
        <v>10</v>
      </c>
      <c r="H961">
        <f t="shared" si="84"/>
        <v>18227</v>
      </c>
      <c r="I961">
        <f t="shared" si="88"/>
        <v>13494.5</v>
      </c>
      <c r="J961">
        <f t="shared" si="85"/>
        <v>4732.5</v>
      </c>
      <c r="K961" s="8">
        <f t="shared" si="86"/>
        <v>0.25964228891205354</v>
      </c>
      <c r="L961" t="str">
        <f t="shared" si="89"/>
        <v>2023-03</v>
      </c>
      <c r="M961">
        <f t="shared" si="87"/>
        <v>4732.5</v>
      </c>
    </row>
    <row r="962" spans="1:13" x14ac:dyDescent="0.25">
      <c r="A962" s="1">
        <v>45064</v>
      </c>
      <c r="B962" t="s">
        <v>12</v>
      </c>
      <c r="C962" t="s">
        <v>8</v>
      </c>
      <c r="D962" t="s">
        <v>17</v>
      </c>
      <c r="E962">
        <v>256.54000000000002</v>
      </c>
      <c r="F962">
        <v>229.09</v>
      </c>
      <c r="G962">
        <v>3</v>
      </c>
      <c r="H962">
        <f t="shared" si="84"/>
        <v>769.62000000000012</v>
      </c>
      <c r="I962">
        <f t="shared" si="88"/>
        <v>687.27</v>
      </c>
      <c r="J962">
        <f t="shared" si="85"/>
        <v>82.350000000000136</v>
      </c>
      <c r="K962" s="8">
        <f t="shared" si="86"/>
        <v>0.10700085756607172</v>
      </c>
      <c r="L962" t="str">
        <f t="shared" si="89"/>
        <v>2023-05</v>
      </c>
      <c r="M962">
        <f t="shared" si="87"/>
        <v>82.350000000000136</v>
      </c>
    </row>
    <row r="963" spans="1:13" x14ac:dyDescent="0.25">
      <c r="A963" s="1">
        <v>44876</v>
      </c>
      <c r="B963" t="s">
        <v>10</v>
      </c>
      <c r="C963" t="s">
        <v>11</v>
      </c>
      <c r="D963" t="s">
        <v>9</v>
      </c>
      <c r="E963">
        <v>814.91</v>
      </c>
      <c r="F963">
        <v>653.80999999999995</v>
      </c>
      <c r="G963">
        <v>2</v>
      </c>
      <c r="H963">
        <f t="shared" ref="H963:H1026" si="90">E963*G963</f>
        <v>1629.82</v>
      </c>
      <c r="I963">
        <f t="shared" si="88"/>
        <v>1307.6199999999999</v>
      </c>
      <c r="J963">
        <f t="shared" ref="J963:J1026" si="91">H963-I963</f>
        <v>322.20000000000005</v>
      </c>
      <c r="K963" s="8">
        <f t="shared" ref="K963:K1026" si="92">(H963-I963)/H963</f>
        <v>0.19769054251389728</v>
      </c>
      <c r="L963" t="str">
        <f t="shared" si="89"/>
        <v>2022-11</v>
      </c>
      <c r="M963">
        <f t="shared" ref="M963:M1026" si="93">H963-I963</f>
        <v>322.20000000000005</v>
      </c>
    </row>
    <row r="964" spans="1:13" x14ac:dyDescent="0.25">
      <c r="A964" s="1">
        <v>45140</v>
      </c>
      <c r="B964" t="s">
        <v>25</v>
      </c>
      <c r="C964" t="s">
        <v>15</v>
      </c>
      <c r="D964" t="s">
        <v>18</v>
      </c>
      <c r="E964">
        <v>852.71</v>
      </c>
      <c r="F964">
        <v>627.41</v>
      </c>
      <c r="G964">
        <v>8</v>
      </c>
      <c r="H964">
        <f t="shared" si="90"/>
        <v>6821.68</v>
      </c>
      <c r="I964">
        <f t="shared" ref="I964:I1027" si="94">F964*G964</f>
        <v>5019.28</v>
      </c>
      <c r="J964">
        <f t="shared" si="91"/>
        <v>1802.4000000000005</v>
      </c>
      <c r="K964" s="8">
        <f t="shared" si="92"/>
        <v>0.26421643935218309</v>
      </c>
      <c r="L964" t="str">
        <f t="shared" ref="L964:L1027" si="95">TEXT(A964,"rrrr-mm")</f>
        <v>2023-08</v>
      </c>
      <c r="M964">
        <f t="shared" si="93"/>
        <v>1802.4000000000005</v>
      </c>
    </row>
    <row r="965" spans="1:13" x14ac:dyDescent="0.25">
      <c r="A965" s="1">
        <v>45114</v>
      </c>
      <c r="B965" t="s">
        <v>14</v>
      </c>
      <c r="C965" t="s">
        <v>15</v>
      </c>
      <c r="D965" t="s">
        <v>13</v>
      </c>
      <c r="E965">
        <v>707.84</v>
      </c>
      <c r="F965">
        <v>563.52</v>
      </c>
      <c r="G965">
        <v>2</v>
      </c>
      <c r="H965">
        <f t="shared" si="90"/>
        <v>1415.68</v>
      </c>
      <c r="I965">
        <f t="shared" si="94"/>
        <v>1127.04</v>
      </c>
      <c r="J965">
        <f t="shared" si="91"/>
        <v>288.6400000000001</v>
      </c>
      <c r="K965" s="8">
        <f t="shared" si="92"/>
        <v>0.20388788426763116</v>
      </c>
      <c r="L965" t="str">
        <f t="shared" si="95"/>
        <v>2023-07</v>
      </c>
      <c r="M965">
        <f t="shared" si="93"/>
        <v>288.6400000000001</v>
      </c>
    </row>
    <row r="966" spans="1:13" x14ac:dyDescent="0.25">
      <c r="A966" s="1">
        <v>44643</v>
      </c>
      <c r="B966" t="s">
        <v>14</v>
      </c>
      <c r="C966" t="s">
        <v>15</v>
      </c>
      <c r="D966" t="s">
        <v>9</v>
      </c>
      <c r="E966">
        <v>1116.44</v>
      </c>
      <c r="F966">
        <v>974.12</v>
      </c>
      <c r="G966">
        <v>1</v>
      </c>
      <c r="H966">
        <f t="shared" si="90"/>
        <v>1116.44</v>
      </c>
      <c r="I966">
        <f t="shared" si="94"/>
        <v>974.12</v>
      </c>
      <c r="J966">
        <f t="shared" si="91"/>
        <v>142.32000000000005</v>
      </c>
      <c r="K966" s="8">
        <f t="shared" si="92"/>
        <v>0.12747662212031102</v>
      </c>
      <c r="L966" t="str">
        <f t="shared" si="95"/>
        <v>2022-03</v>
      </c>
      <c r="M966">
        <f t="shared" si="93"/>
        <v>142.32000000000005</v>
      </c>
    </row>
    <row r="967" spans="1:13" x14ac:dyDescent="0.25">
      <c r="A967" s="1">
        <v>45065</v>
      </c>
      <c r="B967" t="s">
        <v>23</v>
      </c>
      <c r="C967" t="s">
        <v>11</v>
      </c>
      <c r="D967" t="s">
        <v>13</v>
      </c>
      <c r="E967">
        <v>1641.85</v>
      </c>
      <c r="F967">
        <v>1053.07</v>
      </c>
      <c r="G967">
        <v>2</v>
      </c>
      <c r="H967">
        <f t="shared" si="90"/>
        <v>3283.7</v>
      </c>
      <c r="I967">
        <f t="shared" si="94"/>
        <v>2106.14</v>
      </c>
      <c r="J967">
        <f t="shared" si="91"/>
        <v>1177.56</v>
      </c>
      <c r="K967" s="8">
        <f t="shared" si="92"/>
        <v>0.3586076681791881</v>
      </c>
      <c r="L967" t="str">
        <f t="shared" si="95"/>
        <v>2023-05</v>
      </c>
      <c r="M967">
        <f t="shared" si="93"/>
        <v>1177.56</v>
      </c>
    </row>
    <row r="968" spans="1:13" x14ac:dyDescent="0.25">
      <c r="A968" s="1">
        <v>44890</v>
      </c>
      <c r="B968" t="s">
        <v>25</v>
      </c>
      <c r="C968" t="s">
        <v>15</v>
      </c>
      <c r="D968" t="s">
        <v>18</v>
      </c>
      <c r="E968">
        <v>1653.84</v>
      </c>
      <c r="F968">
        <v>878.41</v>
      </c>
      <c r="G968">
        <v>9</v>
      </c>
      <c r="H968">
        <f t="shared" si="90"/>
        <v>14884.56</v>
      </c>
      <c r="I968">
        <f t="shared" si="94"/>
        <v>7905.69</v>
      </c>
      <c r="J968">
        <f t="shared" si="91"/>
        <v>6978.87</v>
      </c>
      <c r="K968" s="8">
        <f t="shared" si="92"/>
        <v>0.46886639578193778</v>
      </c>
      <c r="L968" t="str">
        <f t="shared" si="95"/>
        <v>2022-11</v>
      </c>
      <c r="M968">
        <f t="shared" si="93"/>
        <v>6978.87</v>
      </c>
    </row>
    <row r="969" spans="1:13" x14ac:dyDescent="0.25">
      <c r="A969" s="1">
        <v>45028</v>
      </c>
      <c r="B969" t="s">
        <v>23</v>
      </c>
      <c r="C969" t="s">
        <v>11</v>
      </c>
      <c r="D969" t="s">
        <v>9</v>
      </c>
      <c r="E969">
        <v>1770.08</v>
      </c>
      <c r="F969">
        <v>1163.6600000000001</v>
      </c>
      <c r="G969">
        <v>1</v>
      </c>
      <c r="H969">
        <f t="shared" si="90"/>
        <v>1770.08</v>
      </c>
      <c r="I969">
        <f t="shared" si="94"/>
        <v>1163.6600000000001</v>
      </c>
      <c r="J969">
        <f t="shared" si="91"/>
        <v>606.41999999999985</v>
      </c>
      <c r="K969" s="8">
        <f t="shared" si="92"/>
        <v>0.34259468498598927</v>
      </c>
      <c r="L969" t="str">
        <f t="shared" si="95"/>
        <v>2023-04</v>
      </c>
      <c r="M969">
        <f t="shared" si="93"/>
        <v>606.41999999999985</v>
      </c>
    </row>
    <row r="970" spans="1:13" x14ac:dyDescent="0.25">
      <c r="A970" s="1">
        <v>44815</v>
      </c>
      <c r="B970" t="s">
        <v>24</v>
      </c>
      <c r="C970" t="s">
        <v>20</v>
      </c>
      <c r="D970" t="s">
        <v>9</v>
      </c>
      <c r="E970">
        <v>372.11</v>
      </c>
      <c r="F970">
        <v>249.59</v>
      </c>
      <c r="G970">
        <v>2</v>
      </c>
      <c r="H970">
        <f t="shared" si="90"/>
        <v>744.22</v>
      </c>
      <c r="I970">
        <f t="shared" si="94"/>
        <v>499.18</v>
      </c>
      <c r="J970">
        <f t="shared" si="91"/>
        <v>245.04000000000002</v>
      </c>
      <c r="K970" s="8">
        <f t="shared" si="92"/>
        <v>0.32925747762758328</v>
      </c>
      <c r="L970" t="str">
        <f t="shared" si="95"/>
        <v>2022-09</v>
      </c>
      <c r="M970">
        <f t="shared" si="93"/>
        <v>245.04000000000002</v>
      </c>
    </row>
    <row r="971" spans="1:13" x14ac:dyDescent="0.25">
      <c r="A971" s="1">
        <v>44884</v>
      </c>
      <c r="B971" t="s">
        <v>21</v>
      </c>
      <c r="C971" t="s">
        <v>20</v>
      </c>
      <c r="D971" t="s">
        <v>17</v>
      </c>
      <c r="E971">
        <v>776.2</v>
      </c>
      <c r="F971">
        <v>607.59</v>
      </c>
      <c r="G971">
        <v>4</v>
      </c>
      <c r="H971">
        <f t="shared" si="90"/>
        <v>3104.8</v>
      </c>
      <c r="I971">
        <f t="shared" si="94"/>
        <v>2430.36</v>
      </c>
      <c r="J971">
        <f t="shared" si="91"/>
        <v>674.44</v>
      </c>
      <c r="K971" s="8">
        <f t="shared" si="92"/>
        <v>0.21722494202525122</v>
      </c>
      <c r="L971" t="str">
        <f t="shared" si="95"/>
        <v>2022-11</v>
      </c>
      <c r="M971">
        <f t="shared" si="93"/>
        <v>674.44</v>
      </c>
    </row>
    <row r="972" spans="1:13" x14ac:dyDescent="0.25">
      <c r="A972" s="1">
        <v>44994</v>
      </c>
      <c r="B972" t="s">
        <v>14</v>
      </c>
      <c r="C972" t="s">
        <v>15</v>
      </c>
      <c r="D972" t="s">
        <v>18</v>
      </c>
      <c r="E972">
        <v>1532.94</v>
      </c>
      <c r="F972">
        <v>947.52</v>
      </c>
      <c r="G972">
        <v>2</v>
      </c>
      <c r="H972">
        <f t="shared" si="90"/>
        <v>3065.88</v>
      </c>
      <c r="I972">
        <f t="shared" si="94"/>
        <v>1895.04</v>
      </c>
      <c r="J972">
        <f t="shared" si="91"/>
        <v>1170.8400000000001</v>
      </c>
      <c r="K972" s="8">
        <f t="shared" si="92"/>
        <v>0.38189361618850054</v>
      </c>
      <c r="L972" t="str">
        <f t="shared" si="95"/>
        <v>2023-03</v>
      </c>
      <c r="M972">
        <f t="shared" si="93"/>
        <v>1170.8400000000001</v>
      </c>
    </row>
    <row r="973" spans="1:13" x14ac:dyDescent="0.25">
      <c r="A973" s="1">
        <v>44947</v>
      </c>
      <c r="B973" t="s">
        <v>12</v>
      </c>
      <c r="C973" t="s">
        <v>8</v>
      </c>
      <c r="D973" t="s">
        <v>13</v>
      </c>
      <c r="E973">
        <v>1028.32</v>
      </c>
      <c r="F973">
        <v>626.16999999999996</v>
      </c>
      <c r="G973">
        <v>4</v>
      </c>
      <c r="H973">
        <f t="shared" si="90"/>
        <v>4113.28</v>
      </c>
      <c r="I973">
        <f t="shared" si="94"/>
        <v>2504.6799999999998</v>
      </c>
      <c r="J973">
        <f t="shared" si="91"/>
        <v>1608.6</v>
      </c>
      <c r="K973" s="8">
        <f t="shared" si="92"/>
        <v>0.39107476271977593</v>
      </c>
      <c r="L973" t="str">
        <f t="shared" si="95"/>
        <v>2023-01</v>
      </c>
      <c r="M973">
        <f t="shared" si="93"/>
        <v>1608.6</v>
      </c>
    </row>
    <row r="974" spans="1:13" x14ac:dyDescent="0.25">
      <c r="A974" s="1">
        <v>44765</v>
      </c>
      <c r="B974" t="s">
        <v>19</v>
      </c>
      <c r="C974" t="s">
        <v>20</v>
      </c>
      <c r="D974" t="s">
        <v>13</v>
      </c>
      <c r="E974">
        <v>1523.81</v>
      </c>
      <c r="F974">
        <v>1040.92</v>
      </c>
      <c r="G974">
        <v>3</v>
      </c>
      <c r="H974">
        <f t="shared" si="90"/>
        <v>4571.43</v>
      </c>
      <c r="I974">
        <f t="shared" si="94"/>
        <v>3122.76</v>
      </c>
      <c r="J974">
        <f t="shared" si="91"/>
        <v>1448.67</v>
      </c>
      <c r="K974" s="8">
        <f t="shared" si="92"/>
        <v>0.31689646346985517</v>
      </c>
      <c r="L974" t="str">
        <f t="shared" si="95"/>
        <v>2022-07</v>
      </c>
      <c r="M974">
        <f t="shared" si="93"/>
        <v>1448.67</v>
      </c>
    </row>
    <row r="975" spans="1:13" x14ac:dyDescent="0.25">
      <c r="A975" s="1">
        <v>45421</v>
      </c>
      <c r="B975" t="s">
        <v>12</v>
      </c>
      <c r="C975" t="s">
        <v>8</v>
      </c>
      <c r="D975" t="s">
        <v>9</v>
      </c>
      <c r="E975">
        <v>1717.82</v>
      </c>
      <c r="F975">
        <v>892.5</v>
      </c>
      <c r="G975">
        <v>9</v>
      </c>
      <c r="H975">
        <f t="shared" si="90"/>
        <v>15460.38</v>
      </c>
      <c r="I975">
        <f t="shared" si="94"/>
        <v>8032.5</v>
      </c>
      <c r="J975">
        <f t="shared" si="91"/>
        <v>7427.8799999999992</v>
      </c>
      <c r="K975" s="8">
        <f t="shared" si="92"/>
        <v>0.48044614686055581</v>
      </c>
      <c r="L975" t="str">
        <f t="shared" si="95"/>
        <v>2024-05</v>
      </c>
      <c r="M975">
        <f t="shared" si="93"/>
        <v>7427.8799999999992</v>
      </c>
    </row>
    <row r="976" spans="1:13" x14ac:dyDescent="0.25">
      <c r="A976" s="1">
        <v>45147</v>
      </c>
      <c r="B976" t="s">
        <v>21</v>
      </c>
      <c r="C976" t="s">
        <v>20</v>
      </c>
      <c r="D976" t="s">
        <v>18</v>
      </c>
      <c r="E976">
        <v>97.94</v>
      </c>
      <c r="F976">
        <v>68.06</v>
      </c>
      <c r="G976">
        <v>3</v>
      </c>
      <c r="H976">
        <f t="shared" si="90"/>
        <v>293.82</v>
      </c>
      <c r="I976">
        <f t="shared" si="94"/>
        <v>204.18</v>
      </c>
      <c r="J976">
        <f t="shared" si="91"/>
        <v>89.639999999999986</v>
      </c>
      <c r="K976" s="8">
        <f t="shared" si="92"/>
        <v>0.30508474576271183</v>
      </c>
      <c r="L976" t="str">
        <f t="shared" si="95"/>
        <v>2023-08</v>
      </c>
      <c r="M976">
        <f t="shared" si="93"/>
        <v>89.639999999999986</v>
      </c>
    </row>
    <row r="977" spans="1:13" x14ac:dyDescent="0.25">
      <c r="A977" s="1">
        <v>44923</v>
      </c>
      <c r="B977" t="s">
        <v>10</v>
      </c>
      <c r="C977" t="s">
        <v>11</v>
      </c>
      <c r="D977" t="s">
        <v>18</v>
      </c>
      <c r="E977">
        <v>339.86</v>
      </c>
      <c r="F977">
        <v>223.33</v>
      </c>
      <c r="G977">
        <v>9</v>
      </c>
      <c r="H977">
        <f t="shared" si="90"/>
        <v>3058.7400000000002</v>
      </c>
      <c r="I977">
        <f t="shared" si="94"/>
        <v>2009.97</v>
      </c>
      <c r="J977">
        <f t="shared" si="91"/>
        <v>1048.7700000000002</v>
      </c>
      <c r="K977" s="8">
        <f t="shared" si="92"/>
        <v>0.3428764785499912</v>
      </c>
      <c r="L977" t="str">
        <f t="shared" si="95"/>
        <v>2022-12</v>
      </c>
      <c r="M977">
        <f t="shared" si="93"/>
        <v>1048.7700000000002</v>
      </c>
    </row>
    <row r="978" spans="1:13" x14ac:dyDescent="0.25">
      <c r="A978" s="1">
        <v>45399</v>
      </c>
      <c r="B978" t="s">
        <v>12</v>
      </c>
      <c r="C978" t="s">
        <v>8</v>
      </c>
      <c r="D978" t="s">
        <v>17</v>
      </c>
      <c r="E978">
        <v>580.83000000000004</v>
      </c>
      <c r="F978">
        <v>348.38</v>
      </c>
      <c r="G978">
        <v>2</v>
      </c>
      <c r="H978">
        <f t="shared" si="90"/>
        <v>1161.6600000000001</v>
      </c>
      <c r="I978">
        <f t="shared" si="94"/>
        <v>696.76</v>
      </c>
      <c r="J978">
        <f t="shared" si="91"/>
        <v>464.90000000000009</v>
      </c>
      <c r="K978" s="8">
        <f t="shared" si="92"/>
        <v>0.40020315755040203</v>
      </c>
      <c r="L978" t="str">
        <f t="shared" si="95"/>
        <v>2024-04</v>
      </c>
      <c r="M978">
        <f t="shared" si="93"/>
        <v>464.90000000000009</v>
      </c>
    </row>
    <row r="979" spans="1:13" x14ac:dyDescent="0.25">
      <c r="A979" s="1">
        <v>45445</v>
      </c>
      <c r="B979" t="s">
        <v>12</v>
      </c>
      <c r="C979" t="s">
        <v>8</v>
      </c>
      <c r="D979" t="s">
        <v>17</v>
      </c>
      <c r="E979">
        <v>983.45</v>
      </c>
      <c r="F979">
        <v>620.07000000000005</v>
      </c>
      <c r="G979">
        <v>6</v>
      </c>
      <c r="H979">
        <f t="shared" si="90"/>
        <v>5900.7000000000007</v>
      </c>
      <c r="I979">
        <f t="shared" si="94"/>
        <v>3720.42</v>
      </c>
      <c r="J979">
        <f t="shared" si="91"/>
        <v>2180.2800000000007</v>
      </c>
      <c r="K979" s="8">
        <f t="shared" si="92"/>
        <v>0.36949514464385586</v>
      </c>
      <c r="L979" t="str">
        <f t="shared" si="95"/>
        <v>2024-06</v>
      </c>
      <c r="M979">
        <f t="shared" si="93"/>
        <v>2180.2800000000007</v>
      </c>
    </row>
    <row r="980" spans="1:13" x14ac:dyDescent="0.25">
      <c r="A980" s="1">
        <v>45184</v>
      </c>
      <c r="B980" t="s">
        <v>24</v>
      </c>
      <c r="C980" t="s">
        <v>20</v>
      </c>
      <c r="D980" t="s">
        <v>13</v>
      </c>
      <c r="E980">
        <v>847.71</v>
      </c>
      <c r="F980">
        <v>729.55</v>
      </c>
      <c r="G980">
        <v>8</v>
      </c>
      <c r="H980">
        <f t="shared" si="90"/>
        <v>6781.68</v>
      </c>
      <c r="I980">
        <f t="shared" si="94"/>
        <v>5836.4</v>
      </c>
      <c r="J980">
        <f t="shared" si="91"/>
        <v>945.28000000000065</v>
      </c>
      <c r="K980" s="8">
        <f t="shared" si="92"/>
        <v>0.13938729046489964</v>
      </c>
      <c r="L980" t="str">
        <f t="shared" si="95"/>
        <v>2023-09</v>
      </c>
      <c r="M980">
        <f t="shared" si="93"/>
        <v>945.28000000000065</v>
      </c>
    </row>
    <row r="981" spans="1:13" x14ac:dyDescent="0.25">
      <c r="A981" s="1">
        <v>45368</v>
      </c>
      <c r="B981" t="s">
        <v>24</v>
      </c>
      <c r="C981" t="s">
        <v>20</v>
      </c>
      <c r="D981" t="s">
        <v>18</v>
      </c>
      <c r="E981">
        <v>965.18</v>
      </c>
      <c r="F981">
        <v>683.43</v>
      </c>
      <c r="G981">
        <v>4</v>
      </c>
      <c r="H981">
        <f t="shared" si="90"/>
        <v>3860.72</v>
      </c>
      <c r="I981">
        <f t="shared" si="94"/>
        <v>2733.72</v>
      </c>
      <c r="J981">
        <f t="shared" si="91"/>
        <v>1127</v>
      </c>
      <c r="K981" s="8">
        <f t="shared" si="92"/>
        <v>0.29191446155121326</v>
      </c>
      <c r="L981" t="str">
        <f t="shared" si="95"/>
        <v>2024-03</v>
      </c>
      <c r="M981">
        <f t="shared" si="93"/>
        <v>1127</v>
      </c>
    </row>
    <row r="982" spans="1:13" x14ac:dyDescent="0.25">
      <c r="A982" s="1">
        <v>45589</v>
      </c>
      <c r="B982" t="s">
        <v>22</v>
      </c>
      <c r="C982" t="s">
        <v>8</v>
      </c>
      <c r="D982" t="s">
        <v>18</v>
      </c>
      <c r="E982">
        <v>773.44</v>
      </c>
      <c r="F982">
        <v>539.03</v>
      </c>
      <c r="G982">
        <v>4</v>
      </c>
      <c r="H982">
        <f t="shared" si="90"/>
        <v>3093.76</v>
      </c>
      <c r="I982">
        <f t="shared" si="94"/>
        <v>2156.12</v>
      </c>
      <c r="J982">
        <f t="shared" si="91"/>
        <v>937.64000000000033</v>
      </c>
      <c r="K982" s="8">
        <f t="shared" si="92"/>
        <v>0.30307457592056275</v>
      </c>
      <c r="L982" t="str">
        <f t="shared" si="95"/>
        <v>2024-10</v>
      </c>
      <c r="M982">
        <f t="shared" si="93"/>
        <v>937.64000000000033</v>
      </c>
    </row>
    <row r="983" spans="1:13" x14ac:dyDescent="0.25">
      <c r="A983" s="1">
        <v>45482</v>
      </c>
      <c r="B983" t="s">
        <v>19</v>
      </c>
      <c r="C983" t="s">
        <v>20</v>
      </c>
      <c r="D983" t="s">
        <v>17</v>
      </c>
      <c r="E983">
        <v>260.02</v>
      </c>
      <c r="F983">
        <v>146.35</v>
      </c>
      <c r="G983">
        <v>9</v>
      </c>
      <c r="H983">
        <f t="shared" si="90"/>
        <v>2340.1799999999998</v>
      </c>
      <c r="I983">
        <f t="shared" si="94"/>
        <v>1317.1499999999999</v>
      </c>
      <c r="J983">
        <f t="shared" si="91"/>
        <v>1023.03</v>
      </c>
      <c r="K983" s="8">
        <f t="shared" si="92"/>
        <v>0.43715868010153069</v>
      </c>
      <c r="L983" t="str">
        <f t="shared" si="95"/>
        <v>2024-07</v>
      </c>
      <c r="M983">
        <f t="shared" si="93"/>
        <v>1023.03</v>
      </c>
    </row>
    <row r="984" spans="1:13" x14ac:dyDescent="0.25">
      <c r="A984" s="1">
        <v>45212</v>
      </c>
      <c r="B984" t="s">
        <v>14</v>
      </c>
      <c r="C984" t="s">
        <v>15</v>
      </c>
      <c r="D984" t="s">
        <v>18</v>
      </c>
      <c r="E984">
        <v>689.63</v>
      </c>
      <c r="F984">
        <v>524.22</v>
      </c>
      <c r="G984">
        <v>1</v>
      </c>
      <c r="H984">
        <f t="shared" si="90"/>
        <v>689.63</v>
      </c>
      <c r="I984">
        <f t="shared" si="94"/>
        <v>524.22</v>
      </c>
      <c r="J984">
        <f t="shared" si="91"/>
        <v>165.40999999999997</v>
      </c>
      <c r="K984" s="8">
        <f t="shared" si="92"/>
        <v>0.23985325464379445</v>
      </c>
      <c r="L984" t="str">
        <f t="shared" si="95"/>
        <v>2023-10</v>
      </c>
      <c r="M984">
        <f t="shared" si="93"/>
        <v>165.40999999999997</v>
      </c>
    </row>
    <row r="985" spans="1:13" x14ac:dyDescent="0.25">
      <c r="A985" s="1">
        <v>45425</v>
      </c>
      <c r="B985" t="s">
        <v>7</v>
      </c>
      <c r="C985" t="s">
        <v>8</v>
      </c>
      <c r="D985" t="s">
        <v>9</v>
      </c>
      <c r="E985">
        <v>279.3</v>
      </c>
      <c r="F985">
        <v>239.8</v>
      </c>
      <c r="G985">
        <v>3</v>
      </c>
      <c r="H985">
        <f t="shared" si="90"/>
        <v>837.90000000000009</v>
      </c>
      <c r="I985">
        <f t="shared" si="94"/>
        <v>719.40000000000009</v>
      </c>
      <c r="J985">
        <f t="shared" si="91"/>
        <v>118.5</v>
      </c>
      <c r="K985" s="8">
        <f t="shared" si="92"/>
        <v>0.14142499104905118</v>
      </c>
      <c r="L985" t="str">
        <f t="shared" si="95"/>
        <v>2024-05</v>
      </c>
      <c r="M985">
        <f t="shared" si="93"/>
        <v>118.5</v>
      </c>
    </row>
    <row r="986" spans="1:13" x14ac:dyDescent="0.25">
      <c r="A986" s="1">
        <v>44876</v>
      </c>
      <c r="B986" t="s">
        <v>16</v>
      </c>
      <c r="C986" t="s">
        <v>15</v>
      </c>
      <c r="D986" t="s">
        <v>18</v>
      </c>
      <c r="E986">
        <v>993.29</v>
      </c>
      <c r="F986">
        <v>815.84</v>
      </c>
      <c r="G986">
        <v>5</v>
      </c>
      <c r="H986">
        <f t="shared" si="90"/>
        <v>4966.45</v>
      </c>
      <c r="I986">
        <f t="shared" si="94"/>
        <v>4079.2000000000003</v>
      </c>
      <c r="J986">
        <f t="shared" si="91"/>
        <v>887.24999999999955</v>
      </c>
      <c r="K986" s="8">
        <f t="shared" si="92"/>
        <v>0.1786487329984193</v>
      </c>
      <c r="L986" t="str">
        <f t="shared" si="95"/>
        <v>2022-11</v>
      </c>
      <c r="M986">
        <f t="shared" si="93"/>
        <v>887.24999999999955</v>
      </c>
    </row>
    <row r="987" spans="1:13" x14ac:dyDescent="0.25">
      <c r="A987" s="1">
        <v>44942</v>
      </c>
      <c r="B987" t="s">
        <v>10</v>
      </c>
      <c r="C987" t="s">
        <v>11</v>
      </c>
      <c r="D987" t="s">
        <v>9</v>
      </c>
      <c r="E987">
        <v>1292.6500000000001</v>
      </c>
      <c r="F987">
        <v>1065.8699999999999</v>
      </c>
      <c r="G987">
        <v>6</v>
      </c>
      <c r="H987">
        <f t="shared" si="90"/>
        <v>7755.9000000000005</v>
      </c>
      <c r="I987">
        <f t="shared" si="94"/>
        <v>6395.2199999999993</v>
      </c>
      <c r="J987">
        <f t="shared" si="91"/>
        <v>1360.6800000000012</v>
      </c>
      <c r="K987" s="8">
        <f t="shared" si="92"/>
        <v>0.17543805361079967</v>
      </c>
      <c r="L987" t="str">
        <f t="shared" si="95"/>
        <v>2023-01</v>
      </c>
      <c r="M987">
        <f t="shared" si="93"/>
        <v>1360.6800000000012</v>
      </c>
    </row>
    <row r="988" spans="1:13" x14ac:dyDescent="0.25">
      <c r="A988" s="1">
        <v>45359</v>
      </c>
      <c r="B988" t="s">
        <v>22</v>
      </c>
      <c r="C988" t="s">
        <v>8</v>
      </c>
      <c r="D988" t="s">
        <v>17</v>
      </c>
      <c r="E988">
        <v>1924.1</v>
      </c>
      <c r="F988">
        <v>1250.3599999999999</v>
      </c>
      <c r="G988">
        <v>3</v>
      </c>
      <c r="H988">
        <f t="shared" si="90"/>
        <v>5772.2999999999993</v>
      </c>
      <c r="I988">
        <f t="shared" si="94"/>
        <v>3751.08</v>
      </c>
      <c r="J988">
        <f t="shared" si="91"/>
        <v>2021.2199999999993</v>
      </c>
      <c r="K988" s="8">
        <f t="shared" si="92"/>
        <v>0.35015851566966366</v>
      </c>
      <c r="L988" t="str">
        <f t="shared" si="95"/>
        <v>2024-03</v>
      </c>
      <c r="M988">
        <f t="shared" si="93"/>
        <v>2021.2199999999993</v>
      </c>
    </row>
    <row r="989" spans="1:13" x14ac:dyDescent="0.25">
      <c r="A989" s="1">
        <v>44969</v>
      </c>
      <c r="B989" t="s">
        <v>16</v>
      </c>
      <c r="C989" t="s">
        <v>15</v>
      </c>
      <c r="D989" t="s">
        <v>13</v>
      </c>
      <c r="E989">
        <v>794.5</v>
      </c>
      <c r="F989">
        <v>591.24</v>
      </c>
      <c r="G989">
        <v>2</v>
      </c>
      <c r="H989">
        <f t="shared" si="90"/>
        <v>1589</v>
      </c>
      <c r="I989">
        <f t="shared" si="94"/>
        <v>1182.48</v>
      </c>
      <c r="J989">
        <f t="shared" si="91"/>
        <v>406.52</v>
      </c>
      <c r="K989" s="8">
        <f t="shared" si="92"/>
        <v>0.25583385777218376</v>
      </c>
      <c r="L989" t="str">
        <f t="shared" si="95"/>
        <v>2023-02</v>
      </c>
      <c r="M989">
        <f t="shared" si="93"/>
        <v>406.52</v>
      </c>
    </row>
    <row r="990" spans="1:13" x14ac:dyDescent="0.25">
      <c r="A990" s="1">
        <v>45198</v>
      </c>
      <c r="B990" t="s">
        <v>12</v>
      </c>
      <c r="C990" t="s">
        <v>8</v>
      </c>
      <c r="D990" t="s">
        <v>9</v>
      </c>
      <c r="E990">
        <v>1348.1</v>
      </c>
      <c r="F990">
        <v>774.92</v>
      </c>
      <c r="G990">
        <v>2</v>
      </c>
      <c r="H990">
        <f t="shared" si="90"/>
        <v>2696.2</v>
      </c>
      <c r="I990">
        <f t="shared" si="94"/>
        <v>1549.84</v>
      </c>
      <c r="J990">
        <f t="shared" si="91"/>
        <v>1146.3599999999999</v>
      </c>
      <c r="K990" s="8">
        <f t="shared" si="92"/>
        <v>0.42517617387434165</v>
      </c>
      <c r="L990" t="str">
        <f t="shared" si="95"/>
        <v>2023-09</v>
      </c>
      <c r="M990">
        <f t="shared" si="93"/>
        <v>1146.3599999999999</v>
      </c>
    </row>
    <row r="991" spans="1:13" x14ac:dyDescent="0.25">
      <c r="A991" s="1">
        <v>45554</v>
      </c>
      <c r="B991" t="s">
        <v>10</v>
      </c>
      <c r="C991" t="s">
        <v>11</v>
      </c>
      <c r="D991" t="s">
        <v>18</v>
      </c>
      <c r="E991">
        <v>1238.06</v>
      </c>
      <c r="F991">
        <v>743.26</v>
      </c>
      <c r="G991">
        <v>9</v>
      </c>
      <c r="H991">
        <f t="shared" si="90"/>
        <v>11142.539999999999</v>
      </c>
      <c r="I991">
        <f t="shared" si="94"/>
        <v>6689.34</v>
      </c>
      <c r="J991">
        <f t="shared" si="91"/>
        <v>4453.1999999999989</v>
      </c>
      <c r="K991" s="8">
        <f t="shared" si="92"/>
        <v>0.39965752871427873</v>
      </c>
      <c r="L991" t="str">
        <f t="shared" si="95"/>
        <v>2024-09</v>
      </c>
      <c r="M991">
        <f t="shared" si="93"/>
        <v>4453.1999999999989</v>
      </c>
    </row>
    <row r="992" spans="1:13" x14ac:dyDescent="0.25">
      <c r="A992" s="1">
        <v>45590</v>
      </c>
      <c r="B992" t="s">
        <v>24</v>
      </c>
      <c r="C992" t="s">
        <v>20</v>
      </c>
      <c r="D992" t="s">
        <v>9</v>
      </c>
      <c r="E992">
        <v>1109.1400000000001</v>
      </c>
      <c r="F992">
        <v>964.84</v>
      </c>
      <c r="G992">
        <v>9</v>
      </c>
      <c r="H992">
        <f t="shared" si="90"/>
        <v>9982.26</v>
      </c>
      <c r="I992">
        <f t="shared" si="94"/>
        <v>8683.56</v>
      </c>
      <c r="J992">
        <f t="shared" si="91"/>
        <v>1298.7000000000007</v>
      </c>
      <c r="K992" s="8">
        <f t="shared" si="92"/>
        <v>0.1301007988171016</v>
      </c>
      <c r="L992" t="str">
        <f t="shared" si="95"/>
        <v>2024-10</v>
      </c>
      <c r="M992">
        <f t="shared" si="93"/>
        <v>1298.7000000000007</v>
      </c>
    </row>
    <row r="993" spans="1:13" x14ac:dyDescent="0.25">
      <c r="A993" s="1">
        <v>45065</v>
      </c>
      <c r="B993" t="s">
        <v>19</v>
      </c>
      <c r="C993" t="s">
        <v>20</v>
      </c>
      <c r="D993" t="s">
        <v>17</v>
      </c>
      <c r="E993">
        <v>1802.71</v>
      </c>
      <c r="F993">
        <v>1615.93</v>
      </c>
      <c r="G993">
        <v>2</v>
      </c>
      <c r="H993">
        <f t="shared" si="90"/>
        <v>3605.42</v>
      </c>
      <c r="I993">
        <f t="shared" si="94"/>
        <v>3231.86</v>
      </c>
      <c r="J993">
        <f t="shared" si="91"/>
        <v>373.55999999999995</v>
      </c>
      <c r="K993" s="8">
        <f t="shared" si="92"/>
        <v>0.10361067503924645</v>
      </c>
      <c r="L993" t="str">
        <f t="shared" si="95"/>
        <v>2023-05</v>
      </c>
      <c r="M993">
        <f t="shared" si="93"/>
        <v>373.55999999999995</v>
      </c>
    </row>
    <row r="994" spans="1:13" x14ac:dyDescent="0.25">
      <c r="A994" s="1">
        <v>45237</v>
      </c>
      <c r="B994" t="s">
        <v>10</v>
      </c>
      <c r="C994" t="s">
        <v>11</v>
      </c>
      <c r="D994" t="s">
        <v>17</v>
      </c>
      <c r="E994">
        <v>30.56</v>
      </c>
      <c r="F994">
        <v>19.39</v>
      </c>
      <c r="G994">
        <v>4</v>
      </c>
      <c r="H994">
        <f t="shared" si="90"/>
        <v>122.24</v>
      </c>
      <c r="I994">
        <f t="shared" si="94"/>
        <v>77.56</v>
      </c>
      <c r="J994">
        <f t="shared" si="91"/>
        <v>44.679999999999993</v>
      </c>
      <c r="K994" s="8">
        <f t="shared" si="92"/>
        <v>0.36551047120418845</v>
      </c>
      <c r="L994" t="str">
        <f t="shared" si="95"/>
        <v>2023-11</v>
      </c>
      <c r="M994">
        <f t="shared" si="93"/>
        <v>44.679999999999993</v>
      </c>
    </row>
    <row r="995" spans="1:13" x14ac:dyDescent="0.25">
      <c r="A995" s="1">
        <v>44965</v>
      </c>
      <c r="B995" t="s">
        <v>24</v>
      </c>
      <c r="C995" t="s">
        <v>20</v>
      </c>
      <c r="D995" t="s">
        <v>17</v>
      </c>
      <c r="E995">
        <v>34.229999999999997</v>
      </c>
      <c r="F995">
        <v>24.04</v>
      </c>
      <c r="G995">
        <v>7</v>
      </c>
      <c r="H995">
        <f t="shared" si="90"/>
        <v>239.60999999999999</v>
      </c>
      <c r="I995">
        <f t="shared" si="94"/>
        <v>168.28</v>
      </c>
      <c r="J995">
        <f t="shared" si="91"/>
        <v>71.329999999999984</v>
      </c>
      <c r="K995" s="8">
        <f t="shared" si="92"/>
        <v>0.29769208296815652</v>
      </c>
      <c r="L995" t="str">
        <f t="shared" si="95"/>
        <v>2023-02</v>
      </c>
      <c r="M995">
        <f t="shared" si="93"/>
        <v>71.329999999999984</v>
      </c>
    </row>
    <row r="996" spans="1:13" x14ac:dyDescent="0.25">
      <c r="A996" s="1">
        <v>44655</v>
      </c>
      <c r="B996" t="s">
        <v>25</v>
      </c>
      <c r="C996" t="s">
        <v>15</v>
      </c>
      <c r="D996" t="s">
        <v>18</v>
      </c>
      <c r="E996">
        <v>1564.61</v>
      </c>
      <c r="F996">
        <v>1010.13</v>
      </c>
      <c r="G996">
        <v>10</v>
      </c>
      <c r="H996">
        <f t="shared" si="90"/>
        <v>15646.099999999999</v>
      </c>
      <c r="I996">
        <f t="shared" si="94"/>
        <v>10101.299999999999</v>
      </c>
      <c r="J996">
        <f t="shared" si="91"/>
        <v>5544.7999999999993</v>
      </c>
      <c r="K996" s="8">
        <f t="shared" si="92"/>
        <v>0.35438863358920114</v>
      </c>
      <c r="L996" t="str">
        <f t="shared" si="95"/>
        <v>2022-04</v>
      </c>
      <c r="M996">
        <f t="shared" si="93"/>
        <v>5544.7999999999993</v>
      </c>
    </row>
    <row r="997" spans="1:13" x14ac:dyDescent="0.25">
      <c r="A997" s="1">
        <v>45288</v>
      </c>
      <c r="B997" t="s">
        <v>12</v>
      </c>
      <c r="C997" t="s">
        <v>8</v>
      </c>
      <c r="D997" t="s">
        <v>18</v>
      </c>
      <c r="E997">
        <v>183.1</v>
      </c>
      <c r="F997">
        <v>161.44</v>
      </c>
      <c r="G997">
        <v>2</v>
      </c>
      <c r="H997">
        <f t="shared" si="90"/>
        <v>366.2</v>
      </c>
      <c r="I997">
        <f t="shared" si="94"/>
        <v>322.88</v>
      </c>
      <c r="J997">
        <f t="shared" si="91"/>
        <v>43.319999999999993</v>
      </c>
      <c r="K997" s="8">
        <f t="shared" si="92"/>
        <v>0.11829601310759147</v>
      </c>
      <c r="L997" t="str">
        <f t="shared" si="95"/>
        <v>2023-12</v>
      </c>
      <c r="M997">
        <f t="shared" si="93"/>
        <v>43.319999999999993</v>
      </c>
    </row>
    <row r="998" spans="1:13" x14ac:dyDescent="0.25">
      <c r="A998" s="1">
        <v>45020</v>
      </c>
      <c r="B998" t="s">
        <v>19</v>
      </c>
      <c r="C998" t="s">
        <v>20</v>
      </c>
      <c r="D998" t="s">
        <v>13</v>
      </c>
      <c r="E998">
        <v>752.55</v>
      </c>
      <c r="F998">
        <v>413.25</v>
      </c>
      <c r="G998">
        <v>4</v>
      </c>
      <c r="H998">
        <f t="shared" si="90"/>
        <v>3010.2</v>
      </c>
      <c r="I998">
        <f t="shared" si="94"/>
        <v>1653</v>
      </c>
      <c r="J998">
        <f t="shared" si="91"/>
        <v>1357.1999999999998</v>
      </c>
      <c r="K998" s="8">
        <f t="shared" si="92"/>
        <v>0.45086705202312133</v>
      </c>
      <c r="L998" t="str">
        <f t="shared" si="95"/>
        <v>2023-04</v>
      </c>
      <c r="M998">
        <f t="shared" si="93"/>
        <v>1357.1999999999998</v>
      </c>
    </row>
    <row r="999" spans="1:13" x14ac:dyDescent="0.25">
      <c r="A999" s="1">
        <v>44723</v>
      </c>
      <c r="B999" t="s">
        <v>10</v>
      </c>
      <c r="C999" t="s">
        <v>11</v>
      </c>
      <c r="D999" t="s">
        <v>17</v>
      </c>
      <c r="E999">
        <v>964.61</v>
      </c>
      <c r="F999">
        <v>569.16999999999996</v>
      </c>
      <c r="G999">
        <v>1</v>
      </c>
      <c r="H999">
        <f t="shared" si="90"/>
        <v>964.61</v>
      </c>
      <c r="I999">
        <f t="shared" si="94"/>
        <v>569.16999999999996</v>
      </c>
      <c r="J999">
        <f t="shared" si="91"/>
        <v>395.44000000000005</v>
      </c>
      <c r="K999" s="8">
        <f t="shared" si="92"/>
        <v>0.40994806191103145</v>
      </c>
      <c r="L999" t="str">
        <f t="shared" si="95"/>
        <v>2022-06</v>
      </c>
      <c r="M999">
        <f t="shared" si="93"/>
        <v>395.44000000000005</v>
      </c>
    </row>
    <row r="1000" spans="1:13" x14ac:dyDescent="0.25">
      <c r="A1000" s="1">
        <v>45037</v>
      </c>
      <c r="B1000" t="s">
        <v>22</v>
      </c>
      <c r="C1000" t="s">
        <v>8</v>
      </c>
      <c r="D1000" t="s">
        <v>9</v>
      </c>
      <c r="E1000">
        <v>636.5</v>
      </c>
      <c r="F1000">
        <v>448.85</v>
      </c>
      <c r="G1000">
        <v>7</v>
      </c>
      <c r="H1000">
        <f t="shared" si="90"/>
        <v>4455.5</v>
      </c>
      <c r="I1000">
        <f t="shared" si="94"/>
        <v>3141.9500000000003</v>
      </c>
      <c r="J1000">
        <f t="shared" si="91"/>
        <v>1313.5499999999997</v>
      </c>
      <c r="K1000" s="8">
        <f t="shared" si="92"/>
        <v>0.29481539670070694</v>
      </c>
      <c r="L1000" t="str">
        <f t="shared" si="95"/>
        <v>2023-04</v>
      </c>
      <c r="M1000">
        <f t="shared" si="93"/>
        <v>1313.5499999999997</v>
      </c>
    </row>
    <row r="1001" spans="1:13" x14ac:dyDescent="0.25">
      <c r="A1001" s="1">
        <v>45099</v>
      </c>
      <c r="B1001" t="s">
        <v>24</v>
      </c>
      <c r="C1001" t="s">
        <v>20</v>
      </c>
      <c r="D1001" t="s">
        <v>18</v>
      </c>
      <c r="E1001">
        <v>342.9</v>
      </c>
      <c r="F1001">
        <v>301.60000000000002</v>
      </c>
      <c r="G1001">
        <v>8</v>
      </c>
      <c r="H1001">
        <f t="shared" si="90"/>
        <v>2743.2</v>
      </c>
      <c r="I1001">
        <f t="shared" si="94"/>
        <v>2412.8000000000002</v>
      </c>
      <c r="J1001">
        <f t="shared" si="91"/>
        <v>330.39999999999964</v>
      </c>
      <c r="K1001" s="8">
        <f t="shared" si="92"/>
        <v>0.12044327792359276</v>
      </c>
      <c r="L1001" t="str">
        <f t="shared" si="95"/>
        <v>2023-06</v>
      </c>
      <c r="M1001">
        <f t="shared" si="93"/>
        <v>330.39999999999964</v>
      </c>
    </row>
    <row r="1002" spans="1:13" x14ac:dyDescent="0.25">
      <c r="A1002" s="1">
        <v>45584</v>
      </c>
      <c r="B1002" t="s">
        <v>14</v>
      </c>
      <c r="C1002" t="s">
        <v>15</v>
      </c>
      <c r="D1002" t="s">
        <v>18</v>
      </c>
      <c r="E1002">
        <v>1511.86</v>
      </c>
      <c r="F1002">
        <v>1274.95</v>
      </c>
      <c r="G1002">
        <v>10</v>
      </c>
      <c r="H1002">
        <f t="shared" si="90"/>
        <v>15118.599999999999</v>
      </c>
      <c r="I1002">
        <f t="shared" si="94"/>
        <v>12749.5</v>
      </c>
      <c r="J1002">
        <f t="shared" si="91"/>
        <v>2369.0999999999985</v>
      </c>
      <c r="K1002" s="8">
        <f t="shared" si="92"/>
        <v>0.15670101728996064</v>
      </c>
      <c r="L1002" t="str">
        <f t="shared" si="95"/>
        <v>2024-10</v>
      </c>
      <c r="M1002">
        <f t="shared" si="93"/>
        <v>2369.0999999999985</v>
      </c>
    </row>
    <row r="1003" spans="1:13" x14ac:dyDescent="0.25">
      <c r="A1003" s="1">
        <v>45261</v>
      </c>
      <c r="B1003" t="s">
        <v>19</v>
      </c>
      <c r="C1003" t="s">
        <v>20</v>
      </c>
      <c r="D1003" t="s">
        <v>17</v>
      </c>
      <c r="E1003">
        <v>1603.87</v>
      </c>
      <c r="F1003">
        <v>909.28</v>
      </c>
      <c r="G1003">
        <v>6</v>
      </c>
      <c r="H1003">
        <f t="shared" si="90"/>
        <v>9623.2199999999993</v>
      </c>
      <c r="I1003">
        <f t="shared" si="94"/>
        <v>5455.68</v>
      </c>
      <c r="J1003">
        <f t="shared" si="91"/>
        <v>4167.5399999999991</v>
      </c>
      <c r="K1003" s="8">
        <f t="shared" si="92"/>
        <v>0.43307125889255355</v>
      </c>
      <c r="L1003" t="str">
        <f t="shared" si="95"/>
        <v>2023-12</v>
      </c>
      <c r="M1003">
        <f t="shared" si="93"/>
        <v>4167.5399999999991</v>
      </c>
    </row>
    <row r="1004" spans="1:13" x14ac:dyDescent="0.25">
      <c r="A1004" s="1">
        <v>44595</v>
      </c>
      <c r="B1004" t="s">
        <v>24</v>
      </c>
      <c r="C1004" t="s">
        <v>20</v>
      </c>
      <c r="D1004" t="s">
        <v>17</v>
      </c>
      <c r="E1004">
        <v>209.66</v>
      </c>
      <c r="F1004">
        <v>170.89</v>
      </c>
      <c r="G1004">
        <v>9</v>
      </c>
      <c r="H1004">
        <f t="shared" si="90"/>
        <v>1886.94</v>
      </c>
      <c r="I1004">
        <f t="shared" si="94"/>
        <v>1538.0099999999998</v>
      </c>
      <c r="J1004">
        <f t="shared" si="91"/>
        <v>348.93000000000029</v>
      </c>
      <c r="K1004" s="8">
        <f t="shared" si="92"/>
        <v>0.18491843937804078</v>
      </c>
      <c r="L1004" t="str">
        <f t="shared" si="95"/>
        <v>2022-02</v>
      </c>
      <c r="M1004">
        <f t="shared" si="93"/>
        <v>348.93000000000029</v>
      </c>
    </row>
    <row r="1005" spans="1:13" x14ac:dyDescent="0.25">
      <c r="A1005" s="1">
        <v>44809</v>
      </c>
      <c r="B1005" t="s">
        <v>19</v>
      </c>
      <c r="C1005" t="s">
        <v>20</v>
      </c>
      <c r="D1005" t="s">
        <v>13</v>
      </c>
      <c r="E1005">
        <v>1860.99</v>
      </c>
      <c r="F1005">
        <v>1017.32</v>
      </c>
      <c r="G1005">
        <v>4</v>
      </c>
      <c r="H1005">
        <f t="shared" si="90"/>
        <v>7443.96</v>
      </c>
      <c r="I1005">
        <f t="shared" si="94"/>
        <v>4069.28</v>
      </c>
      <c r="J1005">
        <f t="shared" si="91"/>
        <v>3374.68</v>
      </c>
      <c r="K1005" s="8">
        <f t="shared" si="92"/>
        <v>0.45334472511942564</v>
      </c>
      <c r="L1005" t="str">
        <f t="shared" si="95"/>
        <v>2022-09</v>
      </c>
      <c r="M1005">
        <f t="shared" si="93"/>
        <v>3374.68</v>
      </c>
    </row>
    <row r="1006" spans="1:13" x14ac:dyDescent="0.25">
      <c r="A1006" s="1">
        <v>44705</v>
      </c>
      <c r="B1006" t="s">
        <v>25</v>
      </c>
      <c r="C1006" t="s">
        <v>15</v>
      </c>
      <c r="D1006" t="s">
        <v>9</v>
      </c>
      <c r="E1006">
        <v>1022.36</v>
      </c>
      <c r="F1006">
        <v>814.42</v>
      </c>
      <c r="G1006">
        <v>10</v>
      </c>
      <c r="H1006">
        <f t="shared" si="90"/>
        <v>10223.6</v>
      </c>
      <c r="I1006">
        <f t="shared" si="94"/>
        <v>8144.2</v>
      </c>
      <c r="J1006">
        <f t="shared" si="91"/>
        <v>2079.4000000000005</v>
      </c>
      <c r="K1006" s="8">
        <f t="shared" si="92"/>
        <v>0.20339215149262496</v>
      </c>
      <c r="L1006" t="str">
        <f t="shared" si="95"/>
        <v>2022-05</v>
      </c>
      <c r="M1006">
        <f t="shared" si="93"/>
        <v>2079.4000000000005</v>
      </c>
    </row>
    <row r="1007" spans="1:13" x14ac:dyDescent="0.25">
      <c r="A1007" s="1">
        <v>45415</v>
      </c>
      <c r="B1007" t="s">
        <v>10</v>
      </c>
      <c r="C1007" t="s">
        <v>11</v>
      </c>
      <c r="D1007" t="s">
        <v>9</v>
      </c>
      <c r="E1007">
        <v>100.78</v>
      </c>
      <c r="F1007">
        <v>67.790000000000006</v>
      </c>
      <c r="G1007">
        <v>1</v>
      </c>
      <c r="H1007">
        <f t="shared" si="90"/>
        <v>100.78</v>
      </c>
      <c r="I1007">
        <f t="shared" si="94"/>
        <v>67.790000000000006</v>
      </c>
      <c r="J1007">
        <f t="shared" si="91"/>
        <v>32.989999999999995</v>
      </c>
      <c r="K1007" s="8">
        <f t="shared" si="92"/>
        <v>0.32734669577297076</v>
      </c>
      <c r="L1007" t="str">
        <f t="shared" si="95"/>
        <v>2024-05</v>
      </c>
      <c r="M1007">
        <f t="shared" si="93"/>
        <v>32.989999999999995</v>
      </c>
    </row>
    <row r="1008" spans="1:13" x14ac:dyDescent="0.25">
      <c r="A1008" s="1">
        <v>44982</v>
      </c>
      <c r="B1008" t="s">
        <v>22</v>
      </c>
      <c r="C1008" t="s">
        <v>8</v>
      </c>
      <c r="D1008" t="s">
        <v>9</v>
      </c>
      <c r="E1008">
        <v>1239.04</v>
      </c>
      <c r="F1008">
        <v>708.4</v>
      </c>
      <c r="G1008">
        <v>10</v>
      </c>
      <c r="H1008">
        <f t="shared" si="90"/>
        <v>12390.4</v>
      </c>
      <c r="I1008">
        <f t="shared" si="94"/>
        <v>7084</v>
      </c>
      <c r="J1008">
        <f t="shared" si="91"/>
        <v>5306.4</v>
      </c>
      <c r="K1008" s="8">
        <f t="shared" si="92"/>
        <v>0.42826704545454541</v>
      </c>
      <c r="L1008" t="str">
        <f t="shared" si="95"/>
        <v>2023-02</v>
      </c>
      <c r="M1008">
        <f t="shared" si="93"/>
        <v>5306.4</v>
      </c>
    </row>
    <row r="1009" spans="1:13" x14ac:dyDescent="0.25">
      <c r="A1009" s="1">
        <v>45578</v>
      </c>
      <c r="B1009" t="s">
        <v>12</v>
      </c>
      <c r="C1009" t="s">
        <v>8</v>
      </c>
      <c r="D1009" t="s">
        <v>13</v>
      </c>
      <c r="E1009">
        <v>573.80999999999995</v>
      </c>
      <c r="F1009">
        <v>465.84</v>
      </c>
      <c r="G1009">
        <v>8</v>
      </c>
      <c r="H1009">
        <f t="shared" si="90"/>
        <v>4590.4799999999996</v>
      </c>
      <c r="I1009">
        <f t="shared" si="94"/>
        <v>3726.72</v>
      </c>
      <c r="J1009">
        <f t="shared" si="91"/>
        <v>863.75999999999976</v>
      </c>
      <c r="K1009" s="8">
        <f t="shared" si="92"/>
        <v>0.18816332932503788</v>
      </c>
      <c r="L1009" t="str">
        <f t="shared" si="95"/>
        <v>2024-10</v>
      </c>
      <c r="M1009">
        <f t="shared" si="93"/>
        <v>863.75999999999976</v>
      </c>
    </row>
    <row r="1010" spans="1:13" x14ac:dyDescent="0.25">
      <c r="A1010" s="1">
        <v>45258</v>
      </c>
      <c r="B1010" t="s">
        <v>7</v>
      </c>
      <c r="C1010" t="s">
        <v>8</v>
      </c>
      <c r="D1010" t="s">
        <v>9</v>
      </c>
      <c r="E1010">
        <v>1672.74</v>
      </c>
      <c r="F1010">
        <v>1005.51</v>
      </c>
      <c r="G1010">
        <v>1</v>
      </c>
      <c r="H1010">
        <f t="shared" si="90"/>
        <v>1672.74</v>
      </c>
      <c r="I1010">
        <f t="shared" si="94"/>
        <v>1005.51</v>
      </c>
      <c r="J1010">
        <f t="shared" si="91"/>
        <v>667.23</v>
      </c>
      <c r="K1010" s="8">
        <f t="shared" si="92"/>
        <v>0.39888446500950536</v>
      </c>
      <c r="L1010" t="str">
        <f t="shared" si="95"/>
        <v>2023-11</v>
      </c>
      <c r="M1010">
        <f t="shared" si="93"/>
        <v>667.23</v>
      </c>
    </row>
    <row r="1011" spans="1:13" x14ac:dyDescent="0.25">
      <c r="A1011" s="1">
        <v>44778</v>
      </c>
      <c r="B1011" t="s">
        <v>14</v>
      </c>
      <c r="C1011" t="s">
        <v>15</v>
      </c>
      <c r="D1011" t="s">
        <v>18</v>
      </c>
      <c r="E1011">
        <v>1895.55</v>
      </c>
      <c r="F1011">
        <v>1296.49</v>
      </c>
      <c r="G1011">
        <v>7</v>
      </c>
      <c r="H1011">
        <f t="shared" si="90"/>
        <v>13268.85</v>
      </c>
      <c r="I1011">
        <f t="shared" si="94"/>
        <v>9075.43</v>
      </c>
      <c r="J1011">
        <f t="shared" si="91"/>
        <v>4193.42</v>
      </c>
      <c r="K1011" s="8">
        <f t="shared" si="92"/>
        <v>0.3160349239007148</v>
      </c>
      <c r="L1011" t="str">
        <f t="shared" si="95"/>
        <v>2022-08</v>
      </c>
      <c r="M1011">
        <f t="shared" si="93"/>
        <v>4193.42</v>
      </c>
    </row>
    <row r="1012" spans="1:13" x14ac:dyDescent="0.25">
      <c r="A1012" s="1">
        <v>45201</v>
      </c>
      <c r="B1012" t="s">
        <v>10</v>
      </c>
      <c r="C1012" t="s">
        <v>11</v>
      </c>
      <c r="D1012" t="s">
        <v>17</v>
      </c>
      <c r="E1012">
        <v>1404.42</v>
      </c>
      <c r="F1012">
        <v>1209.3599999999999</v>
      </c>
      <c r="G1012">
        <v>2</v>
      </c>
      <c r="H1012">
        <f t="shared" si="90"/>
        <v>2808.84</v>
      </c>
      <c r="I1012">
        <f t="shared" si="94"/>
        <v>2418.7199999999998</v>
      </c>
      <c r="J1012">
        <f t="shared" si="91"/>
        <v>390.12000000000035</v>
      </c>
      <c r="K1012" s="8">
        <f t="shared" si="92"/>
        <v>0.13889007561840486</v>
      </c>
      <c r="L1012" t="str">
        <f t="shared" si="95"/>
        <v>2023-10</v>
      </c>
      <c r="M1012">
        <f t="shared" si="93"/>
        <v>390.12000000000035</v>
      </c>
    </row>
    <row r="1013" spans="1:13" x14ac:dyDescent="0.25">
      <c r="A1013" s="1">
        <v>44821</v>
      </c>
      <c r="B1013" t="s">
        <v>12</v>
      </c>
      <c r="C1013" t="s">
        <v>8</v>
      </c>
      <c r="D1013" t="s">
        <v>17</v>
      </c>
      <c r="E1013">
        <v>1797.05</v>
      </c>
      <c r="F1013">
        <v>1458.88</v>
      </c>
      <c r="G1013">
        <v>2</v>
      </c>
      <c r="H1013">
        <f t="shared" si="90"/>
        <v>3594.1</v>
      </c>
      <c r="I1013">
        <f t="shared" si="94"/>
        <v>2917.76</v>
      </c>
      <c r="J1013">
        <f t="shared" si="91"/>
        <v>676.33999999999969</v>
      </c>
      <c r="K1013" s="8">
        <f t="shared" si="92"/>
        <v>0.18818062936479221</v>
      </c>
      <c r="L1013" t="str">
        <f t="shared" si="95"/>
        <v>2022-09</v>
      </c>
      <c r="M1013">
        <f t="shared" si="93"/>
        <v>676.33999999999969</v>
      </c>
    </row>
    <row r="1014" spans="1:13" x14ac:dyDescent="0.25">
      <c r="A1014" s="1">
        <v>44988</v>
      </c>
      <c r="B1014" t="s">
        <v>24</v>
      </c>
      <c r="C1014" t="s">
        <v>20</v>
      </c>
      <c r="D1014" t="s">
        <v>17</v>
      </c>
      <c r="E1014">
        <v>1995.75</v>
      </c>
      <c r="F1014">
        <v>1636.37</v>
      </c>
      <c r="G1014">
        <v>8</v>
      </c>
      <c r="H1014">
        <f t="shared" si="90"/>
        <v>15966</v>
      </c>
      <c r="I1014">
        <f t="shared" si="94"/>
        <v>13090.96</v>
      </c>
      <c r="J1014">
        <f t="shared" si="91"/>
        <v>2875.0400000000009</v>
      </c>
      <c r="K1014" s="8">
        <f t="shared" si="92"/>
        <v>0.18007265439058004</v>
      </c>
      <c r="L1014" t="str">
        <f t="shared" si="95"/>
        <v>2023-03</v>
      </c>
      <c r="M1014">
        <f t="shared" si="93"/>
        <v>2875.0400000000009</v>
      </c>
    </row>
    <row r="1015" spans="1:13" x14ac:dyDescent="0.25">
      <c r="A1015" s="1">
        <v>44907</v>
      </c>
      <c r="B1015" t="s">
        <v>19</v>
      </c>
      <c r="C1015" t="s">
        <v>20</v>
      </c>
      <c r="D1015" t="s">
        <v>13</v>
      </c>
      <c r="E1015">
        <v>1062.33</v>
      </c>
      <c r="F1015">
        <v>702.07</v>
      </c>
      <c r="G1015">
        <v>7</v>
      </c>
      <c r="H1015">
        <f t="shared" si="90"/>
        <v>7436.3099999999995</v>
      </c>
      <c r="I1015">
        <f t="shared" si="94"/>
        <v>4914.4900000000007</v>
      </c>
      <c r="J1015">
        <f t="shared" si="91"/>
        <v>2521.8199999999988</v>
      </c>
      <c r="K1015" s="8">
        <f t="shared" si="92"/>
        <v>0.33912249489330043</v>
      </c>
      <c r="L1015" t="str">
        <f t="shared" si="95"/>
        <v>2022-12</v>
      </c>
      <c r="M1015">
        <f t="shared" si="93"/>
        <v>2521.8199999999988</v>
      </c>
    </row>
    <row r="1016" spans="1:13" x14ac:dyDescent="0.25">
      <c r="A1016" s="1">
        <v>44885</v>
      </c>
      <c r="B1016" t="s">
        <v>23</v>
      </c>
      <c r="C1016" t="s">
        <v>11</v>
      </c>
      <c r="D1016" t="s">
        <v>13</v>
      </c>
      <c r="E1016">
        <v>1345.16</v>
      </c>
      <c r="F1016">
        <v>790.9</v>
      </c>
      <c r="G1016">
        <v>2</v>
      </c>
      <c r="H1016">
        <f t="shared" si="90"/>
        <v>2690.32</v>
      </c>
      <c r="I1016">
        <f t="shared" si="94"/>
        <v>1581.8</v>
      </c>
      <c r="J1016">
        <f t="shared" si="91"/>
        <v>1108.5200000000002</v>
      </c>
      <c r="K1016" s="8">
        <f t="shared" si="92"/>
        <v>0.4120402033958786</v>
      </c>
      <c r="L1016" t="str">
        <f t="shared" si="95"/>
        <v>2022-11</v>
      </c>
      <c r="M1016">
        <f t="shared" si="93"/>
        <v>1108.5200000000002</v>
      </c>
    </row>
    <row r="1017" spans="1:13" x14ac:dyDescent="0.25">
      <c r="A1017" s="1">
        <v>45359</v>
      </c>
      <c r="B1017" t="s">
        <v>12</v>
      </c>
      <c r="C1017" t="s">
        <v>8</v>
      </c>
      <c r="D1017" t="s">
        <v>18</v>
      </c>
      <c r="E1017">
        <v>232.79</v>
      </c>
      <c r="F1017">
        <v>203.45</v>
      </c>
      <c r="G1017">
        <v>8</v>
      </c>
      <c r="H1017">
        <f t="shared" si="90"/>
        <v>1862.32</v>
      </c>
      <c r="I1017">
        <f t="shared" si="94"/>
        <v>1627.6</v>
      </c>
      <c r="J1017">
        <f t="shared" si="91"/>
        <v>234.72000000000003</v>
      </c>
      <c r="K1017" s="8">
        <f t="shared" si="92"/>
        <v>0.12603634176725806</v>
      </c>
      <c r="L1017" t="str">
        <f t="shared" si="95"/>
        <v>2024-03</v>
      </c>
      <c r="M1017">
        <f t="shared" si="93"/>
        <v>234.72000000000003</v>
      </c>
    </row>
    <row r="1018" spans="1:13" x14ac:dyDescent="0.25">
      <c r="A1018" s="1">
        <v>44851</v>
      </c>
      <c r="B1018" t="s">
        <v>16</v>
      </c>
      <c r="C1018" t="s">
        <v>15</v>
      </c>
      <c r="D1018" t="s">
        <v>9</v>
      </c>
      <c r="E1018">
        <v>898.11</v>
      </c>
      <c r="F1018">
        <v>500.83</v>
      </c>
      <c r="G1018">
        <v>4</v>
      </c>
      <c r="H1018">
        <f t="shared" si="90"/>
        <v>3592.44</v>
      </c>
      <c r="I1018">
        <f t="shared" si="94"/>
        <v>2003.32</v>
      </c>
      <c r="J1018">
        <f t="shared" si="91"/>
        <v>1589.1200000000001</v>
      </c>
      <c r="K1018" s="8">
        <f t="shared" si="92"/>
        <v>0.44235115965750299</v>
      </c>
      <c r="L1018" t="str">
        <f t="shared" si="95"/>
        <v>2022-10</v>
      </c>
      <c r="M1018">
        <f t="shared" si="93"/>
        <v>1589.1200000000001</v>
      </c>
    </row>
    <row r="1019" spans="1:13" x14ac:dyDescent="0.25">
      <c r="A1019" s="1">
        <v>45112</v>
      </c>
      <c r="B1019" t="s">
        <v>14</v>
      </c>
      <c r="C1019" t="s">
        <v>15</v>
      </c>
      <c r="D1019" t="s">
        <v>13</v>
      </c>
      <c r="E1019">
        <v>1664.85</v>
      </c>
      <c r="F1019">
        <v>1266.3499999999999</v>
      </c>
      <c r="G1019">
        <v>5</v>
      </c>
      <c r="H1019">
        <f t="shared" si="90"/>
        <v>8324.25</v>
      </c>
      <c r="I1019">
        <f t="shared" si="94"/>
        <v>6331.75</v>
      </c>
      <c r="J1019">
        <f t="shared" si="91"/>
        <v>1992.5</v>
      </c>
      <c r="K1019" s="8">
        <f t="shared" si="92"/>
        <v>0.23936090338468932</v>
      </c>
      <c r="L1019" t="str">
        <f t="shared" si="95"/>
        <v>2023-07</v>
      </c>
      <c r="M1019">
        <f t="shared" si="93"/>
        <v>1992.5</v>
      </c>
    </row>
    <row r="1020" spans="1:13" x14ac:dyDescent="0.25">
      <c r="A1020" s="1">
        <v>45092</v>
      </c>
      <c r="B1020" t="s">
        <v>14</v>
      </c>
      <c r="C1020" t="s">
        <v>15</v>
      </c>
      <c r="D1020" t="s">
        <v>17</v>
      </c>
      <c r="E1020">
        <v>54.32</v>
      </c>
      <c r="F1020">
        <v>38.049999999999997</v>
      </c>
      <c r="G1020">
        <v>10</v>
      </c>
      <c r="H1020">
        <f t="shared" si="90"/>
        <v>543.20000000000005</v>
      </c>
      <c r="I1020">
        <f t="shared" si="94"/>
        <v>380.5</v>
      </c>
      <c r="J1020">
        <f t="shared" si="91"/>
        <v>162.70000000000005</v>
      </c>
      <c r="K1020" s="8">
        <f t="shared" si="92"/>
        <v>0.29952135493372611</v>
      </c>
      <c r="L1020" t="str">
        <f t="shared" si="95"/>
        <v>2023-06</v>
      </c>
      <c r="M1020">
        <f t="shared" si="93"/>
        <v>162.70000000000005</v>
      </c>
    </row>
    <row r="1021" spans="1:13" x14ac:dyDescent="0.25">
      <c r="A1021" s="1">
        <v>45251</v>
      </c>
      <c r="B1021" t="s">
        <v>21</v>
      </c>
      <c r="C1021" t="s">
        <v>20</v>
      </c>
      <c r="D1021" t="s">
        <v>18</v>
      </c>
      <c r="E1021">
        <v>349.63</v>
      </c>
      <c r="F1021">
        <v>177.75</v>
      </c>
      <c r="G1021">
        <v>9</v>
      </c>
      <c r="H1021">
        <f t="shared" si="90"/>
        <v>3146.67</v>
      </c>
      <c r="I1021">
        <f t="shared" si="94"/>
        <v>1599.75</v>
      </c>
      <c r="J1021">
        <f t="shared" si="91"/>
        <v>1546.92</v>
      </c>
      <c r="K1021" s="8">
        <f t="shared" si="92"/>
        <v>0.49160541143494552</v>
      </c>
      <c r="L1021" t="str">
        <f t="shared" si="95"/>
        <v>2023-11</v>
      </c>
      <c r="M1021">
        <f t="shared" si="93"/>
        <v>1546.92</v>
      </c>
    </row>
    <row r="1022" spans="1:13" x14ac:dyDescent="0.25">
      <c r="A1022" s="1">
        <v>45043</v>
      </c>
      <c r="B1022" t="s">
        <v>25</v>
      </c>
      <c r="C1022" t="s">
        <v>15</v>
      </c>
      <c r="D1022" t="s">
        <v>17</v>
      </c>
      <c r="E1022">
        <v>1401.23</v>
      </c>
      <c r="F1022">
        <v>1235.75</v>
      </c>
      <c r="G1022">
        <v>10</v>
      </c>
      <c r="H1022">
        <f t="shared" si="90"/>
        <v>14012.3</v>
      </c>
      <c r="I1022">
        <f t="shared" si="94"/>
        <v>12357.5</v>
      </c>
      <c r="J1022">
        <f t="shared" si="91"/>
        <v>1654.7999999999993</v>
      </c>
      <c r="K1022" s="8">
        <f t="shared" si="92"/>
        <v>0.11809624401418749</v>
      </c>
      <c r="L1022" t="str">
        <f t="shared" si="95"/>
        <v>2023-04</v>
      </c>
      <c r="M1022">
        <f t="shared" si="93"/>
        <v>1654.7999999999993</v>
      </c>
    </row>
    <row r="1023" spans="1:13" x14ac:dyDescent="0.25">
      <c r="A1023" s="1">
        <v>44959</v>
      </c>
      <c r="B1023" t="s">
        <v>23</v>
      </c>
      <c r="C1023" t="s">
        <v>11</v>
      </c>
      <c r="D1023" t="s">
        <v>13</v>
      </c>
      <c r="E1023">
        <v>1176.3699999999999</v>
      </c>
      <c r="F1023">
        <v>808.12</v>
      </c>
      <c r="G1023">
        <v>5</v>
      </c>
      <c r="H1023">
        <f t="shared" si="90"/>
        <v>5881.8499999999995</v>
      </c>
      <c r="I1023">
        <f t="shared" si="94"/>
        <v>4040.6</v>
      </c>
      <c r="J1023">
        <f t="shared" si="91"/>
        <v>1841.2499999999995</v>
      </c>
      <c r="K1023" s="8">
        <f t="shared" si="92"/>
        <v>0.31303926485714523</v>
      </c>
      <c r="L1023" t="str">
        <f t="shared" si="95"/>
        <v>2023-02</v>
      </c>
      <c r="M1023">
        <f t="shared" si="93"/>
        <v>1841.2499999999995</v>
      </c>
    </row>
    <row r="1024" spans="1:13" x14ac:dyDescent="0.25">
      <c r="A1024" s="1">
        <v>44659</v>
      </c>
      <c r="B1024" t="s">
        <v>19</v>
      </c>
      <c r="C1024" t="s">
        <v>20</v>
      </c>
      <c r="D1024" t="s">
        <v>18</v>
      </c>
      <c r="E1024">
        <v>1437.75</v>
      </c>
      <c r="F1024">
        <v>1286.44</v>
      </c>
      <c r="G1024">
        <v>4</v>
      </c>
      <c r="H1024">
        <f t="shared" si="90"/>
        <v>5751</v>
      </c>
      <c r="I1024">
        <f t="shared" si="94"/>
        <v>5145.76</v>
      </c>
      <c r="J1024">
        <f t="shared" si="91"/>
        <v>605.23999999999978</v>
      </c>
      <c r="K1024" s="8">
        <f t="shared" si="92"/>
        <v>0.1052408276821422</v>
      </c>
      <c r="L1024" t="str">
        <f t="shared" si="95"/>
        <v>2022-04</v>
      </c>
      <c r="M1024">
        <f t="shared" si="93"/>
        <v>605.23999999999978</v>
      </c>
    </row>
    <row r="1025" spans="1:13" x14ac:dyDescent="0.25">
      <c r="A1025" s="1">
        <v>44609</v>
      </c>
      <c r="B1025" t="s">
        <v>7</v>
      </c>
      <c r="C1025" t="s">
        <v>8</v>
      </c>
      <c r="D1025" t="s">
        <v>18</v>
      </c>
      <c r="E1025">
        <v>595.37</v>
      </c>
      <c r="F1025">
        <v>531.96</v>
      </c>
      <c r="G1025">
        <v>8</v>
      </c>
      <c r="H1025">
        <f t="shared" si="90"/>
        <v>4762.96</v>
      </c>
      <c r="I1025">
        <f t="shared" si="94"/>
        <v>4255.68</v>
      </c>
      <c r="J1025">
        <f t="shared" si="91"/>
        <v>507.27999999999975</v>
      </c>
      <c r="K1025" s="8">
        <f t="shared" si="92"/>
        <v>0.10650519844802386</v>
      </c>
      <c r="L1025" t="str">
        <f t="shared" si="95"/>
        <v>2022-02</v>
      </c>
      <c r="M1025">
        <f t="shared" si="93"/>
        <v>507.27999999999975</v>
      </c>
    </row>
    <row r="1026" spans="1:13" x14ac:dyDescent="0.25">
      <c r="A1026" s="1">
        <v>44741</v>
      </c>
      <c r="B1026" t="s">
        <v>24</v>
      </c>
      <c r="C1026" t="s">
        <v>20</v>
      </c>
      <c r="D1026" t="s">
        <v>17</v>
      </c>
      <c r="E1026">
        <v>689.16</v>
      </c>
      <c r="F1026">
        <v>540.09</v>
      </c>
      <c r="G1026">
        <v>6</v>
      </c>
      <c r="H1026">
        <f t="shared" si="90"/>
        <v>4134.96</v>
      </c>
      <c r="I1026">
        <f t="shared" si="94"/>
        <v>3240.54</v>
      </c>
      <c r="J1026">
        <f t="shared" si="91"/>
        <v>894.42000000000007</v>
      </c>
      <c r="K1026" s="8">
        <f t="shared" si="92"/>
        <v>0.21630680828835105</v>
      </c>
      <c r="L1026" t="str">
        <f t="shared" si="95"/>
        <v>2022-06</v>
      </c>
      <c r="M1026">
        <f t="shared" si="93"/>
        <v>894.42000000000007</v>
      </c>
    </row>
    <row r="1027" spans="1:13" x14ac:dyDescent="0.25">
      <c r="A1027" s="1">
        <v>45227</v>
      </c>
      <c r="B1027" t="s">
        <v>10</v>
      </c>
      <c r="C1027" t="s">
        <v>11</v>
      </c>
      <c r="D1027" t="s">
        <v>18</v>
      </c>
      <c r="E1027">
        <v>1380.18</v>
      </c>
      <c r="F1027">
        <v>836.4</v>
      </c>
      <c r="G1027">
        <v>8</v>
      </c>
      <c r="H1027">
        <f t="shared" ref="H1027:H1090" si="96">E1027*G1027</f>
        <v>11041.44</v>
      </c>
      <c r="I1027">
        <f t="shared" si="94"/>
        <v>6691.2</v>
      </c>
      <c r="J1027">
        <f t="shared" ref="J1027:J1090" si="97">H1027-I1027</f>
        <v>4350.2400000000007</v>
      </c>
      <c r="K1027" s="8">
        <f t="shared" ref="K1027:K1090" si="98">(H1027-I1027)/H1027</f>
        <v>0.39399208798852325</v>
      </c>
      <c r="L1027" t="str">
        <f t="shared" si="95"/>
        <v>2023-10</v>
      </c>
      <c r="M1027">
        <f t="shared" ref="M1027:M1090" si="99">H1027-I1027</f>
        <v>4350.2400000000007</v>
      </c>
    </row>
    <row r="1028" spans="1:13" x14ac:dyDescent="0.25">
      <c r="A1028" s="1">
        <v>44640</v>
      </c>
      <c r="B1028" t="s">
        <v>25</v>
      </c>
      <c r="C1028" t="s">
        <v>15</v>
      </c>
      <c r="D1028" t="s">
        <v>13</v>
      </c>
      <c r="E1028">
        <v>622.35</v>
      </c>
      <c r="F1028">
        <v>501.7</v>
      </c>
      <c r="G1028">
        <v>5</v>
      </c>
      <c r="H1028">
        <f t="shared" si="96"/>
        <v>3111.75</v>
      </c>
      <c r="I1028">
        <f t="shared" ref="I1028:I1091" si="100">F1028*G1028</f>
        <v>2508.5</v>
      </c>
      <c r="J1028">
        <f t="shared" si="97"/>
        <v>603.25</v>
      </c>
      <c r="K1028" s="8">
        <f t="shared" si="98"/>
        <v>0.19386197477303768</v>
      </c>
      <c r="L1028" t="str">
        <f t="shared" ref="L1028:L1091" si="101">TEXT(A1028,"rrrr-mm")</f>
        <v>2022-03</v>
      </c>
      <c r="M1028">
        <f t="shared" si="99"/>
        <v>603.25</v>
      </c>
    </row>
    <row r="1029" spans="1:13" x14ac:dyDescent="0.25">
      <c r="A1029" s="1">
        <v>45362</v>
      </c>
      <c r="B1029" t="s">
        <v>21</v>
      </c>
      <c r="C1029" t="s">
        <v>20</v>
      </c>
      <c r="D1029" t="s">
        <v>9</v>
      </c>
      <c r="E1029">
        <v>327.93</v>
      </c>
      <c r="F1029">
        <v>281.54000000000002</v>
      </c>
      <c r="G1029">
        <v>2</v>
      </c>
      <c r="H1029">
        <f t="shared" si="96"/>
        <v>655.86</v>
      </c>
      <c r="I1029">
        <f t="shared" si="100"/>
        <v>563.08000000000004</v>
      </c>
      <c r="J1029">
        <f t="shared" si="97"/>
        <v>92.779999999999973</v>
      </c>
      <c r="K1029" s="8">
        <f t="shared" si="98"/>
        <v>0.14146311712865547</v>
      </c>
      <c r="L1029" t="str">
        <f t="shared" si="101"/>
        <v>2024-03</v>
      </c>
      <c r="M1029">
        <f t="shared" si="99"/>
        <v>92.779999999999973</v>
      </c>
    </row>
    <row r="1030" spans="1:13" x14ac:dyDescent="0.25">
      <c r="A1030" s="1">
        <v>44828</v>
      </c>
      <c r="B1030" t="s">
        <v>22</v>
      </c>
      <c r="C1030" t="s">
        <v>8</v>
      </c>
      <c r="D1030" t="s">
        <v>13</v>
      </c>
      <c r="E1030">
        <v>89.93</v>
      </c>
      <c r="F1030">
        <v>68.099999999999994</v>
      </c>
      <c r="G1030">
        <v>7</v>
      </c>
      <c r="H1030">
        <f t="shared" si="96"/>
        <v>629.51</v>
      </c>
      <c r="I1030">
        <f t="shared" si="100"/>
        <v>476.69999999999993</v>
      </c>
      <c r="J1030">
        <f t="shared" si="97"/>
        <v>152.81000000000006</v>
      </c>
      <c r="K1030" s="8">
        <f t="shared" si="98"/>
        <v>0.2427443567218949</v>
      </c>
      <c r="L1030" t="str">
        <f t="shared" si="101"/>
        <v>2022-09</v>
      </c>
      <c r="M1030">
        <f t="shared" si="99"/>
        <v>152.81000000000006</v>
      </c>
    </row>
    <row r="1031" spans="1:13" x14ac:dyDescent="0.25">
      <c r="A1031" s="1">
        <v>45575</v>
      </c>
      <c r="B1031" t="s">
        <v>22</v>
      </c>
      <c r="C1031" t="s">
        <v>8</v>
      </c>
      <c r="D1031" t="s">
        <v>9</v>
      </c>
      <c r="E1031">
        <v>104.42</v>
      </c>
      <c r="F1031">
        <v>82.77</v>
      </c>
      <c r="G1031">
        <v>5</v>
      </c>
      <c r="H1031">
        <f t="shared" si="96"/>
        <v>522.1</v>
      </c>
      <c r="I1031">
        <f t="shared" si="100"/>
        <v>413.84999999999997</v>
      </c>
      <c r="J1031">
        <f t="shared" si="97"/>
        <v>108.25000000000006</v>
      </c>
      <c r="K1031" s="8">
        <f t="shared" si="98"/>
        <v>0.2073357594330589</v>
      </c>
      <c r="L1031" t="str">
        <f t="shared" si="101"/>
        <v>2024-10</v>
      </c>
      <c r="M1031">
        <f t="shared" si="99"/>
        <v>108.25000000000006</v>
      </c>
    </row>
    <row r="1032" spans="1:13" x14ac:dyDescent="0.25">
      <c r="A1032" s="1">
        <v>45105</v>
      </c>
      <c r="B1032" t="s">
        <v>7</v>
      </c>
      <c r="C1032" t="s">
        <v>8</v>
      </c>
      <c r="D1032" t="s">
        <v>18</v>
      </c>
      <c r="E1032">
        <v>591.48</v>
      </c>
      <c r="F1032">
        <v>379</v>
      </c>
      <c r="G1032">
        <v>7</v>
      </c>
      <c r="H1032">
        <f t="shared" si="96"/>
        <v>4140.3600000000006</v>
      </c>
      <c r="I1032">
        <f t="shared" si="100"/>
        <v>2653</v>
      </c>
      <c r="J1032">
        <f t="shared" si="97"/>
        <v>1487.3600000000006</v>
      </c>
      <c r="K1032" s="8">
        <f t="shared" si="98"/>
        <v>0.35923446270372633</v>
      </c>
      <c r="L1032" t="str">
        <f t="shared" si="101"/>
        <v>2023-06</v>
      </c>
      <c r="M1032">
        <f t="shared" si="99"/>
        <v>1487.3600000000006</v>
      </c>
    </row>
    <row r="1033" spans="1:13" x14ac:dyDescent="0.25">
      <c r="A1033" s="1">
        <v>45623</v>
      </c>
      <c r="B1033" t="s">
        <v>16</v>
      </c>
      <c r="C1033" t="s">
        <v>15</v>
      </c>
      <c r="D1033" t="s">
        <v>13</v>
      </c>
      <c r="E1033">
        <v>1344.28</v>
      </c>
      <c r="F1033">
        <v>694.53</v>
      </c>
      <c r="G1033">
        <v>8</v>
      </c>
      <c r="H1033">
        <f t="shared" si="96"/>
        <v>10754.24</v>
      </c>
      <c r="I1033">
        <f t="shared" si="100"/>
        <v>5556.24</v>
      </c>
      <c r="J1033">
        <f t="shared" si="97"/>
        <v>5198</v>
      </c>
      <c r="K1033" s="8">
        <f t="shared" si="98"/>
        <v>0.48334424375874074</v>
      </c>
      <c r="L1033" t="str">
        <f t="shared" si="101"/>
        <v>2024-11</v>
      </c>
      <c r="M1033">
        <f t="shared" si="99"/>
        <v>5198</v>
      </c>
    </row>
    <row r="1034" spans="1:13" x14ac:dyDescent="0.25">
      <c r="A1034" s="1">
        <v>44582</v>
      </c>
      <c r="B1034" t="s">
        <v>12</v>
      </c>
      <c r="C1034" t="s">
        <v>8</v>
      </c>
      <c r="D1034" t="s">
        <v>17</v>
      </c>
      <c r="E1034">
        <v>48.2</v>
      </c>
      <c r="F1034">
        <v>38.92</v>
      </c>
      <c r="G1034">
        <v>4</v>
      </c>
      <c r="H1034">
        <f t="shared" si="96"/>
        <v>192.8</v>
      </c>
      <c r="I1034">
        <f t="shared" si="100"/>
        <v>155.68</v>
      </c>
      <c r="J1034">
        <f t="shared" si="97"/>
        <v>37.120000000000005</v>
      </c>
      <c r="K1034" s="8">
        <f t="shared" si="98"/>
        <v>0.19253112033195022</v>
      </c>
      <c r="L1034" t="str">
        <f t="shared" si="101"/>
        <v>2022-01</v>
      </c>
      <c r="M1034">
        <f t="shared" si="99"/>
        <v>37.120000000000005</v>
      </c>
    </row>
    <row r="1035" spans="1:13" x14ac:dyDescent="0.25">
      <c r="A1035" s="1">
        <v>45069</v>
      </c>
      <c r="B1035" t="s">
        <v>19</v>
      </c>
      <c r="C1035" t="s">
        <v>20</v>
      </c>
      <c r="D1035" t="s">
        <v>18</v>
      </c>
      <c r="E1035">
        <v>1396.48</v>
      </c>
      <c r="F1035">
        <v>1111.55</v>
      </c>
      <c r="G1035">
        <v>9</v>
      </c>
      <c r="H1035">
        <f t="shared" si="96"/>
        <v>12568.32</v>
      </c>
      <c r="I1035">
        <f t="shared" si="100"/>
        <v>10003.949999999999</v>
      </c>
      <c r="J1035">
        <f t="shared" si="97"/>
        <v>2564.3700000000008</v>
      </c>
      <c r="K1035" s="8">
        <f t="shared" si="98"/>
        <v>0.20403442942254818</v>
      </c>
      <c r="L1035" t="str">
        <f t="shared" si="101"/>
        <v>2023-05</v>
      </c>
      <c r="M1035">
        <f t="shared" si="99"/>
        <v>2564.3700000000008</v>
      </c>
    </row>
    <row r="1036" spans="1:13" x14ac:dyDescent="0.25">
      <c r="A1036" s="1">
        <v>45488</v>
      </c>
      <c r="B1036" t="s">
        <v>25</v>
      </c>
      <c r="C1036" t="s">
        <v>15</v>
      </c>
      <c r="D1036" t="s">
        <v>9</v>
      </c>
      <c r="E1036">
        <v>66.95</v>
      </c>
      <c r="F1036">
        <v>54.3</v>
      </c>
      <c r="G1036">
        <v>4</v>
      </c>
      <c r="H1036">
        <f t="shared" si="96"/>
        <v>267.8</v>
      </c>
      <c r="I1036">
        <f t="shared" si="100"/>
        <v>217.2</v>
      </c>
      <c r="J1036">
        <f t="shared" si="97"/>
        <v>50.600000000000023</v>
      </c>
      <c r="K1036" s="8">
        <f t="shared" si="98"/>
        <v>0.18894697535474242</v>
      </c>
      <c r="L1036" t="str">
        <f t="shared" si="101"/>
        <v>2024-07</v>
      </c>
      <c r="M1036">
        <f t="shared" si="99"/>
        <v>50.600000000000023</v>
      </c>
    </row>
    <row r="1037" spans="1:13" x14ac:dyDescent="0.25">
      <c r="A1037" s="1">
        <v>44811</v>
      </c>
      <c r="B1037" t="s">
        <v>21</v>
      </c>
      <c r="C1037" t="s">
        <v>20</v>
      </c>
      <c r="D1037" t="s">
        <v>18</v>
      </c>
      <c r="E1037">
        <v>697.07</v>
      </c>
      <c r="F1037">
        <v>468.86</v>
      </c>
      <c r="G1037">
        <v>5</v>
      </c>
      <c r="H1037">
        <f t="shared" si="96"/>
        <v>3485.3500000000004</v>
      </c>
      <c r="I1037">
        <f t="shared" si="100"/>
        <v>2344.3000000000002</v>
      </c>
      <c r="J1037">
        <f t="shared" si="97"/>
        <v>1141.0500000000002</v>
      </c>
      <c r="K1037" s="8">
        <f t="shared" si="98"/>
        <v>0.32738462421277637</v>
      </c>
      <c r="L1037" t="str">
        <f t="shared" si="101"/>
        <v>2022-09</v>
      </c>
      <c r="M1037">
        <f t="shared" si="99"/>
        <v>1141.0500000000002</v>
      </c>
    </row>
    <row r="1038" spans="1:13" x14ac:dyDescent="0.25">
      <c r="A1038" s="1">
        <v>45020</v>
      </c>
      <c r="B1038" t="s">
        <v>25</v>
      </c>
      <c r="C1038" t="s">
        <v>15</v>
      </c>
      <c r="D1038" t="s">
        <v>9</v>
      </c>
      <c r="E1038">
        <v>1487.39</v>
      </c>
      <c r="F1038">
        <v>1032.07</v>
      </c>
      <c r="G1038">
        <v>5</v>
      </c>
      <c r="H1038">
        <f t="shared" si="96"/>
        <v>7436.9500000000007</v>
      </c>
      <c r="I1038">
        <f t="shared" si="100"/>
        <v>5160.3499999999995</v>
      </c>
      <c r="J1038">
        <f t="shared" si="97"/>
        <v>2276.6000000000013</v>
      </c>
      <c r="K1038" s="8">
        <f t="shared" si="98"/>
        <v>0.30612011644558601</v>
      </c>
      <c r="L1038" t="str">
        <f t="shared" si="101"/>
        <v>2023-04</v>
      </c>
      <c r="M1038">
        <f t="shared" si="99"/>
        <v>2276.6000000000013</v>
      </c>
    </row>
    <row r="1039" spans="1:13" x14ac:dyDescent="0.25">
      <c r="A1039" s="1">
        <v>45202</v>
      </c>
      <c r="B1039" t="s">
        <v>25</v>
      </c>
      <c r="C1039" t="s">
        <v>15</v>
      </c>
      <c r="D1039" t="s">
        <v>13</v>
      </c>
      <c r="E1039">
        <v>1311.01</v>
      </c>
      <c r="F1039">
        <v>824.41</v>
      </c>
      <c r="G1039">
        <v>4</v>
      </c>
      <c r="H1039">
        <f t="shared" si="96"/>
        <v>5244.04</v>
      </c>
      <c r="I1039">
        <f t="shared" si="100"/>
        <v>3297.64</v>
      </c>
      <c r="J1039">
        <f t="shared" si="97"/>
        <v>1946.4</v>
      </c>
      <c r="K1039" s="8">
        <f t="shared" si="98"/>
        <v>0.37116421690147294</v>
      </c>
      <c r="L1039" t="str">
        <f t="shared" si="101"/>
        <v>2023-10</v>
      </c>
      <c r="M1039">
        <f t="shared" si="99"/>
        <v>1946.4</v>
      </c>
    </row>
    <row r="1040" spans="1:13" x14ac:dyDescent="0.25">
      <c r="A1040" s="1">
        <v>44793</v>
      </c>
      <c r="B1040" t="s">
        <v>14</v>
      </c>
      <c r="C1040" t="s">
        <v>15</v>
      </c>
      <c r="D1040" t="s">
        <v>13</v>
      </c>
      <c r="E1040">
        <v>52.33</v>
      </c>
      <c r="F1040">
        <v>32.61</v>
      </c>
      <c r="G1040">
        <v>6</v>
      </c>
      <c r="H1040">
        <f t="shared" si="96"/>
        <v>313.98</v>
      </c>
      <c r="I1040">
        <f t="shared" si="100"/>
        <v>195.66</v>
      </c>
      <c r="J1040">
        <f t="shared" si="97"/>
        <v>118.32000000000002</v>
      </c>
      <c r="K1040" s="8">
        <f t="shared" si="98"/>
        <v>0.37683928912669601</v>
      </c>
      <c r="L1040" t="str">
        <f t="shared" si="101"/>
        <v>2022-08</v>
      </c>
      <c r="M1040">
        <f t="shared" si="99"/>
        <v>118.32000000000002</v>
      </c>
    </row>
    <row r="1041" spans="1:13" x14ac:dyDescent="0.25">
      <c r="A1041" s="1">
        <v>45148</v>
      </c>
      <c r="B1041" t="s">
        <v>25</v>
      </c>
      <c r="C1041" t="s">
        <v>15</v>
      </c>
      <c r="D1041" t="s">
        <v>18</v>
      </c>
      <c r="E1041">
        <v>1692.93</v>
      </c>
      <c r="F1041">
        <v>1157.4000000000001</v>
      </c>
      <c r="G1041">
        <v>1</v>
      </c>
      <c r="H1041">
        <f t="shared" si="96"/>
        <v>1692.93</v>
      </c>
      <c r="I1041">
        <f t="shared" si="100"/>
        <v>1157.4000000000001</v>
      </c>
      <c r="J1041">
        <f t="shared" si="97"/>
        <v>535.53</v>
      </c>
      <c r="K1041" s="8">
        <f t="shared" si="98"/>
        <v>0.31633322110187662</v>
      </c>
      <c r="L1041" t="str">
        <f t="shared" si="101"/>
        <v>2023-08</v>
      </c>
      <c r="M1041">
        <f t="shared" si="99"/>
        <v>535.53</v>
      </c>
    </row>
    <row r="1042" spans="1:13" x14ac:dyDescent="0.25">
      <c r="A1042" s="1">
        <v>44576</v>
      </c>
      <c r="B1042" t="s">
        <v>14</v>
      </c>
      <c r="C1042" t="s">
        <v>15</v>
      </c>
      <c r="D1042" t="s">
        <v>17</v>
      </c>
      <c r="E1042">
        <v>1309.46</v>
      </c>
      <c r="F1042">
        <v>751.62</v>
      </c>
      <c r="G1042">
        <v>1</v>
      </c>
      <c r="H1042">
        <f t="shared" si="96"/>
        <v>1309.46</v>
      </c>
      <c r="I1042">
        <f t="shared" si="100"/>
        <v>751.62</v>
      </c>
      <c r="J1042">
        <f t="shared" si="97"/>
        <v>557.84</v>
      </c>
      <c r="K1042" s="8">
        <f t="shared" si="98"/>
        <v>0.42600766728269668</v>
      </c>
      <c r="L1042" t="str">
        <f t="shared" si="101"/>
        <v>2022-01</v>
      </c>
      <c r="M1042">
        <f t="shared" si="99"/>
        <v>557.84</v>
      </c>
    </row>
    <row r="1043" spans="1:13" x14ac:dyDescent="0.25">
      <c r="A1043" s="1">
        <v>45396</v>
      </c>
      <c r="B1043" t="s">
        <v>21</v>
      </c>
      <c r="C1043" t="s">
        <v>20</v>
      </c>
      <c r="D1043" t="s">
        <v>18</v>
      </c>
      <c r="E1043">
        <v>1851.59</v>
      </c>
      <c r="F1043">
        <v>1410.6</v>
      </c>
      <c r="G1043">
        <v>7</v>
      </c>
      <c r="H1043">
        <f t="shared" si="96"/>
        <v>12961.13</v>
      </c>
      <c r="I1043">
        <f t="shared" si="100"/>
        <v>9874.1999999999989</v>
      </c>
      <c r="J1043">
        <f t="shared" si="97"/>
        <v>3086.9300000000003</v>
      </c>
      <c r="K1043" s="8">
        <f t="shared" si="98"/>
        <v>0.23816827699436705</v>
      </c>
      <c r="L1043" t="str">
        <f t="shared" si="101"/>
        <v>2024-04</v>
      </c>
      <c r="M1043">
        <f t="shared" si="99"/>
        <v>3086.9300000000003</v>
      </c>
    </row>
    <row r="1044" spans="1:13" x14ac:dyDescent="0.25">
      <c r="A1044" s="1">
        <v>44953</v>
      </c>
      <c r="B1044" t="s">
        <v>16</v>
      </c>
      <c r="C1044" t="s">
        <v>15</v>
      </c>
      <c r="D1044" t="s">
        <v>17</v>
      </c>
      <c r="E1044">
        <v>1057.23</v>
      </c>
      <c r="F1044">
        <v>854.97</v>
      </c>
      <c r="G1044">
        <v>3</v>
      </c>
      <c r="H1044">
        <f t="shared" si="96"/>
        <v>3171.69</v>
      </c>
      <c r="I1044">
        <f t="shared" si="100"/>
        <v>2564.91</v>
      </c>
      <c r="J1044">
        <f t="shared" si="97"/>
        <v>606.7800000000002</v>
      </c>
      <c r="K1044" s="8">
        <f t="shared" si="98"/>
        <v>0.19131125677477945</v>
      </c>
      <c r="L1044" t="str">
        <f t="shared" si="101"/>
        <v>2023-01</v>
      </c>
      <c r="M1044">
        <f t="shared" si="99"/>
        <v>606.7800000000002</v>
      </c>
    </row>
    <row r="1045" spans="1:13" x14ac:dyDescent="0.25">
      <c r="A1045" s="1">
        <v>45518</v>
      </c>
      <c r="B1045" t="s">
        <v>7</v>
      </c>
      <c r="C1045" t="s">
        <v>8</v>
      </c>
      <c r="D1045" t="s">
        <v>17</v>
      </c>
      <c r="E1045">
        <v>408.65</v>
      </c>
      <c r="F1045">
        <v>250.46</v>
      </c>
      <c r="G1045">
        <v>3</v>
      </c>
      <c r="H1045">
        <f t="shared" si="96"/>
        <v>1225.9499999999998</v>
      </c>
      <c r="I1045">
        <f t="shared" si="100"/>
        <v>751.38</v>
      </c>
      <c r="J1045">
        <f t="shared" si="97"/>
        <v>474.56999999999982</v>
      </c>
      <c r="K1045" s="8">
        <f t="shared" si="98"/>
        <v>0.38710387862473988</v>
      </c>
      <c r="L1045" t="str">
        <f t="shared" si="101"/>
        <v>2024-08</v>
      </c>
      <c r="M1045">
        <f t="shared" si="99"/>
        <v>474.56999999999982</v>
      </c>
    </row>
    <row r="1046" spans="1:13" x14ac:dyDescent="0.25">
      <c r="A1046" s="1">
        <v>44613</v>
      </c>
      <c r="B1046" t="s">
        <v>14</v>
      </c>
      <c r="C1046" t="s">
        <v>15</v>
      </c>
      <c r="D1046" t="s">
        <v>9</v>
      </c>
      <c r="E1046">
        <v>638.16999999999996</v>
      </c>
      <c r="F1046">
        <v>437.05</v>
      </c>
      <c r="G1046">
        <v>3</v>
      </c>
      <c r="H1046">
        <f t="shared" si="96"/>
        <v>1914.5099999999998</v>
      </c>
      <c r="I1046">
        <f t="shared" si="100"/>
        <v>1311.15</v>
      </c>
      <c r="J1046">
        <f t="shared" si="97"/>
        <v>603.35999999999967</v>
      </c>
      <c r="K1046" s="8">
        <f t="shared" si="98"/>
        <v>0.31515113527743377</v>
      </c>
      <c r="L1046" t="str">
        <f t="shared" si="101"/>
        <v>2022-02</v>
      </c>
      <c r="M1046">
        <f t="shared" si="99"/>
        <v>603.35999999999967</v>
      </c>
    </row>
    <row r="1047" spans="1:13" x14ac:dyDescent="0.25">
      <c r="A1047" s="1">
        <v>45370</v>
      </c>
      <c r="B1047" t="s">
        <v>7</v>
      </c>
      <c r="C1047" t="s">
        <v>8</v>
      </c>
      <c r="D1047" t="s">
        <v>18</v>
      </c>
      <c r="E1047">
        <v>119.08</v>
      </c>
      <c r="F1047">
        <v>91.84</v>
      </c>
      <c r="G1047">
        <v>2</v>
      </c>
      <c r="H1047">
        <f t="shared" si="96"/>
        <v>238.16</v>
      </c>
      <c r="I1047">
        <f t="shared" si="100"/>
        <v>183.68</v>
      </c>
      <c r="J1047">
        <f t="shared" si="97"/>
        <v>54.47999999999999</v>
      </c>
      <c r="K1047" s="8">
        <f t="shared" si="98"/>
        <v>0.22875377897211954</v>
      </c>
      <c r="L1047" t="str">
        <f t="shared" si="101"/>
        <v>2024-03</v>
      </c>
      <c r="M1047">
        <f t="shared" si="99"/>
        <v>54.47999999999999</v>
      </c>
    </row>
    <row r="1048" spans="1:13" x14ac:dyDescent="0.25">
      <c r="A1048" s="1">
        <v>45563</v>
      </c>
      <c r="B1048" t="s">
        <v>24</v>
      </c>
      <c r="C1048" t="s">
        <v>20</v>
      </c>
      <c r="D1048" t="s">
        <v>17</v>
      </c>
      <c r="E1048">
        <v>1757.15</v>
      </c>
      <c r="F1048">
        <v>1247.44</v>
      </c>
      <c r="G1048">
        <v>3</v>
      </c>
      <c r="H1048">
        <f t="shared" si="96"/>
        <v>5271.4500000000007</v>
      </c>
      <c r="I1048">
        <f t="shared" si="100"/>
        <v>3742.32</v>
      </c>
      <c r="J1048">
        <f t="shared" si="97"/>
        <v>1529.1300000000006</v>
      </c>
      <c r="K1048" s="8">
        <f t="shared" si="98"/>
        <v>0.29007768261104638</v>
      </c>
      <c r="L1048" t="str">
        <f t="shared" si="101"/>
        <v>2024-09</v>
      </c>
      <c r="M1048">
        <f t="shared" si="99"/>
        <v>1529.1300000000006</v>
      </c>
    </row>
    <row r="1049" spans="1:13" x14ac:dyDescent="0.25">
      <c r="A1049" s="1">
        <v>44763</v>
      </c>
      <c r="B1049" t="s">
        <v>25</v>
      </c>
      <c r="C1049" t="s">
        <v>15</v>
      </c>
      <c r="D1049" t="s">
        <v>17</v>
      </c>
      <c r="E1049">
        <v>1319.55</v>
      </c>
      <c r="F1049">
        <v>1009.67</v>
      </c>
      <c r="G1049">
        <v>3</v>
      </c>
      <c r="H1049">
        <f t="shared" si="96"/>
        <v>3958.6499999999996</v>
      </c>
      <c r="I1049">
        <f t="shared" si="100"/>
        <v>3029.0099999999998</v>
      </c>
      <c r="J1049">
        <f t="shared" si="97"/>
        <v>929.63999999999987</v>
      </c>
      <c r="K1049" s="8">
        <f t="shared" si="98"/>
        <v>0.23483763404190822</v>
      </c>
      <c r="L1049" t="str">
        <f t="shared" si="101"/>
        <v>2022-07</v>
      </c>
      <c r="M1049">
        <f t="shared" si="99"/>
        <v>929.63999999999987</v>
      </c>
    </row>
    <row r="1050" spans="1:13" x14ac:dyDescent="0.25">
      <c r="A1050" s="1">
        <v>44698</v>
      </c>
      <c r="B1050" t="s">
        <v>14</v>
      </c>
      <c r="C1050" t="s">
        <v>15</v>
      </c>
      <c r="D1050" t="s">
        <v>9</v>
      </c>
      <c r="E1050">
        <v>1778.68</v>
      </c>
      <c r="F1050">
        <v>978.49</v>
      </c>
      <c r="G1050">
        <v>9</v>
      </c>
      <c r="H1050">
        <f t="shared" si="96"/>
        <v>16008.12</v>
      </c>
      <c r="I1050">
        <f t="shared" si="100"/>
        <v>8806.41</v>
      </c>
      <c r="J1050">
        <f t="shared" si="97"/>
        <v>7201.7100000000009</v>
      </c>
      <c r="K1050" s="8">
        <f t="shared" si="98"/>
        <v>0.44987856162997281</v>
      </c>
      <c r="L1050" t="str">
        <f t="shared" si="101"/>
        <v>2022-05</v>
      </c>
      <c r="M1050">
        <f t="shared" si="99"/>
        <v>7201.7100000000009</v>
      </c>
    </row>
    <row r="1051" spans="1:13" x14ac:dyDescent="0.25">
      <c r="A1051" s="1">
        <v>44836</v>
      </c>
      <c r="B1051" t="s">
        <v>10</v>
      </c>
      <c r="C1051" t="s">
        <v>11</v>
      </c>
      <c r="D1051" t="s">
        <v>13</v>
      </c>
      <c r="E1051">
        <v>1942.09</v>
      </c>
      <c r="F1051">
        <v>1391.25</v>
      </c>
      <c r="G1051">
        <v>9</v>
      </c>
      <c r="H1051">
        <f t="shared" si="96"/>
        <v>17478.809999999998</v>
      </c>
      <c r="I1051">
        <f t="shared" si="100"/>
        <v>12521.25</v>
      </c>
      <c r="J1051">
        <f t="shared" si="97"/>
        <v>4957.5599999999977</v>
      </c>
      <c r="K1051" s="8">
        <f t="shared" si="98"/>
        <v>0.283632581394271</v>
      </c>
      <c r="L1051" t="str">
        <f t="shared" si="101"/>
        <v>2022-10</v>
      </c>
      <c r="M1051">
        <f t="shared" si="99"/>
        <v>4957.5599999999977</v>
      </c>
    </row>
    <row r="1052" spans="1:13" x14ac:dyDescent="0.25">
      <c r="A1052" s="1">
        <v>45086</v>
      </c>
      <c r="B1052" t="s">
        <v>10</v>
      </c>
      <c r="C1052" t="s">
        <v>11</v>
      </c>
      <c r="D1052" t="s">
        <v>17</v>
      </c>
      <c r="E1052">
        <v>1750.08</v>
      </c>
      <c r="F1052">
        <v>1242.3800000000001</v>
      </c>
      <c r="G1052">
        <v>9</v>
      </c>
      <c r="H1052">
        <f t="shared" si="96"/>
        <v>15750.72</v>
      </c>
      <c r="I1052">
        <f t="shared" si="100"/>
        <v>11181.420000000002</v>
      </c>
      <c r="J1052">
        <f t="shared" si="97"/>
        <v>4569.2999999999975</v>
      </c>
      <c r="K1052" s="8">
        <f t="shared" si="98"/>
        <v>0.29010102395319054</v>
      </c>
      <c r="L1052" t="str">
        <f t="shared" si="101"/>
        <v>2023-06</v>
      </c>
      <c r="M1052">
        <f t="shared" si="99"/>
        <v>4569.2999999999975</v>
      </c>
    </row>
    <row r="1053" spans="1:13" x14ac:dyDescent="0.25">
      <c r="A1053" s="1">
        <v>45051</v>
      </c>
      <c r="B1053" t="s">
        <v>14</v>
      </c>
      <c r="C1053" t="s">
        <v>15</v>
      </c>
      <c r="D1053" t="s">
        <v>18</v>
      </c>
      <c r="E1053">
        <v>1356.39</v>
      </c>
      <c r="F1053">
        <v>977.21</v>
      </c>
      <c r="G1053">
        <v>5</v>
      </c>
      <c r="H1053">
        <f t="shared" si="96"/>
        <v>6781.9500000000007</v>
      </c>
      <c r="I1053">
        <f t="shared" si="100"/>
        <v>4886.05</v>
      </c>
      <c r="J1053">
        <f t="shared" si="97"/>
        <v>1895.9000000000005</v>
      </c>
      <c r="K1053" s="8">
        <f t="shared" si="98"/>
        <v>0.2795508666386512</v>
      </c>
      <c r="L1053" t="str">
        <f t="shared" si="101"/>
        <v>2023-05</v>
      </c>
      <c r="M1053">
        <f t="shared" si="99"/>
        <v>1895.9000000000005</v>
      </c>
    </row>
    <row r="1054" spans="1:13" x14ac:dyDescent="0.25">
      <c r="A1054" s="1">
        <v>44961</v>
      </c>
      <c r="B1054" t="s">
        <v>24</v>
      </c>
      <c r="C1054" t="s">
        <v>20</v>
      </c>
      <c r="D1054" t="s">
        <v>18</v>
      </c>
      <c r="E1054">
        <v>1136.47</v>
      </c>
      <c r="F1054">
        <v>932.83</v>
      </c>
      <c r="G1054">
        <v>5</v>
      </c>
      <c r="H1054">
        <f t="shared" si="96"/>
        <v>5682.35</v>
      </c>
      <c r="I1054">
        <f t="shared" si="100"/>
        <v>4664.1500000000005</v>
      </c>
      <c r="J1054">
        <f t="shared" si="97"/>
        <v>1018.1999999999998</v>
      </c>
      <c r="K1054" s="8">
        <f t="shared" si="98"/>
        <v>0.17918642815032509</v>
      </c>
      <c r="L1054" t="str">
        <f t="shared" si="101"/>
        <v>2023-02</v>
      </c>
      <c r="M1054">
        <f t="shared" si="99"/>
        <v>1018.1999999999998</v>
      </c>
    </row>
    <row r="1055" spans="1:13" x14ac:dyDescent="0.25">
      <c r="A1055" s="1">
        <v>45329</v>
      </c>
      <c r="B1055" t="s">
        <v>21</v>
      </c>
      <c r="C1055" t="s">
        <v>20</v>
      </c>
      <c r="D1055" t="s">
        <v>18</v>
      </c>
      <c r="E1055">
        <v>1181.3399999999999</v>
      </c>
      <c r="F1055">
        <v>646.54999999999995</v>
      </c>
      <c r="G1055">
        <v>10</v>
      </c>
      <c r="H1055">
        <f t="shared" si="96"/>
        <v>11813.4</v>
      </c>
      <c r="I1055">
        <f t="shared" si="100"/>
        <v>6465.5</v>
      </c>
      <c r="J1055">
        <f t="shared" si="97"/>
        <v>5347.9</v>
      </c>
      <c r="K1055" s="8">
        <f t="shared" si="98"/>
        <v>0.4526977838725515</v>
      </c>
      <c r="L1055" t="str">
        <f t="shared" si="101"/>
        <v>2024-02</v>
      </c>
      <c r="M1055">
        <f t="shared" si="99"/>
        <v>5347.9</v>
      </c>
    </row>
    <row r="1056" spans="1:13" x14ac:dyDescent="0.25">
      <c r="A1056" s="1">
        <v>44638</v>
      </c>
      <c r="B1056" t="s">
        <v>21</v>
      </c>
      <c r="C1056" t="s">
        <v>20</v>
      </c>
      <c r="D1056" t="s">
        <v>9</v>
      </c>
      <c r="E1056">
        <v>1694.96</v>
      </c>
      <c r="F1056">
        <v>1385.32</v>
      </c>
      <c r="G1056">
        <v>10</v>
      </c>
      <c r="H1056">
        <f t="shared" si="96"/>
        <v>16949.599999999999</v>
      </c>
      <c r="I1056">
        <f t="shared" si="100"/>
        <v>13853.199999999999</v>
      </c>
      <c r="J1056">
        <f t="shared" si="97"/>
        <v>3096.3999999999996</v>
      </c>
      <c r="K1056" s="8">
        <f t="shared" si="98"/>
        <v>0.18268277717468259</v>
      </c>
      <c r="L1056" t="str">
        <f t="shared" si="101"/>
        <v>2022-03</v>
      </c>
      <c r="M1056">
        <f t="shared" si="99"/>
        <v>3096.3999999999996</v>
      </c>
    </row>
    <row r="1057" spans="1:13" x14ac:dyDescent="0.25">
      <c r="A1057" s="1">
        <v>45036</v>
      </c>
      <c r="B1057" t="s">
        <v>14</v>
      </c>
      <c r="C1057" t="s">
        <v>15</v>
      </c>
      <c r="D1057" t="s">
        <v>9</v>
      </c>
      <c r="E1057">
        <v>1069.8</v>
      </c>
      <c r="F1057">
        <v>570.5</v>
      </c>
      <c r="G1057">
        <v>5</v>
      </c>
      <c r="H1057">
        <f t="shared" si="96"/>
        <v>5349</v>
      </c>
      <c r="I1057">
        <f t="shared" si="100"/>
        <v>2852.5</v>
      </c>
      <c r="J1057">
        <f t="shared" si="97"/>
        <v>2496.5</v>
      </c>
      <c r="K1057" s="8">
        <f t="shared" si="98"/>
        <v>0.46672275191624601</v>
      </c>
      <c r="L1057" t="str">
        <f t="shared" si="101"/>
        <v>2023-04</v>
      </c>
      <c r="M1057">
        <f t="shared" si="99"/>
        <v>2496.5</v>
      </c>
    </row>
    <row r="1058" spans="1:13" x14ac:dyDescent="0.25">
      <c r="A1058" s="1">
        <v>44584</v>
      </c>
      <c r="B1058" t="s">
        <v>16</v>
      </c>
      <c r="C1058" t="s">
        <v>15</v>
      </c>
      <c r="D1058" t="s">
        <v>18</v>
      </c>
      <c r="E1058">
        <v>928.25</v>
      </c>
      <c r="F1058">
        <v>586.07000000000005</v>
      </c>
      <c r="G1058">
        <v>5</v>
      </c>
      <c r="H1058">
        <f t="shared" si="96"/>
        <v>4641.25</v>
      </c>
      <c r="I1058">
        <f t="shared" si="100"/>
        <v>2930.3500000000004</v>
      </c>
      <c r="J1058">
        <f t="shared" si="97"/>
        <v>1710.8999999999996</v>
      </c>
      <c r="K1058" s="8">
        <f t="shared" si="98"/>
        <v>0.36862914085645021</v>
      </c>
      <c r="L1058" t="str">
        <f t="shared" si="101"/>
        <v>2022-01</v>
      </c>
      <c r="M1058">
        <f t="shared" si="99"/>
        <v>1710.8999999999996</v>
      </c>
    </row>
    <row r="1059" spans="1:13" x14ac:dyDescent="0.25">
      <c r="A1059" s="1">
        <v>44772</v>
      </c>
      <c r="B1059" t="s">
        <v>16</v>
      </c>
      <c r="C1059" t="s">
        <v>15</v>
      </c>
      <c r="D1059" t="s">
        <v>13</v>
      </c>
      <c r="E1059">
        <v>1731.04</v>
      </c>
      <c r="F1059">
        <v>1174.29</v>
      </c>
      <c r="G1059">
        <v>8</v>
      </c>
      <c r="H1059">
        <f t="shared" si="96"/>
        <v>13848.32</v>
      </c>
      <c r="I1059">
        <f t="shared" si="100"/>
        <v>9394.32</v>
      </c>
      <c r="J1059">
        <f t="shared" si="97"/>
        <v>4454</v>
      </c>
      <c r="K1059" s="8">
        <f t="shared" si="98"/>
        <v>0.32162746094833167</v>
      </c>
      <c r="L1059" t="str">
        <f t="shared" si="101"/>
        <v>2022-07</v>
      </c>
      <c r="M1059">
        <f t="shared" si="99"/>
        <v>4454</v>
      </c>
    </row>
    <row r="1060" spans="1:13" x14ac:dyDescent="0.25">
      <c r="A1060" s="1">
        <v>45611</v>
      </c>
      <c r="B1060" t="s">
        <v>21</v>
      </c>
      <c r="C1060" t="s">
        <v>20</v>
      </c>
      <c r="D1060" t="s">
        <v>17</v>
      </c>
      <c r="E1060">
        <v>918.82</v>
      </c>
      <c r="F1060">
        <v>566.97</v>
      </c>
      <c r="G1060">
        <v>9</v>
      </c>
      <c r="H1060">
        <f t="shared" si="96"/>
        <v>8269.380000000001</v>
      </c>
      <c r="I1060">
        <f t="shared" si="100"/>
        <v>5102.7300000000005</v>
      </c>
      <c r="J1060">
        <f t="shared" si="97"/>
        <v>3166.6500000000005</v>
      </c>
      <c r="K1060" s="8">
        <f t="shared" si="98"/>
        <v>0.38293681025663351</v>
      </c>
      <c r="L1060" t="str">
        <f t="shared" si="101"/>
        <v>2024-11</v>
      </c>
      <c r="M1060">
        <f t="shared" si="99"/>
        <v>3166.6500000000005</v>
      </c>
    </row>
    <row r="1061" spans="1:13" x14ac:dyDescent="0.25">
      <c r="A1061" s="1">
        <v>45274</v>
      </c>
      <c r="B1061" t="s">
        <v>22</v>
      </c>
      <c r="C1061" t="s">
        <v>8</v>
      </c>
      <c r="D1061" t="s">
        <v>9</v>
      </c>
      <c r="E1061">
        <v>349.9</v>
      </c>
      <c r="F1061">
        <v>280.93</v>
      </c>
      <c r="G1061">
        <v>9</v>
      </c>
      <c r="H1061">
        <f t="shared" si="96"/>
        <v>3149.1</v>
      </c>
      <c r="I1061">
        <f t="shared" si="100"/>
        <v>2528.37</v>
      </c>
      <c r="J1061">
        <f t="shared" si="97"/>
        <v>620.73</v>
      </c>
      <c r="K1061" s="8">
        <f t="shared" si="98"/>
        <v>0.19711346098885396</v>
      </c>
      <c r="L1061" t="str">
        <f t="shared" si="101"/>
        <v>2023-12</v>
      </c>
      <c r="M1061">
        <f t="shared" si="99"/>
        <v>620.73</v>
      </c>
    </row>
    <row r="1062" spans="1:13" x14ac:dyDescent="0.25">
      <c r="A1062" s="1">
        <v>45083</v>
      </c>
      <c r="B1062" t="s">
        <v>19</v>
      </c>
      <c r="C1062" t="s">
        <v>20</v>
      </c>
      <c r="D1062" t="s">
        <v>9</v>
      </c>
      <c r="E1062">
        <v>1363.8</v>
      </c>
      <c r="F1062">
        <v>1128.9100000000001</v>
      </c>
      <c r="G1062">
        <v>1</v>
      </c>
      <c r="H1062">
        <f t="shared" si="96"/>
        <v>1363.8</v>
      </c>
      <c r="I1062">
        <f t="shared" si="100"/>
        <v>1128.9100000000001</v>
      </c>
      <c r="J1062">
        <f t="shared" si="97"/>
        <v>234.88999999999987</v>
      </c>
      <c r="K1062" s="8">
        <f t="shared" si="98"/>
        <v>0.17223199882680737</v>
      </c>
      <c r="L1062" t="str">
        <f t="shared" si="101"/>
        <v>2023-06</v>
      </c>
      <c r="M1062">
        <f t="shared" si="99"/>
        <v>234.88999999999987</v>
      </c>
    </row>
    <row r="1063" spans="1:13" x14ac:dyDescent="0.25">
      <c r="A1063" s="1">
        <v>45331</v>
      </c>
      <c r="B1063" t="s">
        <v>12</v>
      </c>
      <c r="C1063" t="s">
        <v>8</v>
      </c>
      <c r="D1063" t="s">
        <v>9</v>
      </c>
      <c r="E1063">
        <v>1086.1400000000001</v>
      </c>
      <c r="F1063">
        <v>898.14</v>
      </c>
      <c r="G1063">
        <v>7</v>
      </c>
      <c r="H1063">
        <f t="shared" si="96"/>
        <v>7602.9800000000005</v>
      </c>
      <c r="I1063">
        <f t="shared" si="100"/>
        <v>6286.98</v>
      </c>
      <c r="J1063">
        <f t="shared" si="97"/>
        <v>1316.0000000000009</v>
      </c>
      <c r="K1063" s="8">
        <f t="shared" si="98"/>
        <v>0.17309002522695061</v>
      </c>
      <c r="L1063" t="str">
        <f t="shared" si="101"/>
        <v>2024-02</v>
      </c>
      <c r="M1063">
        <f t="shared" si="99"/>
        <v>1316.0000000000009</v>
      </c>
    </row>
    <row r="1064" spans="1:13" x14ac:dyDescent="0.25">
      <c r="A1064" s="1">
        <v>44769</v>
      </c>
      <c r="B1064" t="s">
        <v>10</v>
      </c>
      <c r="C1064" t="s">
        <v>11</v>
      </c>
      <c r="D1064" t="s">
        <v>17</v>
      </c>
      <c r="E1064">
        <v>177.83</v>
      </c>
      <c r="F1064">
        <v>143.85</v>
      </c>
      <c r="G1064">
        <v>10</v>
      </c>
      <c r="H1064">
        <f t="shared" si="96"/>
        <v>1778.3000000000002</v>
      </c>
      <c r="I1064">
        <f t="shared" si="100"/>
        <v>1438.5</v>
      </c>
      <c r="J1064">
        <f t="shared" si="97"/>
        <v>339.80000000000018</v>
      </c>
      <c r="K1064" s="8">
        <f t="shared" si="98"/>
        <v>0.19108136984760735</v>
      </c>
      <c r="L1064" t="str">
        <f t="shared" si="101"/>
        <v>2022-07</v>
      </c>
      <c r="M1064">
        <f t="shared" si="99"/>
        <v>339.80000000000018</v>
      </c>
    </row>
    <row r="1065" spans="1:13" x14ac:dyDescent="0.25">
      <c r="A1065" s="1">
        <v>45239</v>
      </c>
      <c r="B1065" t="s">
        <v>21</v>
      </c>
      <c r="C1065" t="s">
        <v>20</v>
      </c>
      <c r="D1065" t="s">
        <v>18</v>
      </c>
      <c r="E1065">
        <v>1569.13</v>
      </c>
      <c r="F1065">
        <v>792.65</v>
      </c>
      <c r="G1065">
        <v>1</v>
      </c>
      <c r="H1065">
        <f t="shared" si="96"/>
        <v>1569.13</v>
      </c>
      <c r="I1065">
        <f t="shared" si="100"/>
        <v>792.65</v>
      </c>
      <c r="J1065">
        <f t="shared" si="97"/>
        <v>776.48000000000013</v>
      </c>
      <c r="K1065" s="8">
        <f t="shared" si="98"/>
        <v>0.49484746324396328</v>
      </c>
      <c r="L1065" t="str">
        <f t="shared" si="101"/>
        <v>2023-11</v>
      </c>
      <c r="M1065">
        <f t="shared" si="99"/>
        <v>776.48000000000013</v>
      </c>
    </row>
    <row r="1066" spans="1:13" x14ac:dyDescent="0.25">
      <c r="A1066" s="1">
        <v>44958</v>
      </c>
      <c r="B1066" t="s">
        <v>7</v>
      </c>
      <c r="C1066" t="s">
        <v>8</v>
      </c>
      <c r="D1066" t="s">
        <v>9</v>
      </c>
      <c r="E1066">
        <v>773</v>
      </c>
      <c r="F1066">
        <v>649.45000000000005</v>
      </c>
      <c r="G1066">
        <v>6</v>
      </c>
      <c r="H1066">
        <f t="shared" si="96"/>
        <v>4638</v>
      </c>
      <c r="I1066">
        <f t="shared" si="100"/>
        <v>3896.7000000000003</v>
      </c>
      <c r="J1066">
        <f t="shared" si="97"/>
        <v>741.29999999999973</v>
      </c>
      <c r="K1066" s="8">
        <f t="shared" si="98"/>
        <v>0.15983182406209567</v>
      </c>
      <c r="L1066" t="str">
        <f t="shared" si="101"/>
        <v>2023-02</v>
      </c>
      <c r="M1066">
        <f t="shared" si="99"/>
        <v>741.29999999999973</v>
      </c>
    </row>
    <row r="1067" spans="1:13" x14ac:dyDescent="0.25">
      <c r="A1067" s="1">
        <v>45069</v>
      </c>
      <c r="B1067" t="s">
        <v>14</v>
      </c>
      <c r="C1067" t="s">
        <v>15</v>
      </c>
      <c r="D1067" t="s">
        <v>18</v>
      </c>
      <c r="E1067">
        <v>1893.16</v>
      </c>
      <c r="F1067">
        <v>1107.47</v>
      </c>
      <c r="G1067">
        <v>1</v>
      </c>
      <c r="H1067">
        <f t="shared" si="96"/>
        <v>1893.16</v>
      </c>
      <c r="I1067">
        <f t="shared" si="100"/>
        <v>1107.47</v>
      </c>
      <c r="J1067">
        <f t="shared" si="97"/>
        <v>785.69</v>
      </c>
      <c r="K1067" s="8">
        <f t="shared" si="98"/>
        <v>0.41501510701683958</v>
      </c>
      <c r="L1067" t="str">
        <f t="shared" si="101"/>
        <v>2023-05</v>
      </c>
      <c r="M1067">
        <f t="shared" si="99"/>
        <v>785.69</v>
      </c>
    </row>
    <row r="1068" spans="1:13" x14ac:dyDescent="0.25">
      <c r="A1068" s="1">
        <v>44833</v>
      </c>
      <c r="B1068" t="s">
        <v>24</v>
      </c>
      <c r="C1068" t="s">
        <v>20</v>
      </c>
      <c r="D1068" t="s">
        <v>13</v>
      </c>
      <c r="E1068">
        <v>349.65</v>
      </c>
      <c r="F1068">
        <v>313.87</v>
      </c>
      <c r="G1068">
        <v>7</v>
      </c>
      <c r="H1068">
        <f t="shared" si="96"/>
        <v>2447.5499999999997</v>
      </c>
      <c r="I1068">
        <f t="shared" si="100"/>
        <v>2197.09</v>
      </c>
      <c r="J1068">
        <f t="shared" si="97"/>
        <v>250.45999999999958</v>
      </c>
      <c r="K1068" s="8">
        <f t="shared" si="98"/>
        <v>0.10233090233090217</v>
      </c>
      <c r="L1068" t="str">
        <f t="shared" si="101"/>
        <v>2022-09</v>
      </c>
      <c r="M1068">
        <f t="shared" si="99"/>
        <v>250.45999999999958</v>
      </c>
    </row>
    <row r="1069" spans="1:13" x14ac:dyDescent="0.25">
      <c r="A1069" s="1">
        <v>44607</v>
      </c>
      <c r="B1069" t="s">
        <v>12</v>
      </c>
      <c r="C1069" t="s">
        <v>8</v>
      </c>
      <c r="D1069" t="s">
        <v>17</v>
      </c>
      <c r="E1069">
        <v>996.77</v>
      </c>
      <c r="F1069">
        <v>762.07</v>
      </c>
      <c r="G1069">
        <v>2</v>
      </c>
      <c r="H1069">
        <f t="shared" si="96"/>
        <v>1993.54</v>
      </c>
      <c r="I1069">
        <f t="shared" si="100"/>
        <v>1524.14</v>
      </c>
      <c r="J1069">
        <f t="shared" si="97"/>
        <v>469.39999999999986</v>
      </c>
      <c r="K1069" s="8">
        <f t="shared" si="98"/>
        <v>0.23546053753624199</v>
      </c>
      <c r="L1069" t="str">
        <f t="shared" si="101"/>
        <v>2022-02</v>
      </c>
      <c r="M1069">
        <f t="shared" si="99"/>
        <v>469.39999999999986</v>
      </c>
    </row>
    <row r="1070" spans="1:13" x14ac:dyDescent="0.25">
      <c r="A1070" s="1">
        <v>45251</v>
      </c>
      <c r="B1070" t="s">
        <v>22</v>
      </c>
      <c r="C1070" t="s">
        <v>8</v>
      </c>
      <c r="D1070" t="s">
        <v>17</v>
      </c>
      <c r="E1070">
        <v>1828.4</v>
      </c>
      <c r="F1070">
        <v>1156.74</v>
      </c>
      <c r="G1070">
        <v>2</v>
      </c>
      <c r="H1070">
        <f t="shared" si="96"/>
        <v>3656.8</v>
      </c>
      <c r="I1070">
        <f t="shared" si="100"/>
        <v>2313.48</v>
      </c>
      <c r="J1070">
        <f t="shared" si="97"/>
        <v>1343.3200000000002</v>
      </c>
      <c r="K1070" s="8">
        <f t="shared" si="98"/>
        <v>0.36734850142200837</v>
      </c>
      <c r="L1070" t="str">
        <f t="shared" si="101"/>
        <v>2023-11</v>
      </c>
      <c r="M1070">
        <f t="shared" si="99"/>
        <v>1343.3200000000002</v>
      </c>
    </row>
    <row r="1071" spans="1:13" x14ac:dyDescent="0.25">
      <c r="A1071" s="1">
        <v>44861</v>
      </c>
      <c r="B1071" t="s">
        <v>22</v>
      </c>
      <c r="C1071" t="s">
        <v>8</v>
      </c>
      <c r="D1071" t="s">
        <v>13</v>
      </c>
      <c r="E1071">
        <v>310.33</v>
      </c>
      <c r="F1071">
        <v>212</v>
      </c>
      <c r="G1071">
        <v>7</v>
      </c>
      <c r="H1071">
        <f t="shared" si="96"/>
        <v>2172.31</v>
      </c>
      <c r="I1071">
        <f t="shared" si="100"/>
        <v>1484</v>
      </c>
      <c r="J1071">
        <f t="shared" si="97"/>
        <v>688.31</v>
      </c>
      <c r="K1071" s="8">
        <f t="shared" si="98"/>
        <v>0.3168562497986015</v>
      </c>
      <c r="L1071" t="str">
        <f t="shared" si="101"/>
        <v>2022-10</v>
      </c>
      <c r="M1071">
        <f t="shared" si="99"/>
        <v>688.31</v>
      </c>
    </row>
    <row r="1072" spans="1:13" x14ac:dyDescent="0.25">
      <c r="A1072" s="1">
        <v>45413</v>
      </c>
      <c r="B1072" t="s">
        <v>22</v>
      </c>
      <c r="C1072" t="s">
        <v>8</v>
      </c>
      <c r="D1072" t="s">
        <v>17</v>
      </c>
      <c r="E1072">
        <v>1674.06</v>
      </c>
      <c r="F1072">
        <v>1424.73</v>
      </c>
      <c r="G1072">
        <v>3</v>
      </c>
      <c r="H1072">
        <f t="shared" si="96"/>
        <v>5022.18</v>
      </c>
      <c r="I1072">
        <f t="shared" si="100"/>
        <v>4274.1900000000005</v>
      </c>
      <c r="J1072">
        <f t="shared" si="97"/>
        <v>747.98999999999978</v>
      </c>
      <c r="K1072" s="8">
        <f t="shared" si="98"/>
        <v>0.14893731407476429</v>
      </c>
      <c r="L1072" t="str">
        <f t="shared" si="101"/>
        <v>2024-05</v>
      </c>
      <c r="M1072">
        <f t="shared" si="99"/>
        <v>747.98999999999978</v>
      </c>
    </row>
    <row r="1073" spans="1:13" x14ac:dyDescent="0.25">
      <c r="A1073" s="1">
        <v>45371</v>
      </c>
      <c r="B1073" t="s">
        <v>16</v>
      </c>
      <c r="C1073" t="s">
        <v>15</v>
      </c>
      <c r="D1073" t="s">
        <v>13</v>
      </c>
      <c r="E1073">
        <v>504.35</v>
      </c>
      <c r="F1073">
        <v>343.87</v>
      </c>
      <c r="G1073">
        <v>7</v>
      </c>
      <c r="H1073">
        <f t="shared" si="96"/>
        <v>3530.4500000000003</v>
      </c>
      <c r="I1073">
        <f t="shared" si="100"/>
        <v>2407.09</v>
      </c>
      <c r="J1073">
        <f t="shared" si="97"/>
        <v>1123.3600000000001</v>
      </c>
      <c r="K1073" s="8">
        <f t="shared" si="98"/>
        <v>0.31819173193218997</v>
      </c>
      <c r="L1073" t="str">
        <f t="shared" si="101"/>
        <v>2024-03</v>
      </c>
      <c r="M1073">
        <f t="shared" si="99"/>
        <v>1123.3600000000001</v>
      </c>
    </row>
    <row r="1074" spans="1:13" x14ac:dyDescent="0.25">
      <c r="A1074" s="1">
        <v>44818</v>
      </c>
      <c r="B1074" t="s">
        <v>12</v>
      </c>
      <c r="C1074" t="s">
        <v>8</v>
      </c>
      <c r="D1074" t="s">
        <v>13</v>
      </c>
      <c r="E1074">
        <v>1930.7</v>
      </c>
      <c r="F1074">
        <v>1619.73</v>
      </c>
      <c r="G1074">
        <v>1</v>
      </c>
      <c r="H1074">
        <f t="shared" si="96"/>
        <v>1930.7</v>
      </c>
      <c r="I1074">
        <f t="shared" si="100"/>
        <v>1619.73</v>
      </c>
      <c r="J1074">
        <f t="shared" si="97"/>
        <v>310.97000000000003</v>
      </c>
      <c r="K1074" s="8">
        <f t="shared" si="98"/>
        <v>0.16106593463510646</v>
      </c>
      <c r="L1074" t="str">
        <f t="shared" si="101"/>
        <v>2022-09</v>
      </c>
      <c r="M1074">
        <f t="shared" si="99"/>
        <v>310.97000000000003</v>
      </c>
    </row>
    <row r="1075" spans="1:13" x14ac:dyDescent="0.25">
      <c r="A1075" s="1">
        <v>45653</v>
      </c>
      <c r="B1075" t="s">
        <v>23</v>
      </c>
      <c r="C1075" t="s">
        <v>11</v>
      </c>
      <c r="D1075" t="s">
        <v>18</v>
      </c>
      <c r="E1075">
        <v>1838.17</v>
      </c>
      <c r="F1075">
        <v>1352.8</v>
      </c>
      <c r="G1075">
        <v>1</v>
      </c>
      <c r="H1075">
        <f t="shared" si="96"/>
        <v>1838.17</v>
      </c>
      <c r="I1075">
        <f t="shared" si="100"/>
        <v>1352.8</v>
      </c>
      <c r="J1075">
        <f t="shared" si="97"/>
        <v>485.37000000000012</v>
      </c>
      <c r="K1075" s="8">
        <f t="shared" si="98"/>
        <v>0.26405065907941055</v>
      </c>
      <c r="L1075" t="str">
        <f t="shared" si="101"/>
        <v>2024-12</v>
      </c>
      <c r="M1075">
        <f t="shared" si="99"/>
        <v>485.37000000000012</v>
      </c>
    </row>
    <row r="1076" spans="1:13" x14ac:dyDescent="0.25">
      <c r="A1076" s="1">
        <v>44680</v>
      </c>
      <c r="B1076" t="s">
        <v>10</v>
      </c>
      <c r="C1076" t="s">
        <v>11</v>
      </c>
      <c r="D1076" t="s">
        <v>17</v>
      </c>
      <c r="E1076">
        <v>131.12</v>
      </c>
      <c r="F1076">
        <v>68.09</v>
      </c>
      <c r="G1076">
        <v>2</v>
      </c>
      <c r="H1076">
        <f t="shared" si="96"/>
        <v>262.24</v>
      </c>
      <c r="I1076">
        <f t="shared" si="100"/>
        <v>136.18</v>
      </c>
      <c r="J1076">
        <f t="shared" si="97"/>
        <v>126.06</v>
      </c>
      <c r="K1076" s="8">
        <f t="shared" si="98"/>
        <v>0.48070469798657717</v>
      </c>
      <c r="L1076" t="str">
        <f t="shared" si="101"/>
        <v>2022-04</v>
      </c>
      <c r="M1076">
        <f t="shared" si="99"/>
        <v>126.06</v>
      </c>
    </row>
    <row r="1077" spans="1:13" x14ac:dyDescent="0.25">
      <c r="A1077" s="1">
        <v>44935</v>
      </c>
      <c r="B1077" t="s">
        <v>25</v>
      </c>
      <c r="C1077" t="s">
        <v>15</v>
      </c>
      <c r="D1077" t="s">
        <v>13</v>
      </c>
      <c r="E1077">
        <v>1672.79</v>
      </c>
      <c r="F1077">
        <v>1285.73</v>
      </c>
      <c r="G1077">
        <v>10</v>
      </c>
      <c r="H1077">
        <f t="shared" si="96"/>
        <v>16727.900000000001</v>
      </c>
      <c r="I1077">
        <f t="shared" si="100"/>
        <v>12857.3</v>
      </c>
      <c r="J1077">
        <f t="shared" si="97"/>
        <v>3870.6000000000022</v>
      </c>
      <c r="K1077" s="8">
        <f t="shared" si="98"/>
        <v>0.23138588824658216</v>
      </c>
      <c r="L1077" t="str">
        <f t="shared" si="101"/>
        <v>2023-01</v>
      </c>
      <c r="M1077">
        <f t="shared" si="99"/>
        <v>3870.6000000000022</v>
      </c>
    </row>
    <row r="1078" spans="1:13" x14ac:dyDescent="0.25">
      <c r="A1078" s="1">
        <v>45082</v>
      </c>
      <c r="B1078" t="s">
        <v>16</v>
      </c>
      <c r="C1078" t="s">
        <v>15</v>
      </c>
      <c r="D1078" t="s">
        <v>17</v>
      </c>
      <c r="E1078">
        <v>815.93</v>
      </c>
      <c r="F1078">
        <v>565.45000000000005</v>
      </c>
      <c r="G1078">
        <v>9</v>
      </c>
      <c r="H1078">
        <f t="shared" si="96"/>
        <v>7343.37</v>
      </c>
      <c r="I1078">
        <f t="shared" si="100"/>
        <v>5089.05</v>
      </c>
      <c r="J1078">
        <f t="shared" si="97"/>
        <v>2254.3199999999997</v>
      </c>
      <c r="K1078" s="8">
        <f t="shared" si="98"/>
        <v>0.30698711899305087</v>
      </c>
      <c r="L1078" t="str">
        <f t="shared" si="101"/>
        <v>2023-06</v>
      </c>
      <c r="M1078">
        <f t="shared" si="99"/>
        <v>2254.3199999999997</v>
      </c>
    </row>
    <row r="1079" spans="1:13" x14ac:dyDescent="0.25">
      <c r="A1079" s="1">
        <v>44886</v>
      </c>
      <c r="B1079" t="s">
        <v>19</v>
      </c>
      <c r="C1079" t="s">
        <v>20</v>
      </c>
      <c r="D1079" t="s">
        <v>9</v>
      </c>
      <c r="E1079">
        <v>1474.52</v>
      </c>
      <c r="F1079">
        <v>754.31</v>
      </c>
      <c r="G1079">
        <v>5</v>
      </c>
      <c r="H1079">
        <f t="shared" si="96"/>
        <v>7372.6</v>
      </c>
      <c r="I1079">
        <f t="shared" si="100"/>
        <v>3771.5499999999997</v>
      </c>
      <c r="J1079">
        <f t="shared" si="97"/>
        <v>3601.0500000000006</v>
      </c>
      <c r="K1079" s="8">
        <f t="shared" si="98"/>
        <v>0.48843691506388526</v>
      </c>
      <c r="L1079" t="str">
        <f t="shared" si="101"/>
        <v>2022-11</v>
      </c>
      <c r="M1079">
        <f t="shared" si="99"/>
        <v>3601.0500000000006</v>
      </c>
    </row>
    <row r="1080" spans="1:13" x14ac:dyDescent="0.25">
      <c r="A1080" s="1">
        <v>44852</v>
      </c>
      <c r="B1080" t="s">
        <v>23</v>
      </c>
      <c r="C1080" t="s">
        <v>11</v>
      </c>
      <c r="D1080" t="s">
        <v>13</v>
      </c>
      <c r="E1080">
        <v>61.49</v>
      </c>
      <c r="F1080">
        <v>43.01</v>
      </c>
      <c r="G1080">
        <v>1</v>
      </c>
      <c r="H1080">
        <f t="shared" si="96"/>
        <v>61.49</v>
      </c>
      <c r="I1080">
        <f t="shared" si="100"/>
        <v>43.01</v>
      </c>
      <c r="J1080">
        <f t="shared" si="97"/>
        <v>18.480000000000004</v>
      </c>
      <c r="K1080" s="8">
        <f t="shared" si="98"/>
        <v>0.30053667262969597</v>
      </c>
      <c r="L1080" t="str">
        <f t="shared" si="101"/>
        <v>2022-10</v>
      </c>
      <c r="M1080">
        <f t="shared" si="99"/>
        <v>18.480000000000004</v>
      </c>
    </row>
    <row r="1081" spans="1:13" x14ac:dyDescent="0.25">
      <c r="A1081" s="1">
        <v>44806</v>
      </c>
      <c r="B1081" t="s">
        <v>21</v>
      </c>
      <c r="C1081" t="s">
        <v>20</v>
      </c>
      <c r="D1081" t="s">
        <v>9</v>
      </c>
      <c r="E1081">
        <v>1262.19</v>
      </c>
      <c r="F1081">
        <v>631.75</v>
      </c>
      <c r="G1081">
        <v>2</v>
      </c>
      <c r="H1081">
        <f t="shared" si="96"/>
        <v>2524.38</v>
      </c>
      <c r="I1081">
        <f t="shared" si="100"/>
        <v>1263.5</v>
      </c>
      <c r="J1081">
        <f t="shared" si="97"/>
        <v>1260.8800000000001</v>
      </c>
      <c r="K1081" s="8">
        <f t="shared" si="98"/>
        <v>0.49948106069609172</v>
      </c>
      <c r="L1081" t="str">
        <f t="shared" si="101"/>
        <v>2022-09</v>
      </c>
      <c r="M1081">
        <f t="shared" si="99"/>
        <v>1260.8800000000001</v>
      </c>
    </row>
    <row r="1082" spans="1:13" x14ac:dyDescent="0.25">
      <c r="A1082" s="1">
        <v>45438</v>
      </c>
      <c r="B1082" t="s">
        <v>16</v>
      </c>
      <c r="C1082" t="s">
        <v>15</v>
      </c>
      <c r="D1082" t="s">
        <v>9</v>
      </c>
      <c r="E1082">
        <v>1877.86</v>
      </c>
      <c r="F1082">
        <v>1428.12</v>
      </c>
      <c r="G1082">
        <v>7</v>
      </c>
      <c r="H1082">
        <f t="shared" si="96"/>
        <v>13145.019999999999</v>
      </c>
      <c r="I1082">
        <f t="shared" si="100"/>
        <v>9996.84</v>
      </c>
      <c r="J1082">
        <f t="shared" si="97"/>
        <v>3148.1799999999985</v>
      </c>
      <c r="K1082" s="8">
        <f t="shared" si="98"/>
        <v>0.23949602206767268</v>
      </c>
      <c r="L1082" t="str">
        <f t="shared" si="101"/>
        <v>2024-05</v>
      </c>
      <c r="M1082">
        <f t="shared" si="99"/>
        <v>3148.1799999999985</v>
      </c>
    </row>
    <row r="1083" spans="1:13" x14ac:dyDescent="0.25">
      <c r="A1083" s="1">
        <v>45172</v>
      </c>
      <c r="B1083" t="s">
        <v>12</v>
      </c>
      <c r="C1083" t="s">
        <v>8</v>
      </c>
      <c r="D1083" t="s">
        <v>18</v>
      </c>
      <c r="E1083">
        <v>1038.4100000000001</v>
      </c>
      <c r="F1083">
        <v>741.9</v>
      </c>
      <c r="G1083">
        <v>7</v>
      </c>
      <c r="H1083">
        <f t="shared" si="96"/>
        <v>7268.8700000000008</v>
      </c>
      <c r="I1083">
        <f t="shared" si="100"/>
        <v>5193.3</v>
      </c>
      <c r="J1083">
        <f t="shared" si="97"/>
        <v>2075.5700000000006</v>
      </c>
      <c r="K1083" s="8">
        <f t="shared" si="98"/>
        <v>0.28554231950770897</v>
      </c>
      <c r="L1083" t="str">
        <f t="shared" si="101"/>
        <v>2023-09</v>
      </c>
      <c r="M1083">
        <f t="shared" si="99"/>
        <v>2075.5700000000006</v>
      </c>
    </row>
    <row r="1084" spans="1:13" x14ac:dyDescent="0.25">
      <c r="A1084" s="1">
        <v>45262</v>
      </c>
      <c r="B1084" t="s">
        <v>10</v>
      </c>
      <c r="C1084" t="s">
        <v>11</v>
      </c>
      <c r="D1084" t="s">
        <v>18</v>
      </c>
      <c r="E1084">
        <v>82.63</v>
      </c>
      <c r="F1084">
        <v>71.41</v>
      </c>
      <c r="G1084">
        <v>8</v>
      </c>
      <c r="H1084">
        <f t="shared" si="96"/>
        <v>661.04</v>
      </c>
      <c r="I1084">
        <f t="shared" si="100"/>
        <v>571.28</v>
      </c>
      <c r="J1084">
        <f t="shared" si="97"/>
        <v>89.759999999999991</v>
      </c>
      <c r="K1084" s="8">
        <f t="shared" si="98"/>
        <v>0.13578603412804066</v>
      </c>
      <c r="L1084" t="str">
        <f t="shared" si="101"/>
        <v>2023-12</v>
      </c>
      <c r="M1084">
        <f t="shared" si="99"/>
        <v>89.759999999999991</v>
      </c>
    </row>
    <row r="1085" spans="1:13" x14ac:dyDescent="0.25">
      <c r="A1085" s="1">
        <v>45110</v>
      </c>
      <c r="B1085" t="s">
        <v>24</v>
      </c>
      <c r="C1085" t="s">
        <v>20</v>
      </c>
      <c r="D1085" t="s">
        <v>13</v>
      </c>
      <c r="E1085">
        <v>478.65</v>
      </c>
      <c r="F1085">
        <v>420.93</v>
      </c>
      <c r="G1085">
        <v>4</v>
      </c>
      <c r="H1085">
        <f t="shared" si="96"/>
        <v>1914.6</v>
      </c>
      <c r="I1085">
        <f t="shared" si="100"/>
        <v>1683.72</v>
      </c>
      <c r="J1085">
        <f t="shared" si="97"/>
        <v>230.87999999999988</v>
      </c>
      <c r="K1085" s="8">
        <f t="shared" si="98"/>
        <v>0.1205891570040739</v>
      </c>
      <c r="L1085" t="str">
        <f t="shared" si="101"/>
        <v>2023-07</v>
      </c>
      <c r="M1085">
        <f t="shared" si="99"/>
        <v>230.87999999999988</v>
      </c>
    </row>
    <row r="1086" spans="1:13" x14ac:dyDescent="0.25">
      <c r="A1086" s="1">
        <v>45138</v>
      </c>
      <c r="B1086" t="s">
        <v>7</v>
      </c>
      <c r="C1086" t="s">
        <v>8</v>
      </c>
      <c r="D1086" t="s">
        <v>13</v>
      </c>
      <c r="E1086">
        <v>1188.05</v>
      </c>
      <c r="F1086">
        <v>1006.8</v>
      </c>
      <c r="G1086">
        <v>4</v>
      </c>
      <c r="H1086">
        <f t="shared" si="96"/>
        <v>4752.2</v>
      </c>
      <c r="I1086">
        <f t="shared" si="100"/>
        <v>4027.2</v>
      </c>
      <c r="J1086">
        <f t="shared" si="97"/>
        <v>725</v>
      </c>
      <c r="K1086" s="8">
        <f t="shared" si="98"/>
        <v>0.1525609191532343</v>
      </c>
      <c r="L1086" t="str">
        <f t="shared" si="101"/>
        <v>2023-07</v>
      </c>
      <c r="M1086">
        <f t="shared" si="99"/>
        <v>725</v>
      </c>
    </row>
    <row r="1087" spans="1:13" x14ac:dyDescent="0.25">
      <c r="A1087" s="1">
        <v>44606</v>
      </c>
      <c r="B1087" t="s">
        <v>12</v>
      </c>
      <c r="C1087" t="s">
        <v>8</v>
      </c>
      <c r="D1087" t="s">
        <v>9</v>
      </c>
      <c r="E1087">
        <v>54.14</v>
      </c>
      <c r="F1087">
        <v>46.94</v>
      </c>
      <c r="G1087">
        <v>7</v>
      </c>
      <c r="H1087">
        <f t="shared" si="96"/>
        <v>378.98</v>
      </c>
      <c r="I1087">
        <f t="shared" si="100"/>
        <v>328.58</v>
      </c>
      <c r="J1087">
        <f t="shared" si="97"/>
        <v>50.400000000000034</v>
      </c>
      <c r="K1087" s="8">
        <f t="shared" si="98"/>
        <v>0.13298854820834882</v>
      </c>
      <c r="L1087" t="str">
        <f t="shared" si="101"/>
        <v>2022-02</v>
      </c>
      <c r="M1087">
        <f t="shared" si="99"/>
        <v>50.400000000000034</v>
      </c>
    </row>
    <row r="1088" spans="1:13" x14ac:dyDescent="0.25">
      <c r="A1088" s="1">
        <v>45142</v>
      </c>
      <c r="B1088" t="s">
        <v>7</v>
      </c>
      <c r="C1088" t="s">
        <v>8</v>
      </c>
      <c r="D1088" t="s">
        <v>13</v>
      </c>
      <c r="E1088">
        <v>722.22</v>
      </c>
      <c r="F1088">
        <v>492.3</v>
      </c>
      <c r="G1088">
        <v>2</v>
      </c>
      <c r="H1088">
        <f t="shared" si="96"/>
        <v>1444.44</v>
      </c>
      <c r="I1088">
        <f t="shared" si="100"/>
        <v>984.6</v>
      </c>
      <c r="J1088">
        <f t="shared" si="97"/>
        <v>459.84000000000003</v>
      </c>
      <c r="K1088" s="8">
        <f t="shared" si="98"/>
        <v>0.31835174877461164</v>
      </c>
      <c r="L1088" t="str">
        <f t="shared" si="101"/>
        <v>2023-08</v>
      </c>
      <c r="M1088">
        <f t="shared" si="99"/>
        <v>459.84000000000003</v>
      </c>
    </row>
    <row r="1089" spans="1:13" x14ac:dyDescent="0.25">
      <c r="A1089" s="1">
        <v>45517</v>
      </c>
      <c r="B1089" t="s">
        <v>24</v>
      </c>
      <c r="C1089" t="s">
        <v>20</v>
      </c>
      <c r="D1089" t="s">
        <v>17</v>
      </c>
      <c r="E1089">
        <v>996.61</v>
      </c>
      <c r="F1089">
        <v>832.91</v>
      </c>
      <c r="G1089">
        <v>8</v>
      </c>
      <c r="H1089">
        <f t="shared" si="96"/>
        <v>7972.88</v>
      </c>
      <c r="I1089">
        <f t="shared" si="100"/>
        <v>6663.28</v>
      </c>
      <c r="J1089">
        <f t="shared" si="97"/>
        <v>1309.6000000000004</v>
      </c>
      <c r="K1089" s="8">
        <f t="shared" si="98"/>
        <v>0.16425683065592361</v>
      </c>
      <c r="L1089" t="str">
        <f t="shared" si="101"/>
        <v>2024-08</v>
      </c>
      <c r="M1089">
        <f t="shared" si="99"/>
        <v>1309.6000000000004</v>
      </c>
    </row>
    <row r="1090" spans="1:13" x14ac:dyDescent="0.25">
      <c r="A1090" s="1">
        <v>44866</v>
      </c>
      <c r="B1090" t="s">
        <v>23</v>
      </c>
      <c r="C1090" t="s">
        <v>11</v>
      </c>
      <c r="D1090" t="s">
        <v>17</v>
      </c>
      <c r="E1090">
        <v>413.11</v>
      </c>
      <c r="F1090">
        <v>227.12</v>
      </c>
      <c r="G1090">
        <v>10</v>
      </c>
      <c r="H1090">
        <f t="shared" si="96"/>
        <v>4131.1000000000004</v>
      </c>
      <c r="I1090">
        <f t="shared" si="100"/>
        <v>2271.1999999999998</v>
      </c>
      <c r="J1090">
        <f t="shared" si="97"/>
        <v>1859.9000000000005</v>
      </c>
      <c r="K1090" s="8">
        <f t="shared" si="98"/>
        <v>0.45021906998136096</v>
      </c>
      <c r="L1090" t="str">
        <f t="shared" si="101"/>
        <v>2022-11</v>
      </c>
      <c r="M1090">
        <f t="shared" si="99"/>
        <v>1859.9000000000005</v>
      </c>
    </row>
    <row r="1091" spans="1:13" x14ac:dyDescent="0.25">
      <c r="A1091" s="1">
        <v>45410</v>
      </c>
      <c r="B1091" t="s">
        <v>14</v>
      </c>
      <c r="C1091" t="s">
        <v>15</v>
      </c>
      <c r="D1091" t="s">
        <v>13</v>
      </c>
      <c r="E1091">
        <v>119.91</v>
      </c>
      <c r="F1091">
        <v>80.09</v>
      </c>
      <c r="G1091">
        <v>5</v>
      </c>
      <c r="H1091">
        <f t="shared" ref="H1091:H1154" si="102">E1091*G1091</f>
        <v>599.54999999999995</v>
      </c>
      <c r="I1091">
        <f t="shared" si="100"/>
        <v>400.45000000000005</v>
      </c>
      <c r="J1091">
        <f t="shared" ref="J1091:J1154" si="103">H1091-I1091</f>
        <v>199.09999999999991</v>
      </c>
      <c r="K1091" s="8">
        <f t="shared" ref="K1091:K1154" si="104">(H1091-I1091)/H1091</f>
        <v>0.33208239512968046</v>
      </c>
      <c r="L1091" t="str">
        <f t="shared" si="101"/>
        <v>2024-04</v>
      </c>
      <c r="M1091">
        <f t="shared" ref="M1091:M1154" si="105">H1091-I1091</f>
        <v>199.09999999999991</v>
      </c>
    </row>
    <row r="1092" spans="1:13" x14ac:dyDescent="0.25">
      <c r="A1092" s="1">
        <v>45032</v>
      </c>
      <c r="B1092" t="s">
        <v>21</v>
      </c>
      <c r="C1092" t="s">
        <v>20</v>
      </c>
      <c r="D1092" t="s">
        <v>18</v>
      </c>
      <c r="E1092">
        <v>1537.5</v>
      </c>
      <c r="F1092">
        <v>974.75</v>
      </c>
      <c r="G1092">
        <v>9</v>
      </c>
      <c r="H1092">
        <f t="shared" si="102"/>
        <v>13837.5</v>
      </c>
      <c r="I1092">
        <f t="shared" ref="I1092:I1155" si="106">F1092*G1092</f>
        <v>8772.75</v>
      </c>
      <c r="J1092">
        <f t="shared" si="103"/>
        <v>5064.75</v>
      </c>
      <c r="K1092" s="8">
        <f t="shared" si="104"/>
        <v>0.36601626016260164</v>
      </c>
      <c r="L1092" t="str">
        <f t="shared" ref="L1092:L1155" si="107">TEXT(A1092,"rrrr-mm")</f>
        <v>2023-04</v>
      </c>
      <c r="M1092">
        <f t="shared" si="105"/>
        <v>5064.75</v>
      </c>
    </row>
    <row r="1093" spans="1:13" x14ac:dyDescent="0.25">
      <c r="A1093" s="1">
        <v>45356</v>
      </c>
      <c r="B1093" t="s">
        <v>16</v>
      </c>
      <c r="C1093" t="s">
        <v>15</v>
      </c>
      <c r="D1093" t="s">
        <v>17</v>
      </c>
      <c r="E1093">
        <v>1868.03</v>
      </c>
      <c r="F1093">
        <v>1621.06</v>
      </c>
      <c r="G1093">
        <v>2</v>
      </c>
      <c r="H1093">
        <f t="shared" si="102"/>
        <v>3736.06</v>
      </c>
      <c r="I1093">
        <f t="shared" si="106"/>
        <v>3242.12</v>
      </c>
      <c r="J1093">
        <f t="shared" si="103"/>
        <v>493.94000000000005</v>
      </c>
      <c r="K1093" s="8">
        <f t="shared" si="104"/>
        <v>0.1322087975032521</v>
      </c>
      <c r="L1093" t="str">
        <f t="shared" si="107"/>
        <v>2024-03</v>
      </c>
      <c r="M1093">
        <f t="shared" si="105"/>
        <v>493.94000000000005</v>
      </c>
    </row>
    <row r="1094" spans="1:13" x14ac:dyDescent="0.25">
      <c r="A1094" s="1">
        <v>45397</v>
      </c>
      <c r="B1094" t="s">
        <v>7</v>
      </c>
      <c r="C1094" t="s">
        <v>8</v>
      </c>
      <c r="D1094" t="s">
        <v>18</v>
      </c>
      <c r="E1094">
        <v>1473.63</v>
      </c>
      <c r="F1094">
        <v>808.78</v>
      </c>
      <c r="G1094">
        <v>7</v>
      </c>
      <c r="H1094">
        <f t="shared" si="102"/>
        <v>10315.41</v>
      </c>
      <c r="I1094">
        <f t="shared" si="106"/>
        <v>5661.46</v>
      </c>
      <c r="J1094">
        <f t="shared" si="103"/>
        <v>4653.95</v>
      </c>
      <c r="K1094" s="8">
        <f t="shared" si="104"/>
        <v>0.45116481070553666</v>
      </c>
      <c r="L1094" t="str">
        <f t="shared" si="107"/>
        <v>2024-04</v>
      </c>
      <c r="M1094">
        <f t="shared" si="105"/>
        <v>4653.95</v>
      </c>
    </row>
    <row r="1095" spans="1:13" x14ac:dyDescent="0.25">
      <c r="A1095" s="1">
        <v>44604</v>
      </c>
      <c r="B1095" t="s">
        <v>21</v>
      </c>
      <c r="C1095" t="s">
        <v>20</v>
      </c>
      <c r="D1095" t="s">
        <v>9</v>
      </c>
      <c r="E1095">
        <v>121.51</v>
      </c>
      <c r="F1095">
        <v>103.7</v>
      </c>
      <c r="G1095">
        <v>5</v>
      </c>
      <c r="H1095">
        <f t="shared" si="102"/>
        <v>607.55000000000007</v>
      </c>
      <c r="I1095">
        <f t="shared" si="106"/>
        <v>518.5</v>
      </c>
      <c r="J1095">
        <f t="shared" si="103"/>
        <v>89.050000000000068</v>
      </c>
      <c r="K1095" s="8">
        <f t="shared" si="104"/>
        <v>0.14657229857624895</v>
      </c>
      <c r="L1095" t="str">
        <f t="shared" si="107"/>
        <v>2022-02</v>
      </c>
      <c r="M1095">
        <f t="shared" si="105"/>
        <v>89.050000000000068</v>
      </c>
    </row>
    <row r="1096" spans="1:13" x14ac:dyDescent="0.25">
      <c r="A1096" s="1">
        <v>44977</v>
      </c>
      <c r="B1096" t="s">
        <v>10</v>
      </c>
      <c r="C1096" t="s">
        <v>11</v>
      </c>
      <c r="D1096" t="s">
        <v>17</v>
      </c>
      <c r="E1096">
        <v>274.56</v>
      </c>
      <c r="F1096">
        <v>139.02000000000001</v>
      </c>
      <c r="G1096">
        <v>10</v>
      </c>
      <c r="H1096">
        <f t="shared" si="102"/>
        <v>2745.6</v>
      </c>
      <c r="I1096">
        <f t="shared" si="106"/>
        <v>1390.2</v>
      </c>
      <c r="J1096">
        <f t="shared" si="103"/>
        <v>1355.3999999999999</v>
      </c>
      <c r="K1096" s="8">
        <f t="shared" si="104"/>
        <v>0.49366258741258739</v>
      </c>
      <c r="L1096" t="str">
        <f t="shared" si="107"/>
        <v>2023-02</v>
      </c>
      <c r="M1096">
        <f t="shared" si="105"/>
        <v>1355.3999999999999</v>
      </c>
    </row>
    <row r="1097" spans="1:13" x14ac:dyDescent="0.25">
      <c r="A1097" s="1">
        <v>45463</v>
      </c>
      <c r="B1097" t="s">
        <v>7</v>
      </c>
      <c r="C1097" t="s">
        <v>8</v>
      </c>
      <c r="D1097" t="s">
        <v>13</v>
      </c>
      <c r="E1097">
        <v>1988.15</v>
      </c>
      <c r="F1097">
        <v>1753.59</v>
      </c>
      <c r="G1097">
        <v>5</v>
      </c>
      <c r="H1097">
        <f t="shared" si="102"/>
        <v>9940.75</v>
      </c>
      <c r="I1097">
        <f t="shared" si="106"/>
        <v>8767.9499999999989</v>
      </c>
      <c r="J1097">
        <f t="shared" si="103"/>
        <v>1172.8000000000011</v>
      </c>
      <c r="K1097" s="8">
        <f t="shared" si="104"/>
        <v>0.11797902572743517</v>
      </c>
      <c r="L1097" t="str">
        <f t="shared" si="107"/>
        <v>2024-06</v>
      </c>
      <c r="M1097">
        <f t="shared" si="105"/>
        <v>1172.8000000000011</v>
      </c>
    </row>
    <row r="1098" spans="1:13" x14ac:dyDescent="0.25">
      <c r="A1098" s="1">
        <v>44827</v>
      </c>
      <c r="B1098" t="s">
        <v>12</v>
      </c>
      <c r="C1098" t="s">
        <v>8</v>
      </c>
      <c r="D1098" t="s">
        <v>13</v>
      </c>
      <c r="E1098">
        <v>1329.2</v>
      </c>
      <c r="F1098">
        <v>962.96</v>
      </c>
      <c r="G1098">
        <v>6</v>
      </c>
      <c r="H1098">
        <f t="shared" si="102"/>
        <v>7975.2000000000007</v>
      </c>
      <c r="I1098">
        <f t="shared" si="106"/>
        <v>5777.76</v>
      </c>
      <c r="J1098">
        <f t="shared" si="103"/>
        <v>2197.4400000000005</v>
      </c>
      <c r="K1098" s="8">
        <f t="shared" si="104"/>
        <v>0.2755341558832381</v>
      </c>
      <c r="L1098" t="str">
        <f t="shared" si="107"/>
        <v>2022-09</v>
      </c>
      <c r="M1098">
        <f t="shared" si="105"/>
        <v>2197.4400000000005</v>
      </c>
    </row>
    <row r="1099" spans="1:13" x14ac:dyDescent="0.25">
      <c r="A1099" s="1">
        <v>44936</v>
      </c>
      <c r="B1099" t="s">
        <v>25</v>
      </c>
      <c r="C1099" t="s">
        <v>15</v>
      </c>
      <c r="D1099" t="s">
        <v>18</v>
      </c>
      <c r="E1099">
        <v>622.12</v>
      </c>
      <c r="F1099">
        <v>461.48</v>
      </c>
      <c r="G1099">
        <v>5</v>
      </c>
      <c r="H1099">
        <f t="shared" si="102"/>
        <v>3110.6</v>
      </c>
      <c r="I1099">
        <f t="shared" si="106"/>
        <v>2307.4</v>
      </c>
      <c r="J1099">
        <f t="shared" si="103"/>
        <v>803.19999999999982</v>
      </c>
      <c r="K1099" s="8">
        <f t="shared" si="104"/>
        <v>0.25821384941811865</v>
      </c>
      <c r="L1099" t="str">
        <f t="shared" si="107"/>
        <v>2023-01</v>
      </c>
      <c r="M1099">
        <f t="shared" si="105"/>
        <v>803.19999999999982</v>
      </c>
    </row>
    <row r="1100" spans="1:13" x14ac:dyDescent="0.25">
      <c r="A1100" s="1">
        <v>45245</v>
      </c>
      <c r="B1100" t="s">
        <v>25</v>
      </c>
      <c r="C1100" t="s">
        <v>15</v>
      </c>
      <c r="D1100" t="s">
        <v>17</v>
      </c>
      <c r="E1100">
        <v>1662.3</v>
      </c>
      <c r="F1100">
        <v>1492.49</v>
      </c>
      <c r="G1100">
        <v>10</v>
      </c>
      <c r="H1100">
        <f t="shared" si="102"/>
        <v>16623</v>
      </c>
      <c r="I1100">
        <f t="shared" si="106"/>
        <v>14924.9</v>
      </c>
      <c r="J1100">
        <f t="shared" si="103"/>
        <v>1698.1000000000004</v>
      </c>
      <c r="K1100" s="8">
        <f t="shared" si="104"/>
        <v>0.1021536425434639</v>
      </c>
      <c r="L1100" t="str">
        <f t="shared" si="107"/>
        <v>2023-11</v>
      </c>
      <c r="M1100">
        <f t="shared" si="105"/>
        <v>1698.1000000000004</v>
      </c>
    </row>
    <row r="1101" spans="1:13" x14ac:dyDescent="0.25">
      <c r="A1101" s="1">
        <v>45367</v>
      </c>
      <c r="B1101" t="s">
        <v>14</v>
      </c>
      <c r="C1101" t="s">
        <v>15</v>
      </c>
      <c r="D1101" t="s">
        <v>9</v>
      </c>
      <c r="E1101">
        <v>1423.91</v>
      </c>
      <c r="F1101">
        <v>865.17</v>
      </c>
      <c r="G1101">
        <v>10</v>
      </c>
      <c r="H1101">
        <f t="shared" si="102"/>
        <v>14239.1</v>
      </c>
      <c r="I1101">
        <f t="shared" si="106"/>
        <v>8651.6999999999989</v>
      </c>
      <c r="J1101">
        <f t="shared" si="103"/>
        <v>5587.4000000000015</v>
      </c>
      <c r="K1101" s="8">
        <f t="shared" si="104"/>
        <v>0.39239839596603726</v>
      </c>
      <c r="L1101" t="str">
        <f t="shared" si="107"/>
        <v>2024-03</v>
      </c>
      <c r="M1101">
        <f t="shared" si="105"/>
        <v>5587.4000000000015</v>
      </c>
    </row>
    <row r="1102" spans="1:13" x14ac:dyDescent="0.25">
      <c r="A1102" s="1">
        <v>44671</v>
      </c>
      <c r="B1102" t="s">
        <v>25</v>
      </c>
      <c r="C1102" t="s">
        <v>15</v>
      </c>
      <c r="D1102" t="s">
        <v>17</v>
      </c>
      <c r="E1102">
        <v>476.63</v>
      </c>
      <c r="F1102">
        <v>350.74</v>
      </c>
      <c r="G1102">
        <v>3</v>
      </c>
      <c r="H1102">
        <f t="shared" si="102"/>
        <v>1429.8899999999999</v>
      </c>
      <c r="I1102">
        <f t="shared" si="106"/>
        <v>1052.22</v>
      </c>
      <c r="J1102">
        <f t="shared" si="103"/>
        <v>377.66999999999985</v>
      </c>
      <c r="K1102" s="8">
        <f t="shared" si="104"/>
        <v>0.264125212428928</v>
      </c>
      <c r="L1102" t="str">
        <f t="shared" si="107"/>
        <v>2022-04</v>
      </c>
      <c r="M1102">
        <f t="shared" si="105"/>
        <v>377.66999999999985</v>
      </c>
    </row>
    <row r="1103" spans="1:13" x14ac:dyDescent="0.25">
      <c r="A1103" s="1">
        <v>45401</v>
      </c>
      <c r="B1103" t="s">
        <v>19</v>
      </c>
      <c r="C1103" t="s">
        <v>20</v>
      </c>
      <c r="D1103" t="s">
        <v>18</v>
      </c>
      <c r="E1103">
        <v>62.88</v>
      </c>
      <c r="F1103">
        <v>56.32</v>
      </c>
      <c r="G1103">
        <v>7</v>
      </c>
      <c r="H1103">
        <f t="shared" si="102"/>
        <v>440.16</v>
      </c>
      <c r="I1103">
        <f t="shared" si="106"/>
        <v>394.24</v>
      </c>
      <c r="J1103">
        <f t="shared" si="103"/>
        <v>45.920000000000016</v>
      </c>
      <c r="K1103" s="8">
        <f t="shared" si="104"/>
        <v>0.1043256997455471</v>
      </c>
      <c r="L1103" t="str">
        <f t="shared" si="107"/>
        <v>2024-04</v>
      </c>
      <c r="M1103">
        <f t="shared" si="105"/>
        <v>45.920000000000016</v>
      </c>
    </row>
    <row r="1104" spans="1:13" x14ac:dyDescent="0.25">
      <c r="A1104" s="1">
        <v>44815</v>
      </c>
      <c r="B1104" t="s">
        <v>24</v>
      </c>
      <c r="C1104" t="s">
        <v>20</v>
      </c>
      <c r="D1104" t="s">
        <v>9</v>
      </c>
      <c r="E1104">
        <v>1823.31</v>
      </c>
      <c r="F1104">
        <v>1262.03</v>
      </c>
      <c r="G1104">
        <v>9</v>
      </c>
      <c r="H1104">
        <f t="shared" si="102"/>
        <v>16409.79</v>
      </c>
      <c r="I1104">
        <f t="shared" si="106"/>
        <v>11358.27</v>
      </c>
      <c r="J1104">
        <f t="shared" si="103"/>
        <v>5051.5200000000004</v>
      </c>
      <c r="K1104" s="8">
        <f t="shared" si="104"/>
        <v>0.30783574926918628</v>
      </c>
      <c r="L1104" t="str">
        <f t="shared" si="107"/>
        <v>2022-09</v>
      </c>
      <c r="M1104">
        <f t="shared" si="105"/>
        <v>5051.5200000000004</v>
      </c>
    </row>
    <row r="1105" spans="1:13" x14ac:dyDescent="0.25">
      <c r="A1105" s="1">
        <v>45014</v>
      </c>
      <c r="B1105" t="s">
        <v>19</v>
      </c>
      <c r="C1105" t="s">
        <v>20</v>
      </c>
      <c r="D1105" t="s">
        <v>13</v>
      </c>
      <c r="E1105">
        <v>1056.8</v>
      </c>
      <c r="F1105">
        <v>889.67</v>
      </c>
      <c r="G1105">
        <v>1</v>
      </c>
      <c r="H1105">
        <f t="shared" si="102"/>
        <v>1056.8</v>
      </c>
      <c r="I1105">
        <f t="shared" si="106"/>
        <v>889.67</v>
      </c>
      <c r="J1105">
        <f t="shared" si="103"/>
        <v>167.13</v>
      </c>
      <c r="K1105" s="8">
        <f t="shared" si="104"/>
        <v>0.15814723694171082</v>
      </c>
      <c r="L1105" t="str">
        <f t="shared" si="107"/>
        <v>2023-03</v>
      </c>
      <c r="M1105">
        <f t="shared" si="105"/>
        <v>167.13</v>
      </c>
    </row>
    <row r="1106" spans="1:13" x14ac:dyDescent="0.25">
      <c r="A1106" s="1">
        <v>45378</v>
      </c>
      <c r="B1106" t="s">
        <v>21</v>
      </c>
      <c r="C1106" t="s">
        <v>20</v>
      </c>
      <c r="D1106" t="s">
        <v>17</v>
      </c>
      <c r="E1106">
        <v>1299.04</v>
      </c>
      <c r="F1106">
        <v>680.98</v>
      </c>
      <c r="G1106">
        <v>2</v>
      </c>
      <c r="H1106">
        <f t="shared" si="102"/>
        <v>2598.08</v>
      </c>
      <c r="I1106">
        <f t="shared" si="106"/>
        <v>1361.96</v>
      </c>
      <c r="J1106">
        <f t="shared" si="103"/>
        <v>1236.1199999999999</v>
      </c>
      <c r="K1106" s="8">
        <f t="shared" si="104"/>
        <v>0.47578211602414089</v>
      </c>
      <c r="L1106" t="str">
        <f t="shared" si="107"/>
        <v>2024-03</v>
      </c>
      <c r="M1106">
        <f t="shared" si="105"/>
        <v>1236.1199999999999</v>
      </c>
    </row>
    <row r="1107" spans="1:13" x14ac:dyDescent="0.25">
      <c r="A1107" s="1">
        <v>44871</v>
      </c>
      <c r="B1107" t="s">
        <v>10</v>
      </c>
      <c r="C1107" t="s">
        <v>11</v>
      </c>
      <c r="D1107" t="s">
        <v>9</v>
      </c>
      <c r="E1107">
        <v>937.72</v>
      </c>
      <c r="F1107">
        <v>699.86</v>
      </c>
      <c r="G1107">
        <v>1</v>
      </c>
      <c r="H1107">
        <f t="shared" si="102"/>
        <v>937.72</v>
      </c>
      <c r="I1107">
        <f t="shared" si="106"/>
        <v>699.86</v>
      </c>
      <c r="J1107">
        <f t="shared" si="103"/>
        <v>237.86</v>
      </c>
      <c r="K1107" s="8">
        <f t="shared" si="104"/>
        <v>0.25365780830098539</v>
      </c>
      <c r="L1107" t="str">
        <f t="shared" si="107"/>
        <v>2022-11</v>
      </c>
      <c r="M1107">
        <f t="shared" si="105"/>
        <v>237.86</v>
      </c>
    </row>
    <row r="1108" spans="1:13" x14ac:dyDescent="0.25">
      <c r="A1108" s="1">
        <v>44865</v>
      </c>
      <c r="B1108" t="s">
        <v>22</v>
      </c>
      <c r="C1108" t="s">
        <v>8</v>
      </c>
      <c r="D1108" t="s">
        <v>9</v>
      </c>
      <c r="E1108">
        <v>1898.49</v>
      </c>
      <c r="F1108">
        <v>1144.8699999999999</v>
      </c>
      <c r="G1108">
        <v>3</v>
      </c>
      <c r="H1108">
        <f t="shared" si="102"/>
        <v>5695.47</v>
      </c>
      <c r="I1108">
        <f t="shared" si="106"/>
        <v>3434.6099999999997</v>
      </c>
      <c r="J1108">
        <f t="shared" si="103"/>
        <v>2260.8600000000006</v>
      </c>
      <c r="K1108" s="8">
        <f t="shared" si="104"/>
        <v>0.39695758207838872</v>
      </c>
      <c r="L1108" t="str">
        <f t="shared" si="107"/>
        <v>2022-10</v>
      </c>
      <c r="M1108">
        <f t="shared" si="105"/>
        <v>2260.8600000000006</v>
      </c>
    </row>
    <row r="1109" spans="1:13" x14ac:dyDescent="0.25">
      <c r="A1109" s="1">
        <v>44616</v>
      </c>
      <c r="B1109" t="s">
        <v>21</v>
      </c>
      <c r="C1109" t="s">
        <v>20</v>
      </c>
      <c r="D1109" t="s">
        <v>13</v>
      </c>
      <c r="E1109">
        <v>1002.25</v>
      </c>
      <c r="F1109">
        <v>855.91</v>
      </c>
      <c r="G1109">
        <v>3</v>
      </c>
      <c r="H1109">
        <f t="shared" si="102"/>
        <v>3006.75</v>
      </c>
      <c r="I1109">
        <f t="shared" si="106"/>
        <v>2567.73</v>
      </c>
      <c r="J1109">
        <f t="shared" si="103"/>
        <v>439.02</v>
      </c>
      <c r="K1109" s="8">
        <f t="shared" si="104"/>
        <v>0.14601147418308805</v>
      </c>
      <c r="L1109" t="str">
        <f t="shared" si="107"/>
        <v>2022-02</v>
      </c>
      <c r="M1109">
        <f t="shared" si="105"/>
        <v>439.02</v>
      </c>
    </row>
    <row r="1110" spans="1:13" x14ac:dyDescent="0.25">
      <c r="A1110" s="1">
        <v>44847</v>
      </c>
      <c r="B1110" t="s">
        <v>7</v>
      </c>
      <c r="C1110" t="s">
        <v>8</v>
      </c>
      <c r="D1110" t="s">
        <v>17</v>
      </c>
      <c r="E1110">
        <v>392.05</v>
      </c>
      <c r="F1110">
        <v>223.73</v>
      </c>
      <c r="G1110">
        <v>5</v>
      </c>
      <c r="H1110">
        <f t="shared" si="102"/>
        <v>1960.25</v>
      </c>
      <c r="I1110">
        <f t="shared" si="106"/>
        <v>1118.6499999999999</v>
      </c>
      <c r="J1110">
        <f t="shared" si="103"/>
        <v>841.60000000000014</v>
      </c>
      <c r="K1110" s="8">
        <f t="shared" si="104"/>
        <v>0.42933299324065816</v>
      </c>
      <c r="L1110" t="str">
        <f t="shared" si="107"/>
        <v>2022-10</v>
      </c>
      <c r="M1110">
        <f t="shared" si="105"/>
        <v>841.60000000000014</v>
      </c>
    </row>
    <row r="1111" spans="1:13" x14ac:dyDescent="0.25">
      <c r="A1111" s="1">
        <v>44935</v>
      </c>
      <c r="B1111" t="s">
        <v>19</v>
      </c>
      <c r="C1111" t="s">
        <v>20</v>
      </c>
      <c r="D1111" t="s">
        <v>9</v>
      </c>
      <c r="E1111">
        <v>169.14</v>
      </c>
      <c r="F1111">
        <v>118.05</v>
      </c>
      <c r="G1111">
        <v>6</v>
      </c>
      <c r="H1111">
        <f t="shared" si="102"/>
        <v>1014.8399999999999</v>
      </c>
      <c r="I1111">
        <f t="shared" si="106"/>
        <v>708.3</v>
      </c>
      <c r="J1111">
        <f t="shared" si="103"/>
        <v>306.53999999999996</v>
      </c>
      <c r="K1111" s="8">
        <f t="shared" si="104"/>
        <v>0.30205746718694571</v>
      </c>
      <c r="L1111" t="str">
        <f t="shared" si="107"/>
        <v>2023-01</v>
      </c>
      <c r="M1111">
        <f t="shared" si="105"/>
        <v>306.53999999999996</v>
      </c>
    </row>
    <row r="1112" spans="1:13" x14ac:dyDescent="0.25">
      <c r="A1112" s="1">
        <v>45320</v>
      </c>
      <c r="B1112" t="s">
        <v>21</v>
      </c>
      <c r="C1112" t="s">
        <v>20</v>
      </c>
      <c r="D1112" t="s">
        <v>18</v>
      </c>
      <c r="E1112">
        <v>818.78</v>
      </c>
      <c r="F1112">
        <v>444.44</v>
      </c>
      <c r="G1112">
        <v>5</v>
      </c>
      <c r="H1112">
        <f t="shared" si="102"/>
        <v>4093.8999999999996</v>
      </c>
      <c r="I1112">
        <f t="shared" si="106"/>
        <v>2222.1999999999998</v>
      </c>
      <c r="J1112">
        <f t="shared" si="103"/>
        <v>1871.6999999999998</v>
      </c>
      <c r="K1112" s="8">
        <f t="shared" si="104"/>
        <v>0.4571924082171035</v>
      </c>
      <c r="L1112" t="str">
        <f t="shared" si="107"/>
        <v>2024-01</v>
      </c>
      <c r="M1112">
        <f t="shared" si="105"/>
        <v>1871.6999999999998</v>
      </c>
    </row>
    <row r="1113" spans="1:13" x14ac:dyDescent="0.25">
      <c r="A1113" s="1">
        <v>44796</v>
      </c>
      <c r="B1113" t="s">
        <v>12</v>
      </c>
      <c r="C1113" t="s">
        <v>8</v>
      </c>
      <c r="D1113" t="s">
        <v>13</v>
      </c>
      <c r="E1113">
        <v>1771.31</v>
      </c>
      <c r="F1113">
        <v>900.77</v>
      </c>
      <c r="G1113">
        <v>1</v>
      </c>
      <c r="H1113">
        <f t="shared" si="102"/>
        <v>1771.31</v>
      </c>
      <c r="I1113">
        <f t="shared" si="106"/>
        <v>900.77</v>
      </c>
      <c r="J1113">
        <f t="shared" si="103"/>
        <v>870.54</v>
      </c>
      <c r="K1113" s="8">
        <f t="shared" si="104"/>
        <v>0.49146676753363328</v>
      </c>
      <c r="L1113" t="str">
        <f t="shared" si="107"/>
        <v>2022-08</v>
      </c>
      <c r="M1113">
        <f t="shared" si="105"/>
        <v>870.54</v>
      </c>
    </row>
    <row r="1114" spans="1:13" x14ac:dyDescent="0.25">
      <c r="A1114" s="1">
        <v>45546</v>
      </c>
      <c r="B1114" t="s">
        <v>23</v>
      </c>
      <c r="C1114" t="s">
        <v>11</v>
      </c>
      <c r="D1114" t="s">
        <v>18</v>
      </c>
      <c r="E1114">
        <v>1570.83</v>
      </c>
      <c r="F1114">
        <v>851.99</v>
      </c>
      <c r="G1114">
        <v>8</v>
      </c>
      <c r="H1114">
        <f t="shared" si="102"/>
        <v>12566.64</v>
      </c>
      <c r="I1114">
        <f t="shared" si="106"/>
        <v>6815.92</v>
      </c>
      <c r="J1114">
        <f t="shared" si="103"/>
        <v>5750.7199999999993</v>
      </c>
      <c r="K1114" s="8">
        <f t="shared" si="104"/>
        <v>0.45761794719988791</v>
      </c>
      <c r="L1114" t="str">
        <f t="shared" si="107"/>
        <v>2024-09</v>
      </c>
      <c r="M1114">
        <f t="shared" si="105"/>
        <v>5750.7199999999993</v>
      </c>
    </row>
    <row r="1115" spans="1:13" x14ac:dyDescent="0.25">
      <c r="A1115" s="1">
        <v>45368</v>
      </c>
      <c r="B1115" t="s">
        <v>21</v>
      </c>
      <c r="C1115" t="s">
        <v>20</v>
      </c>
      <c r="D1115" t="s">
        <v>18</v>
      </c>
      <c r="E1115">
        <v>1703.8</v>
      </c>
      <c r="F1115">
        <v>1354.34</v>
      </c>
      <c r="G1115">
        <v>4</v>
      </c>
      <c r="H1115">
        <f t="shared" si="102"/>
        <v>6815.2</v>
      </c>
      <c r="I1115">
        <f t="shared" si="106"/>
        <v>5417.36</v>
      </c>
      <c r="J1115">
        <f t="shared" si="103"/>
        <v>1397.8400000000001</v>
      </c>
      <c r="K1115" s="8">
        <f t="shared" si="104"/>
        <v>0.20510623312595377</v>
      </c>
      <c r="L1115" t="str">
        <f t="shared" si="107"/>
        <v>2024-03</v>
      </c>
      <c r="M1115">
        <f t="shared" si="105"/>
        <v>1397.8400000000001</v>
      </c>
    </row>
    <row r="1116" spans="1:13" x14ac:dyDescent="0.25">
      <c r="A1116" s="1">
        <v>44837</v>
      </c>
      <c r="B1116" t="s">
        <v>22</v>
      </c>
      <c r="C1116" t="s">
        <v>8</v>
      </c>
      <c r="D1116" t="s">
        <v>17</v>
      </c>
      <c r="E1116">
        <v>238.22</v>
      </c>
      <c r="F1116">
        <v>184.37</v>
      </c>
      <c r="G1116">
        <v>4</v>
      </c>
      <c r="H1116">
        <f t="shared" si="102"/>
        <v>952.88</v>
      </c>
      <c r="I1116">
        <f t="shared" si="106"/>
        <v>737.48</v>
      </c>
      <c r="J1116">
        <f t="shared" si="103"/>
        <v>215.39999999999998</v>
      </c>
      <c r="K1116" s="8">
        <f t="shared" si="104"/>
        <v>0.2260515489883301</v>
      </c>
      <c r="L1116" t="str">
        <f t="shared" si="107"/>
        <v>2022-10</v>
      </c>
      <c r="M1116">
        <f t="shared" si="105"/>
        <v>215.39999999999998</v>
      </c>
    </row>
    <row r="1117" spans="1:13" x14ac:dyDescent="0.25">
      <c r="A1117" s="1">
        <v>45024</v>
      </c>
      <c r="B1117" t="s">
        <v>7</v>
      </c>
      <c r="C1117" t="s">
        <v>8</v>
      </c>
      <c r="D1117" t="s">
        <v>18</v>
      </c>
      <c r="E1117">
        <v>1335.85</v>
      </c>
      <c r="F1117">
        <v>1019.52</v>
      </c>
      <c r="G1117">
        <v>10</v>
      </c>
      <c r="H1117">
        <f t="shared" si="102"/>
        <v>13358.5</v>
      </c>
      <c r="I1117">
        <f t="shared" si="106"/>
        <v>10195.200000000001</v>
      </c>
      <c r="J1117">
        <f t="shared" si="103"/>
        <v>3163.2999999999993</v>
      </c>
      <c r="K1117" s="8">
        <f t="shared" si="104"/>
        <v>0.23680053898267014</v>
      </c>
      <c r="L1117" t="str">
        <f t="shared" si="107"/>
        <v>2023-04</v>
      </c>
      <c r="M1117">
        <f t="shared" si="105"/>
        <v>3163.2999999999993</v>
      </c>
    </row>
    <row r="1118" spans="1:13" x14ac:dyDescent="0.25">
      <c r="A1118" s="1">
        <v>45155</v>
      </c>
      <c r="B1118" t="s">
        <v>16</v>
      </c>
      <c r="C1118" t="s">
        <v>15</v>
      </c>
      <c r="D1118" t="s">
        <v>17</v>
      </c>
      <c r="E1118">
        <v>1516.14</v>
      </c>
      <c r="F1118">
        <v>848.21</v>
      </c>
      <c r="G1118">
        <v>2</v>
      </c>
      <c r="H1118">
        <f t="shared" si="102"/>
        <v>3032.28</v>
      </c>
      <c r="I1118">
        <f t="shared" si="106"/>
        <v>1696.42</v>
      </c>
      <c r="J1118">
        <f t="shared" si="103"/>
        <v>1335.8600000000001</v>
      </c>
      <c r="K1118" s="8">
        <f t="shared" si="104"/>
        <v>0.440546387536771</v>
      </c>
      <c r="L1118" t="str">
        <f t="shared" si="107"/>
        <v>2023-08</v>
      </c>
      <c r="M1118">
        <f t="shared" si="105"/>
        <v>1335.8600000000001</v>
      </c>
    </row>
    <row r="1119" spans="1:13" x14ac:dyDescent="0.25">
      <c r="A1119" s="1">
        <v>44601</v>
      </c>
      <c r="B1119" t="s">
        <v>12</v>
      </c>
      <c r="C1119" t="s">
        <v>8</v>
      </c>
      <c r="D1119" t="s">
        <v>9</v>
      </c>
      <c r="E1119">
        <v>769.98</v>
      </c>
      <c r="F1119">
        <v>631.86</v>
      </c>
      <c r="G1119">
        <v>4</v>
      </c>
      <c r="H1119">
        <f t="shared" si="102"/>
        <v>3079.92</v>
      </c>
      <c r="I1119">
        <f t="shared" si="106"/>
        <v>2527.44</v>
      </c>
      <c r="J1119">
        <f t="shared" si="103"/>
        <v>552.48</v>
      </c>
      <c r="K1119" s="8">
        <f t="shared" si="104"/>
        <v>0.17938128263071768</v>
      </c>
      <c r="L1119" t="str">
        <f t="shared" si="107"/>
        <v>2022-02</v>
      </c>
      <c r="M1119">
        <f t="shared" si="105"/>
        <v>552.48</v>
      </c>
    </row>
    <row r="1120" spans="1:13" x14ac:dyDescent="0.25">
      <c r="A1120" s="1">
        <v>45223</v>
      </c>
      <c r="B1120" t="s">
        <v>14</v>
      </c>
      <c r="C1120" t="s">
        <v>15</v>
      </c>
      <c r="D1120" t="s">
        <v>17</v>
      </c>
      <c r="E1120">
        <v>1322.07</v>
      </c>
      <c r="F1120">
        <v>925.81</v>
      </c>
      <c r="G1120">
        <v>4</v>
      </c>
      <c r="H1120">
        <f t="shared" si="102"/>
        <v>5288.28</v>
      </c>
      <c r="I1120">
        <f t="shared" si="106"/>
        <v>3703.24</v>
      </c>
      <c r="J1120">
        <f t="shared" si="103"/>
        <v>1585.04</v>
      </c>
      <c r="K1120" s="8">
        <f t="shared" si="104"/>
        <v>0.29972694335398276</v>
      </c>
      <c r="L1120" t="str">
        <f t="shared" si="107"/>
        <v>2023-10</v>
      </c>
      <c r="M1120">
        <f t="shared" si="105"/>
        <v>1585.04</v>
      </c>
    </row>
    <row r="1121" spans="1:13" x14ac:dyDescent="0.25">
      <c r="A1121" s="1">
        <v>44939</v>
      </c>
      <c r="B1121" t="s">
        <v>23</v>
      </c>
      <c r="C1121" t="s">
        <v>11</v>
      </c>
      <c r="D1121" t="s">
        <v>17</v>
      </c>
      <c r="E1121">
        <v>1640.08</v>
      </c>
      <c r="F1121">
        <v>1203.7</v>
      </c>
      <c r="G1121">
        <v>2</v>
      </c>
      <c r="H1121">
        <f t="shared" si="102"/>
        <v>3280.16</v>
      </c>
      <c r="I1121">
        <f t="shared" si="106"/>
        <v>2407.4</v>
      </c>
      <c r="J1121">
        <f t="shared" si="103"/>
        <v>872.75999999999976</v>
      </c>
      <c r="K1121" s="8">
        <f t="shared" si="104"/>
        <v>0.26607238671284322</v>
      </c>
      <c r="L1121" t="str">
        <f t="shared" si="107"/>
        <v>2023-01</v>
      </c>
      <c r="M1121">
        <f t="shared" si="105"/>
        <v>872.75999999999976</v>
      </c>
    </row>
    <row r="1122" spans="1:13" x14ac:dyDescent="0.25">
      <c r="A1122" s="1">
        <v>45254</v>
      </c>
      <c r="B1122" t="s">
        <v>24</v>
      </c>
      <c r="C1122" t="s">
        <v>20</v>
      </c>
      <c r="D1122" t="s">
        <v>18</v>
      </c>
      <c r="E1122">
        <v>41.03</v>
      </c>
      <c r="F1122">
        <v>30.78</v>
      </c>
      <c r="G1122">
        <v>6</v>
      </c>
      <c r="H1122">
        <f t="shared" si="102"/>
        <v>246.18</v>
      </c>
      <c r="I1122">
        <f t="shared" si="106"/>
        <v>184.68</v>
      </c>
      <c r="J1122">
        <f t="shared" si="103"/>
        <v>61.5</v>
      </c>
      <c r="K1122" s="8">
        <f t="shared" si="104"/>
        <v>0.24981720692176457</v>
      </c>
      <c r="L1122" t="str">
        <f t="shared" si="107"/>
        <v>2023-11</v>
      </c>
      <c r="M1122">
        <f t="shared" si="105"/>
        <v>61.5</v>
      </c>
    </row>
    <row r="1123" spans="1:13" x14ac:dyDescent="0.25">
      <c r="A1123" s="1">
        <v>44917</v>
      </c>
      <c r="B1123" t="s">
        <v>12</v>
      </c>
      <c r="C1123" t="s">
        <v>8</v>
      </c>
      <c r="D1123" t="s">
        <v>18</v>
      </c>
      <c r="E1123">
        <v>1554.35</v>
      </c>
      <c r="F1123">
        <v>949.07</v>
      </c>
      <c r="G1123">
        <v>4</v>
      </c>
      <c r="H1123">
        <f t="shared" si="102"/>
        <v>6217.4</v>
      </c>
      <c r="I1123">
        <f t="shared" si="106"/>
        <v>3796.28</v>
      </c>
      <c r="J1123">
        <f t="shared" si="103"/>
        <v>2421.1199999999994</v>
      </c>
      <c r="K1123" s="8">
        <f t="shared" si="104"/>
        <v>0.38941036446102867</v>
      </c>
      <c r="L1123" t="str">
        <f t="shared" si="107"/>
        <v>2022-12</v>
      </c>
      <c r="M1123">
        <f t="shared" si="105"/>
        <v>2421.1199999999994</v>
      </c>
    </row>
    <row r="1124" spans="1:13" x14ac:dyDescent="0.25">
      <c r="A1124" s="1">
        <v>44615</v>
      </c>
      <c r="B1124" t="s">
        <v>25</v>
      </c>
      <c r="C1124" t="s">
        <v>15</v>
      </c>
      <c r="D1124" t="s">
        <v>13</v>
      </c>
      <c r="E1124">
        <v>1166.98</v>
      </c>
      <c r="F1124">
        <v>696.06</v>
      </c>
      <c r="G1124">
        <v>5</v>
      </c>
      <c r="H1124">
        <f t="shared" si="102"/>
        <v>5834.9</v>
      </c>
      <c r="I1124">
        <f t="shared" si="106"/>
        <v>3480.2999999999997</v>
      </c>
      <c r="J1124">
        <f t="shared" si="103"/>
        <v>2354.6</v>
      </c>
      <c r="K1124" s="8">
        <f t="shared" si="104"/>
        <v>0.40353733568698691</v>
      </c>
      <c r="L1124" t="str">
        <f t="shared" si="107"/>
        <v>2022-02</v>
      </c>
      <c r="M1124">
        <f t="shared" si="105"/>
        <v>2354.6</v>
      </c>
    </row>
    <row r="1125" spans="1:13" x14ac:dyDescent="0.25">
      <c r="A1125" s="1">
        <v>44972</v>
      </c>
      <c r="B1125" t="s">
        <v>10</v>
      </c>
      <c r="C1125" t="s">
        <v>11</v>
      </c>
      <c r="D1125" t="s">
        <v>9</v>
      </c>
      <c r="E1125">
        <v>1659.74</v>
      </c>
      <c r="F1125">
        <v>1156.31</v>
      </c>
      <c r="G1125">
        <v>6</v>
      </c>
      <c r="H1125">
        <f t="shared" si="102"/>
        <v>9958.44</v>
      </c>
      <c r="I1125">
        <f t="shared" si="106"/>
        <v>6937.86</v>
      </c>
      <c r="J1125">
        <f t="shared" si="103"/>
        <v>3020.5800000000008</v>
      </c>
      <c r="K1125" s="8">
        <f t="shared" si="104"/>
        <v>0.30331859206863732</v>
      </c>
      <c r="L1125" t="str">
        <f t="shared" si="107"/>
        <v>2023-02</v>
      </c>
      <c r="M1125">
        <f t="shared" si="105"/>
        <v>3020.5800000000008</v>
      </c>
    </row>
    <row r="1126" spans="1:13" x14ac:dyDescent="0.25">
      <c r="A1126" s="1">
        <v>45614</v>
      </c>
      <c r="B1126" t="s">
        <v>21</v>
      </c>
      <c r="C1126" t="s">
        <v>20</v>
      </c>
      <c r="D1126" t="s">
        <v>13</v>
      </c>
      <c r="E1126">
        <v>1501.34</v>
      </c>
      <c r="F1126">
        <v>824.8</v>
      </c>
      <c r="G1126">
        <v>10</v>
      </c>
      <c r="H1126">
        <f t="shared" si="102"/>
        <v>15013.4</v>
      </c>
      <c r="I1126">
        <f t="shared" si="106"/>
        <v>8248</v>
      </c>
      <c r="J1126">
        <f t="shared" si="103"/>
        <v>6765.4</v>
      </c>
      <c r="K1126" s="8">
        <f t="shared" si="104"/>
        <v>0.45062410912917794</v>
      </c>
      <c r="L1126" t="str">
        <f t="shared" si="107"/>
        <v>2024-11</v>
      </c>
      <c r="M1126">
        <f t="shared" si="105"/>
        <v>6765.4</v>
      </c>
    </row>
    <row r="1127" spans="1:13" x14ac:dyDescent="0.25">
      <c r="A1127" s="1">
        <v>44694</v>
      </c>
      <c r="B1127" t="s">
        <v>19</v>
      </c>
      <c r="C1127" t="s">
        <v>20</v>
      </c>
      <c r="D1127" t="s">
        <v>17</v>
      </c>
      <c r="E1127">
        <v>36</v>
      </c>
      <c r="F1127">
        <v>26.07</v>
      </c>
      <c r="G1127">
        <v>6</v>
      </c>
      <c r="H1127">
        <f t="shared" si="102"/>
        <v>216</v>
      </c>
      <c r="I1127">
        <f t="shared" si="106"/>
        <v>156.42000000000002</v>
      </c>
      <c r="J1127">
        <f t="shared" si="103"/>
        <v>59.579999999999984</v>
      </c>
      <c r="K1127" s="8">
        <f t="shared" si="104"/>
        <v>0.27583333333333326</v>
      </c>
      <c r="L1127" t="str">
        <f t="shared" si="107"/>
        <v>2022-05</v>
      </c>
      <c r="M1127">
        <f t="shared" si="105"/>
        <v>59.579999999999984</v>
      </c>
    </row>
    <row r="1128" spans="1:13" x14ac:dyDescent="0.25">
      <c r="A1128" s="1">
        <v>44875</v>
      </c>
      <c r="B1128" t="s">
        <v>7</v>
      </c>
      <c r="C1128" t="s">
        <v>8</v>
      </c>
      <c r="D1128" t="s">
        <v>18</v>
      </c>
      <c r="E1128">
        <v>620.13</v>
      </c>
      <c r="F1128">
        <v>362.15</v>
      </c>
      <c r="G1128">
        <v>5</v>
      </c>
      <c r="H1128">
        <f t="shared" si="102"/>
        <v>3100.65</v>
      </c>
      <c r="I1128">
        <f t="shared" si="106"/>
        <v>1810.75</v>
      </c>
      <c r="J1128">
        <f t="shared" si="103"/>
        <v>1289.9000000000001</v>
      </c>
      <c r="K1128" s="8">
        <f t="shared" si="104"/>
        <v>0.4160095463854353</v>
      </c>
      <c r="L1128" t="str">
        <f t="shared" si="107"/>
        <v>2022-11</v>
      </c>
      <c r="M1128">
        <f t="shared" si="105"/>
        <v>1289.9000000000001</v>
      </c>
    </row>
    <row r="1129" spans="1:13" x14ac:dyDescent="0.25">
      <c r="A1129" s="1">
        <v>45334</v>
      </c>
      <c r="B1129" t="s">
        <v>14</v>
      </c>
      <c r="C1129" t="s">
        <v>15</v>
      </c>
      <c r="D1129" t="s">
        <v>13</v>
      </c>
      <c r="E1129">
        <v>1075.49</v>
      </c>
      <c r="F1129">
        <v>593.32000000000005</v>
      </c>
      <c r="G1129">
        <v>8</v>
      </c>
      <c r="H1129">
        <f t="shared" si="102"/>
        <v>8603.92</v>
      </c>
      <c r="I1129">
        <f t="shared" si="106"/>
        <v>4746.5600000000004</v>
      </c>
      <c r="J1129">
        <f t="shared" si="103"/>
        <v>3857.3599999999997</v>
      </c>
      <c r="K1129" s="8">
        <f t="shared" si="104"/>
        <v>0.44832587936661422</v>
      </c>
      <c r="L1129" t="str">
        <f t="shared" si="107"/>
        <v>2024-02</v>
      </c>
      <c r="M1129">
        <f t="shared" si="105"/>
        <v>3857.3599999999997</v>
      </c>
    </row>
    <row r="1130" spans="1:13" x14ac:dyDescent="0.25">
      <c r="A1130" s="1">
        <v>44978</v>
      </c>
      <c r="B1130" t="s">
        <v>14</v>
      </c>
      <c r="C1130" t="s">
        <v>15</v>
      </c>
      <c r="D1130" t="s">
        <v>9</v>
      </c>
      <c r="E1130">
        <v>467.37</v>
      </c>
      <c r="F1130">
        <v>401.66</v>
      </c>
      <c r="G1130">
        <v>4</v>
      </c>
      <c r="H1130">
        <f t="shared" si="102"/>
        <v>1869.48</v>
      </c>
      <c r="I1130">
        <f t="shared" si="106"/>
        <v>1606.64</v>
      </c>
      <c r="J1130">
        <f t="shared" si="103"/>
        <v>262.83999999999992</v>
      </c>
      <c r="K1130" s="8">
        <f t="shared" si="104"/>
        <v>0.14059524573678236</v>
      </c>
      <c r="L1130" t="str">
        <f t="shared" si="107"/>
        <v>2023-02</v>
      </c>
      <c r="M1130">
        <f t="shared" si="105"/>
        <v>262.83999999999992</v>
      </c>
    </row>
    <row r="1131" spans="1:13" x14ac:dyDescent="0.25">
      <c r="A1131" s="1">
        <v>44867</v>
      </c>
      <c r="B1131" t="s">
        <v>16</v>
      </c>
      <c r="C1131" t="s">
        <v>15</v>
      </c>
      <c r="D1131" t="s">
        <v>9</v>
      </c>
      <c r="E1131">
        <v>1182.97</v>
      </c>
      <c r="F1131">
        <v>1034.69</v>
      </c>
      <c r="G1131">
        <v>7</v>
      </c>
      <c r="H1131">
        <f t="shared" si="102"/>
        <v>8280.7900000000009</v>
      </c>
      <c r="I1131">
        <f t="shared" si="106"/>
        <v>7242.83</v>
      </c>
      <c r="J1131">
        <f t="shared" si="103"/>
        <v>1037.9600000000009</v>
      </c>
      <c r="K1131" s="8">
        <f t="shared" si="104"/>
        <v>0.12534552862709969</v>
      </c>
      <c r="L1131" t="str">
        <f t="shared" si="107"/>
        <v>2022-11</v>
      </c>
      <c r="M1131">
        <f t="shared" si="105"/>
        <v>1037.9600000000009</v>
      </c>
    </row>
    <row r="1132" spans="1:13" x14ac:dyDescent="0.25">
      <c r="A1132" s="1">
        <v>45400</v>
      </c>
      <c r="B1132" t="s">
        <v>16</v>
      </c>
      <c r="C1132" t="s">
        <v>15</v>
      </c>
      <c r="D1132" t="s">
        <v>17</v>
      </c>
      <c r="E1132">
        <v>1366.83</v>
      </c>
      <c r="F1132">
        <v>1031.07</v>
      </c>
      <c r="G1132">
        <v>3</v>
      </c>
      <c r="H1132">
        <f t="shared" si="102"/>
        <v>4100.49</v>
      </c>
      <c r="I1132">
        <f t="shared" si="106"/>
        <v>3093.21</v>
      </c>
      <c r="J1132">
        <f t="shared" si="103"/>
        <v>1007.2799999999997</v>
      </c>
      <c r="K1132" s="8">
        <f t="shared" si="104"/>
        <v>0.24564869076622545</v>
      </c>
      <c r="L1132" t="str">
        <f t="shared" si="107"/>
        <v>2024-04</v>
      </c>
      <c r="M1132">
        <f t="shared" si="105"/>
        <v>1007.2799999999997</v>
      </c>
    </row>
    <row r="1133" spans="1:13" x14ac:dyDescent="0.25">
      <c r="A1133" s="1">
        <v>44661</v>
      </c>
      <c r="B1133" t="s">
        <v>23</v>
      </c>
      <c r="C1133" t="s">
        <v>11</v>
      </c>
      <c r="D1133" t="s">
        <v>9</v>
      </c>
      <c r="E1133">
        <v>748.69</v>
      </c>
      <c r="F1133">
        <v>660.06</v>
      </c>
      <c r="G1133">
        <v>8</v>
      </c>
      <c r="H1133">
        <f t="shared" si="102"/>
        <v>5989.52</v>
      </c>
      <c r="I1133">
        <f t="shared" si="106"/>
        <v>5280.48</v>
      </c>
      <c r="J1133">
        <f t="shared" si="103"/>
        <v>709.04000000000087</v>
      </c>
      <c r="K1133" s="8">
        <f t="shared" si="104"/>
        <v>0.11838010391483805</v>
      </c>
      <c r="L1133" t="str">
        <f t="shared" si="107"/>
        <v>2022-04</v>
      </c>
      <c r="M1133">
        <f t="shared" si="105"/>
        <v>709.04000000000087</v>
      </c>
    </row>
    <row r="1134" spans="1:13" x14ac:dyDescent="0.25">
      <c r="A1134" s="1">
        <v>45619</v>
      </c>
      <c r="B1134" t="s">
        <v>21</v>
      </c>
      <c r="C1134" t="s">
        <v>20</v>
      </c>
      <c r="D1134" t="s">
        <v>13</v>
      </c>
      <c r="E1134">
        <v>654.45000000000005</v>
      </c>
      <c r="F1134">
        <v>418.41</v>
      </c>
      <c r="G1134">
        <v>8</v>
      </c>
      <c r="H1134">
        <f t="shared" si="102"/>
        <v>5235.6000000000004</v>
      </c>
      <c r="I1134">
        <f t="shared" si="106"/>
        <v>3347.28</v>
      </c>
      <c r="J1134">
        <f t="shared" si="103"/>
        <v>1888.3200000000002</v>
      </c>
      <c r="K1134" s="8">
        <f t="shared" si="104"/>
        <v>0.36066926426770574</v>
      </c>
      <c r="L1134" t="str">
        <f t="shared" si="107"/>
        <v>2024-11</v>
      </c>
      <c r="M1134">
        <f t="shared" si="105"/>
        <v>1888.3200000000002</v>
      </c>
    </row>
    <row r="1135" spans="1:13" x14ac:dyDescent="0.25">
      <c r="A1135" s="1">
        <v>45410</v>
      </c>
      <c r="B1135" t="s">
        <v>14</v>
      </c>
      <c r="C1135" t="s">
        <v>15</v>
      </c>
      <c r="D1135" t="s">
        <v>13</v>
      </c>
      <c r="E1135">
        <v>582.80999999999995</v>
      </c>
      <c r="F1135">
        <v>418.75</v>
      </c>
      <c r="G1135">
        <v>5</v>
      </c>
      <c r="H1135">
        <f t="shared" si="102"/>
        <v>2914.0499999999997</v>
      </c>
      <c r="I1135">
        <f t="shared" si="106"/>
        <v>2093.75</v>
      </c>
      <c r="J1135">
        <f t="shared" si="103"/>
        <v>820.29999999999973</v>
      </c>
      <c r="K1135" s="8">
        <f t="shared" si="104"/>
        <v>0.28149825843756965</v>
      </c>
      <c r="L1135" t="str">
        <f t="shared" si="107"/>
        <v>2024-04</v>
      </c>
      <c r="M1135">
        <f t="shared" si="105"/>
        <v>820.29999999999973</v>
      </c>
    </row>
    <row r="1136" spans="1:13" x14ac:dyDescent="0.25">
      <c r="A1136" s="1">
        <v>45142</v>
      </c>
      <c r="B1136" t="s">
        <v>23</v>
      </c>
      <c r="C1136" t="s">
        <v>11</v>
      </c>
      <c r="D1136" t="s">
        <v>13</v>
      </c>
      <c r="E1136">
        <v>1234.3599999999999</v>
      </c>
      <c r="F1136">
        <v>791.5</v>
      </c>
      <c r="G1136">
        <v>7</v>
      </c>
      <c r="H1136">
        <f t="shared" si="102"/>
        <v>8640.5199999999986</v>
      </c>
      <c r="I1136">
        <f t="shared" si="106"/>
        <v>5540.5</v>
      </c>
      <c r="J1136">
        <f t="shared" si="103"/>
        <v>3100.0199999999986</v>
      </c>
      <c r="K1136" s="8">
        <f t="shared" si="104"/>
        <v>0.35877701804983947</v>
      </c>
      <c r="L1136" t="str">
        <f t="shared" si="107"/>
        <v>2023-08</v>
      </c>
      <c r="M1136">
        <f t="shared" si="105"/>
        <v>3100.0199999999986</v>
      </c>
    </row>
    <row r="1137" spans="1:13" x14ac:dyDescent="0.25">
      <c r="A1137" s="1">
        <v>45505</v>
      </c>
      <c r="B1137" t="s">
        <v>25</v>
      </c>
      <c r="C1137" t="s">
        <v>15</v>
      </c>
      <c r="D1137" t="s">
        <v>17</v>
      </c>
      <c r="E1137">
        <v>503.26</v>
      </c>
      <c r="F1137">
        <v>367.18</v>
      </c>
      <c r="G1137">
        <v>3</v>
      </c>
      <c r="H1137">
        <f t="shared" si="102"/>
        <v>1509.78</v>
      </c>
      <c r="I1137">
        <f t="shared" si="106"/>
        <v>1101.54</v>
      </c>
      <c r="J1137">
        <f t="shared" si="103"/>
        <v>408.24</v>
      </c>
      <c r="K1137" s="8">
        <f t="shared" si="104"/>
        <v>0.27039701148511702</v>
      </c>
      <c r="L1137" t="str">
        <f t="shared" si="107"/>
        <v>2024-08</v>
      </c>
      <c r="M1137">
        <f t="shared" si="105"/>
        <v>408.24</v>
      </c>
    </row>
    <row r="1138" spans="1:13" x14ac:dyDescent="0.25">
      <c r="A1138" s="1">
        <v>45597</v>
      </c>
      <c r="B1138" t="s">
        <v>24</v>
      </c>
      <c r="C1138" t="s">
        <v>20</v>
      </c>
      <c r="D1138" t="s">
        <v>13</v>
      </c>
      <c r="E1138">
        <v>369.86</v>
      </c>
      <c r="F1138">
        <v>296.70999999999998</v>
      </c>
      <c r="G1138">
        <v>6</v>
      </c>
      <c r="H1138">
        <f t="shared" si="102"/>
        <v>2219.16</v>
      </c>
      <c r="I1138">
        <f t="shared" si="106"/>
        <v>1780.2599999999998</v>
      </c>
      <c r="J1138">
        <f t="shared" si="103"/>
        <v>438.90000000000009</v>
      </c>
      <c r="K1138" s="8">
        <f t="shared" si="104"/>
        <v>0.19777753744660148</v>
      </c>
      <c r="L1138" t="str">
        <f t="shared" si="107"/>
        <v>2024-11</v>
      </c>
      <c r="M1138">
        <f t="shared" si="105"/>
        <v>438.90000000000009</v>
      </c>
    </row>
    <row r="1139" spans="1:13" x14ac:dyDescent="0.25">
      <c r="A1139" s="1">
        <v>45046</v>
      </c>
      <c r="B1139" t="s">
        <v>25</v>
      </c>
      <c r="C1139" t="s">
        <v>15</v>
      </c>
      <c r="D1139" t="s">
        <v>17</v>
      </c>
      <c r="E1139">
        <v>998.67</v>
      </c>
      <c r="F1139">
        <v>512.55999999999995</v>
      </c>
      <c r="G1139">
        <v>2</v>
      </c>
      <c r="H1139">
        <f t="shared" si="102"/>
        <v>1997.34</v>
      </c>
      <c r="I1139">
        <f t="shared" si="106"/>
        <v>1025.1199999999999</v>
      </c>
      <c r="J1139">
        <f t="shared" si="103"/>
        <v>972.22</v>
      </c>
      <c r="K1139" s="8">
        <f t="shared" si="104"/>
        <v>0.48675738732514245</v>
      </c>
      <c r="L1139" t="str">
        <f t="shared" si="107"/>
        <v>2023-04</v>
      </c>
      <c r="M1139">
        <f t="shared" si="105"/>
        <v>972.22</v>
      </c>
    </row>
    <row r="1140" spans="1:13" x14ac:dyDescent="0.25">
      <c r="A1140" s="1">
        <v>45147</v>
      </c>
      <c r="B1140" t="s">
        <v>25</v>
      </c>
      <c r="C1140" t="s">
        <v>15</v>
      </c>
      <c r="D1140" t="s">
        <v>9</v>
      </c>
      <c r="E1140">
        <v>1671.94</v>
      </c>
      <c r="F1140">
        <v>1139.5899999999999</v>
      </c>
      <c r="G1140">
        <v>7</v>
      </c>
      <c r="H1140">
        <f t="shared" si="102"/>
        <v>11703.58</v>
      </c>
      <c r="I1140">
        <f t="shared" si="106"/>
        <v>7977.1299999999992</v>
      </c>
      <c r="J1140">
        <f t="shared" si="103"/>
        <v>3726.4500000000007</v>
      </c>
      <c r="K1140" s="8">
        <f t="shared" si="104"/>
        <v>0.31840257425505708</v>
      </c>
      <c r="L1140" t="str">
        <f t="shared" si="107"/>
        <v>2023-08</v>
      </c>
      <c r="M1140">
        <f t="shared" si="105"/>
        <v>3726.4500000000007</v>
      </c>
    </row>
    <row r="1141" spans="1:13" x14ac:dyDescent="0.25">
      <c r="A1141" s="1">
        <v>45261</v>
      </c>
      <c r="B1141" t="s">
        <v>7</v>
      </c>
      <c r="C1141" t="s">
        <v>8</v>
      </c>
      <c r="D1141" t="s">
        <v>17</v>
      </c>
      <c r="E1141">
        <v>1905.18</v>
      </c>
      <c r="F1141">
        <v>1170.8599999999999</v>
      </c>
      <c r="G1141">
        <v>1</v>
      </c>
      <c r="H1141">
        <f t="shared" si="102"/>
        <v>1905.18</v>
      </c>
      <c r="I1141">
        <f t="shared" si="106"/>
        <v>1170.8599999999999</v>
      </c>
      <c r="J1141">
        <f t="shared" si="103"/>
        <v>734.32000000000016</v>
      </c>
      <c r="K1141" s="8">
        <f t="shared" si="104"/>
        <v>0.38543339736927751</v>
      </c>
      <c r="L1141" t="str">
        <f t="shared" si="107"/>
        <v>2023-12</v>
      </c>
      <c r="M1141">
        <f t="shared" si="105"/>
        <v>734.32000000000016</v>
      </c>
    </row>
    <row r="1142" spans="1:13" x14ac:dyDescent="0.25">
      <c r="A1142" s="1">
        <v>45227</v>
      </c>
      <c r="B1142" t="s">
        <v>24</v>
      </c>
      <c r="C1142" t="s">
        <v>20</v>
      </c>
      <c r="D1142" t="s">
        <v>17</v>
      </c>
      <c r="E1142">
        <v>1251.8499999999999</v>
      </c>
      <c r="F1142">
        <v>1043.8399999999999</v>
      </c>
      <c r="G1142">
        <v>2</v>
      </c>
      <c r="H1142">
        <f t="shared" si="102"/>
        <v>2503.6999999999998</v>
      </c>
      <c r="I1142">
        <f t="shared" si="106"/>
        <v>2087.6799999999998</v>
      </c>
      <c r="J1142">
        <f t="shared" si="103"/>
        <v>416.02</v>
      </c>
      <c r="K1142" s="8">
        <f t="shared" si="104"/>
        <v>0.16616208012142031</v>
      </c>
      <c r="L1142" t="str">
        <f t="shared" si="107"/>
        <v>2023-10</v>
      </c>
      <c r="M1142">
        <f t="shared" si="105"/>
        <v>416.02</v>
      </c>
    </row>
    <row r="1143" spans="1:13" x14ac:dyDescent="0.25">
      <c r="A1143" s="1">
        <v>44938</v>
      </c>
      <c r="B1143" t="s">
        <v>12</v>
      </c>
      <c r="C1143" t="s">
        <v>8</v>
      </c>
      <c r="D1143" t="s">
        <v>9</v>
      </c>
      <c r="E1143">
        <v>1476.48</v>
      </c>
      <c r="F1143">
        <v>805.95</v>
      </c>
      <c r="G1143">
        <v>4</v>
      </c>
      <c r="H1143">
        <f t="shared" si="102"/>
        <v>5905.92</v>
      </c>
      <c r="I1143">
        <f t="shared" si="106"/>
        <v>3223.8</v>
      </c>
      <c r="J1143">
        <f t="shared" si="103"/>
        <v>2682.12</v>
      </c>
      <c r="K1143" s="8">
        <f t="shared" si="104"/>
        <v>0.45414092977893367</v>
      </c>
      <c r="L1143" t="str">
        <f t="shared" si="107"/>
        <v>2023-01</v>
      </c>
      <c r="M1143">
        <f t="shared" si="105"/>
        <v>2682.12</v>
      </c>
    </row>
    <row r="1144" spans="1:13" x14ac:dyDescent="0.25">
      <c r="A1144" s="1">
        <v>45060</v>
      </c>
      <c r="B1144" t="s">
        <v>14</v>
      </c>
      <c r="C1144" t="s">
        <v>15</v>
      </c>
      <c r="D1144" t="s">
        <v>17</v>
      </c>
      <c r="E1144">
        <v>323.56</v>
      </c>
      <c r="F1144">
        <v>230.42</v>
      </c>
      <c r="G1144">
        <v>8</v>
      </c>
      <c r="H1144">
        <f t="shared" si="102"/>
        <v>2588.48</v>
      </c>
      <c r="I1144">
        <f t="shared" si="106"/>
        <v>1843.36</v>
      </c>
      <c r="J1144">
        <f t="shared" si="103"/>
        <v>745.12000000000012</v>
      </c>
      <c r="K1144" s="8">
        <f t="shared" si="104"/>
        <v>0.28786005686735078</v>
      </c>
      <c r="L1144" t="str">
        <f t="shared" si="107"/>
        <v>2023-05</v>
      </c>
      <c r="M1144">
        <f t="shared" si="105"/>
        <v>745.12000000000012</v>
      </c>
    </row>
    <row r="1145" spans="1:13" x14ac:dyDescent="0.25">
      <c r="A1145" s="1">
        <v>44937</v>
      </c>
      <c r="B1145" t="s">
        <v>10</v>
      </c>
      <c r="C1145" t="s">
        <v>11</v>
      </c>
      <c r="D1145" t="s">
        <v>13</v>
      </c>
      <c r="E1145">
        <v>646.47</v>
      </c>
      <c r="F1145">
        <v>334.58</v>
      </c>
      <c r="G1145">
        <v>7</v>
      </c>
      <c r="H1145">
        <f t="shared" si="102"/>
        <v>4525.29</v>
      </c>
      <c r="I1145">
        <f t="shared" si="106"/>
        <v>2342.06</v>
      </c>
      <c r="J1145">
        <f t="shared" si="103"/>
        <v>2183.23</v>
      </c>
      <c r="K1145" s="8">
        <f t="shared" si="104"/>
        <v>0.48245084845391123</v>
      </c>
      <c r="L1145" t="str">
        <f t="shared" si="107"/>
        <v>2023-01</v>
      </c>
      <c r="M1145">
        <f t="shared" si="105"/>
        <v>2183.23</v>
      </c>
    </row>
    <row r="1146" spans="1:13" x14ac:dyDescent="0.25">
      <c r="A1146" s="1">
        <v>45426</v>
      </c>
      <c r="B1146" t="s">
        <v>7</v>
      </c>
      <c r="C1146" t="s">
        <v>8</v>
      </c>
      <c r="D1146" t="s">
        <v>13</v>
      </c>
      <c r="E1146">
        <v>1041.7</v>
      </c>
      <c r="F1146">
        <v>919.32</v>
      </c>
      <c r="G1146">
        <v>5</v>
      </c>
      <c r="H1146">
        <f t="shared" si="102"/>
        <v>5208.5</v>
      </c>
      <c r="I1146">
        <f t="shared" si="106"/>
        <v>4596.6000000000004</v>
      </c>
      <c r="J1146">
        <f t="shared" si="103"/>
        <v>611.89999999999964</v>
      </c>
      <c r="K1146" s="8">
        <f t="shared" si="104"/>
        <v>0.11748104060670052</v>
      </c>
      <c r="L1146" t="str">
        <f t="shared" si="107"/>
        <v>2024-05</v>
      </c>
      <c r="M1146">
        <f t="shared" si="105"/>
        <v>611.89999999999964</v>
      </c>
    </row>
    <row r="1147" spans="1:13" x14ac:dyDescent="0.25">
      <c r="A1147" s="1">
        <v>45381</v>
      </c>
      <c r="B1147" t="s">
        <v>16</v>
      </c>
      <c r="C1147" t="s">
        <v>15</v>
      </c>
      <c r="D1147" t="s">
        <v>9</v>
      </c>
      <c r="E1147">
        <v>1376.42</v>
      </c>
      <c r="F1147">
        <v>720.42</v>
      </c>
      <c r="G1147">
        <v>5</v>
      </c>
      <c r="H1147">
        <f t="shared" si="102"/>
        <v>6882.1</v>
      </c>
      <c r="I1147">
        <f t="shared" si="106"/>
        <v>3602.1</v>
      </c>
      <c r="J1147">
        <f t="shared" si="103"/>
        <v>3280.0000000000005</v>
      </c>
      <c r="K1147" s="8">
        <f t="shared" si="104"/>
        <v>0.47659871260225806</v>
      </c>
      <c r="L1147" t="str">
        <f t="shared" si="107"/>
        <v>2024-03</v>
      </c>
      <c r="M1147">
        <f t="shared" si="105"/>
        <v>3280.0000000000005</v>
      </c>
    </row>
    <row r="1148" spans="1:13" x14ac:dyDescent="0.25">
      <c r="A1148" s="1">
        <v>45195</v>
      </c>
      <c r="B1148" t="s">
        <v>16</v>
      </c>
      <c r="C1148" t="s">
        <v>15</v>
      </c>
      <c r="D1148" t="s">
        <v>18</v>
      </c>
      <c r="E1148">
        <v>1176.1199999999999</v>
      </c>
      <c r="F1148">
        <v>841.12</v>
      </c>
      <c r="G1148">
        <v>9</v>
      </c>
      <c r="H1148">
        <f t="shared" si="102"/>
        <v>10585.079999999998</v>
      </c>
      <c r="I1148">
        <f t="shared" si="106"/>
        <v>7570.08</v>
      </c>
      <c r="J1148">
        <f t="shared" si="103"/>
        <v>3014.9999999999982</v>
      </c>
      <c r="K1148" s="8">
        <f t="shared" si="104"/>
        <v>0.28483488079447661</v>
      </c>
      <c r="L1148" t="str">
        <f t="shared" si="107"/>
        <v>2023-09</v>
      </c>
      <c r="M1148">
        <f t="shared" si="105"/>
        <v>3014.9999999999982</v>
      </c>
    </row>
    <row r="1149" spans="1:13" x14ac:dyDescent="0.25">
      <c r="A1149" s="1">
        <v>45119</v>
      </c>
      <c r="B1149" t="s">
        <v>12</v>
      </c>
      <c r="C1149" t="s">
        <v>8</v>
      </c>
      <c r="D1149" t="s">
        <v>9</v>
      </c>
      <c r="E1149">
        <v>24.18</v>
      </c>
      <c r="F1149">
        <v>14.33</v>
      </c>
      <c r="G1149">
        <v>8</v>
      </c>
      <c r="H1149">
        <f t="shared" si="102"/>
        <v>193.44</v>
      </c>
      <c r="I1149">
        <f t="shared" si="106"/>
        <v>114.64</v>
      </c>
      <c r="J1149">
        <f t="shared" si="103"/>
        <v>78.8</v>
      </c>
      <c r="K1149" s="8">
        <f t="shared" si="104"/>
        <v>0.40736145574855254</v>
      </c>
      <c r="L1149" t="str">
        <f t="shared" si="107"/>
        <v>2023-07</v>
      </c>
      <c r="M1149">
        <f t="shared" si="105"/>
        <v>78.8</v>
      </c>
    </row>
    <row r="1150" spans="1:13" x14ac:dyDescent="0.25">
      <c r="A1150" s="1">
        <v>44578</v>
      </c>
      <c r="B1150" t="s">
        <v>7</v>
      </c>
      <c r="C1150" t="s">
        <v>8</v>
      </c>
      <c r="D1150" t="s">
        <v>17</v>
      </c>
      <c r="E1150">
        <v>474.5</v>
      </c>
      <c r="F1150">
        <v>414.53</v>
      </c>
      <c r="G1150">
        <v>6</v>
      </c>
      <c r="H1150">
        <f t="shared" si="102"/>
        <v>2847</v>
      </c>
      <c r="I1150">
        <f t="shared" si="106"/>
        <v>2487.1799999999998</v>
      </c>
      <c r="J1150">
        <f t="shared" si="103"/>
        <v>359.82000000000016</v>
      </c>
      <c r="K1150" s="8">
        <f t="shared" si="104"/>
        <v>0.1263856691253952</v>
      </c>
      <c r="L1150" t="str">
        <f t="shared" si="107"/>
        <v>2022-01</v>
      </c>
      <c r="M1150">
        <f t="shared" si="105"/>
        <v>359.82000000000016</v>
      </c>
    </row>
    <row r="1151" spans="1:13" x14ac:dyDescent="0.25">
      <c r="A1151" s="1">
        <v>45353</v>
      </c>
      <c r="B1151" t="s">
        <v>12</v>
      </c>
      <c r="C1151" t="s">
        <v>8</v>
      </c>
      <c r="D1151" t="s">
        <v>18</v>
      </c>
      <c r="E1151">
        <v>1288.21</v>
      </c>
      <c r="F1151">
        <v>964.97</v>
      </c>
      <c r="G1151">
        <v>3</v>
      </c>
      <c r="H1151">
        <f t="shared" si="102"/>
        <v>3864.63</v>
      </c>
      <c r="I1151">
        <f t="shared" si="106"/>
        <v>2894.91</v>
      </c>
      <c r="J1151">
        <f t="shared" si="103"/>
        <v>969.72000000000025</v>
      </c>
      <c r="K1151" s="8">
        <f t="shared" si="104"/>
        <v>0.25092182175266459</v>
      </c>
      <c r="L1151" t="str">
        <f t="shared" si="107"/>
        <v>2024-03</v>
      </c>
      <c r="M1151">
        <f t="shared" si="105"/>
        <v>969.72000000000025</v>
      </c>
    </row>
    <row r="1152" spans="1:13" x14ac:dyDescent="0.25">
      <c r="A1152" s="1">
        <v>44617</v>
      </c>
      <c r="B1152" t="s">
        <v>24</v>
      </c>
      <c r="C1152" t="s">
        <v>20</v>
      </c>
      <c r="D1152" t="s">
        <v>9</v>
      </c>
      <c r="E1152">
        <v>229.74</v>
      </c>
      <c r="F1152">
        <v>197.66</v>
      </c>
      <c r="G1152">
        <v>10</v>
      </c>
      <c r="H1152">
        <f t="shared" si="102"/>
        <v>2297.4</v>
      </c>
      <c r="I1152">
        <f t="shared" si="106"/>
        <v>1976.6</v>
      </c>
      <c r="J1152">
        <f t="shared" si="103"/>
        <v>320.80000000000018</v>
      </c>
      <c r="K1152" s="8">
        <f t="shared" si="104"/>
        <v>0.13963611038565343</v>
      </c>
      <c r="L1152" t="str">
        <f t="shared" si="107"/>
        <v>2022-02</v>
      </c>
      <c r="M1152">
        <f t="shared" si="105"/>
        <v>320.80000000000018</v>
      </c>
    </row>
    <row r="1153" spans="1:13" x14ac:dyDescent="0.25">
      <c r="A1153" s="1">
        <v>44900</v>
      </c>
      <c r="B1153" t="s">
        <v>25</v>
      </c>
      <c r="C1153" t="s">
        <v>15</v>
      </c>
      <c r="D1153" t="s">
        <v>13</v>
      </c>
      <c r="E1153">
        <v>1561.08</v>
      </c>
      <c r="F1153">
        <v>1124.4000000000001</v>
      </c>
      <c r="G1153">
        <v>4</v>
      </c>
      <c r="H1153">
        <f t="shared" si="102"/>
        <v>6244.32</v>
      </c>
      <c r="I1153">
        <f t="shared" si="106"/>
        <v>4497.6000000000004</v>
      </c>
      <c r="J1153">
        <f t="shared" si="103"/>
        <v>1746.7199999999993</v>
      </c>
      <c r="K1153" s="8">
        <f t="shared" si="104"/>
        <v>0.27972941809516477</v>
      </c>
      <c r="L1153" t="str">
        <f t="shared" si="107"/>
        <v>2022-12</v>
      </c>
      <c r="M1153">
        <f t="shared" si="105"/>
        <v>1746.7199999999993</v>
      </c>
    </row>
    <row r="1154" spans="1:13" x14ac:dyDescent="0.25">
      <c r="A1154" s="1">
        <v>45565</v>
      </c>
      <c r="B1154" t="s">
        <v>12</v>
      </c>
      <c r="C1154" t="s">
        <v>8</v>
      </c>
      <c r="D1154" t="s">
        <v>17</v>
      </c>
      <c r="E1154">
        <v>1838.73</v>
      </c>
      <c r="F1154">
        <v>1476.45</v>
      </c>
      <c r="G1154">
        <v>9</v>
      </c>
      <c r="H1154">
        <f t="shared" si="102"/>
        <v>16548.57</v>
      </c>
      <c r="I1154">
        <f t="shared" si="106"/>
        <v>13288.050000000001</v>
      </c>
      <c r="J1154">
        <f t="shared" si="103"/>
        <v>3260.5199999999986</v>
      </c>
      <c r="K1154" s="8">
        <f t="shared" si="104"/>
        <v>0.1970272960140966</v>
      </c>
      <c r="L1154" t="str">
        <f t="shared" si="107"/>
        <v>2024-09</v>
      </c>
      <c r="M1154">
        <f t="shared" si="105"/>
        <v>3260.5199999999986</v>
      </c>
    </row>
    <row r="1155" spans="1:13" x14ac:dyDescent="0.25">
      <c r="A1155" s="1">
        <v>44615</v>
      </c>
      <c r="B1155" t="s">
        <v>22</v>
      </c>
      <c r="C1155" t="s">
        <v>8</v>
      </c>
      <c r="D1155" t="s">
        <v>17</v>
      </c>
      <c r="E1155">
        <v>599.75</v>
      </c>
      <c r="F1155">
        <v>529.79</v>
      </c>
      <c r="G1155">
        <v>8</v>
      </c>
      <c r="H1155">
        <f t="shared" ref="H1155:H1218" si="108">E1155*G1155</f>
        <v>4798</v>
      </c>
      <c r="I1155">
        <f t="shared" si="106"/>
        <v>4238.32</v>
      </c>
      <c r="J1155">
        <f t="shared" ref="J1155:J1218" si="109">H1155-I1155</f>
        <v>559.68000000000029</v>
      </c>
      <c r="K1155" s="8">
        <f t="shared" ref="K1155:K1218" si="110">(H1155-I1155)/H1155</f>
        <v>0.11664860358482707</v>
      </c>
      <c r="L1155" t="str">
        <f t="shared" si="107"/>
        <v>2022-02</v>
      </c>
      <c r="M1155">
        <f t="shared" ref="M1155:M1218" si="111">H1155-I1155</f>
        <v>559.68000000000029</v>
      </c>
    </row>
    <row r="1156" spans="1:13" x14ac:dyDescent="0.25">
      <c r="A1156" s="1">
        <v>45038</v>
      </c>
      <c r="B1156" t="s">
        <v>23</v>
      </c>
      <c r="C1156" t="s">
        <v>11</v>
      </c>
      <c r="D1156" t="s">
        <v>18</v>
      </c>
      <c r="E1156">
        <v>131.28</v>
      </c>
      <c r="F1156">
        <v>90.34</v>
      </c>
      <c r="G1156">
        <v>10</v>
      </c>
      <c r="H1156">
        <f t="shared" si="108"/>
        <v>1312.8</v>
      </c>
      <c r="I1156">
        <f t="shared" ref="I1156:I1219" si="112">F1156*G1156</f>
        <v>903.40000000000009</v>
      </c>
      <c r="J1156">
        <f t="shared" si="109"/>
        <v>409.39999999999986</v>
      </c>
      <c r="K1156" s="8">
        <f t="shared" si="110"/>
        <v>0.31185252894576471</v>
      </c>
      <c r="L1156" t="str">
        <f t="shared" ref="L1156:L1219" si="113">TEXT(A1156,"rrrr-mm")</f>
        <v>2023-04</v>
      </c>
      <c r="M1156">
        <f t="shared" si="111"/>
        <v>409.39999999999986</v>
      </c>
    </row>
    <row r="1157" spans="1:13" x14ac:dyDescent="0.25">
      <c r="A1157" s="1">
        <v>45644</v>
      </c>
      <c r="B1157" t="s">
        <v>23</v>
      </c>
      <c r="C1157" t="s">
        <v>11</v>
      </c>
      <c r="D1157" t="s">
        <v>13</v>
      </c>
      <c r="E1157">
        <v>296.66000000000003</v>
      </c>
      <c r="F1157">
        <v>205.99</v>
      </c>
      <c r="G1157">
        <v>8</v>
      </c>
      <c r="H1157">
        <f t="shared" si="108"/>
        <v>2373.2800000000002</v>
      </c>
      <c r="I1157">
        <f t="shared" si="112"/>
        <v>1647.92</v>
      </c>
      <c r="J1157">
        <f t="shared" si="109"/>
        <v>725.36000000000013</v>
      </c>
      <c r="K1157" s="8">
        <f t="shared" si="110"/>
        <v>0.30563608170970136</v>
      </c>
      <c r="L1157" t="str">
        <f t="shared" si="113"/>
        <v>2024-12</v>
      </c>
      <c r="M1157">
        <f t="shared" si="111"/>
        <v>725.36000000000013</v>
      </c>
    </row>
    <row r="1158" spans="1:13" x14ac:dyDescent="0.25">
      <c r="A1158" s="1">
        <v>44917</v>
      </c>
      <c r="B1158" t="s">
        <v>25</v>
      </c>
      <c r="C1158" t="s">
        <v>15</v>
      </c>
      <c r="D1158" t="s">
        <v>18</v>
      </c>
      <c r="E1158">
        <v>1687.21</v>
      </c>
      <c r="F1158">
        <v>1145.6400000000001</v>
      </c>
      <c r="G1158">
        <v>2</v>
      </c>
      <c r="H1158">
        <f t="shared" si="108"/>
        <v>3374.42</v>
      </c>
      <c r="I1158">
        <f t="shared" si="112"/>
        <v>2291.2800000000002</v>
      </c>
      <c r="J1158">
        <f t="shared" si="109"/>
        <v>1083.1399999999999</v>
      </c>
      <c r="K1158" s="8">
        <f t="shared" si="110"/>
        <v>0.32098553232851862</v>
      </c>
      <c r="L1158" t="str">
        <f t="shared" si="113"/>
        <v>2022-12</v>
      </c>
      <c r="M1158">
        <f t="shared" si="111"/>
        <v>1083.1399999999999</v>
      </c>
    </row>
    <row r="1159" spans="1:13" x14ac:dyDescent="0.25">
      <c r="A1159" s="1">
        <v>45183</v>
      </c>
      <c r="B1159" t="s">
        <v>19</v>
      </c>
      <c r="C1159" t="s">
        <v>20</v>
      </c>
      <c r="D1159" t="s">
        <v>17</v>
      </c>
      <c r="E1159">
        <v>1680.97</v>
      </c>
      <c r="F1159">
        <v>1338.78</v>
      </c>
      <c r="G1159">
        <v>5</v>
      </c>
      <c r="H1159">
        <f t="shared" si="108"/>
        <v>8404.85</v>
      </c>
      <c r="I1159">
        <f t="shared" si="112"/>
        <v>6693.9</v>
      </c>
      <c r="J1159">
        <f t="shared" si="109"/>
        <v>1710.9500000000007</v>
      </c>
      <c r="K1159" s="8">
        <f t="shared" si="110"/>
        <v>0.20356698810805673</v>
      </c>
      <c r="L1159" t="str">
        <f t="shared" si="113"/>
        <v>2023-09</v>
      </c>
      <c r="M1159">
        <f t="shared" si="111"/>
        <v>1710.9500000000007</v>
      </c>
    </row>
    <row r="1160" spans="1:13" x14ac:dyDescent="0.25">
      <c r="A1160" s="1">
        <v>45203</v>
      </c>
      <c r="B1160" t="s">
        <v>25</v>
      </c>
      <c r="C1160" t="s">
        <v>15</v>
      </c>
      <c r="D1160" t="s">
        <v>9</v>
      </c>
      <c r="E1160">
        <v>1145.79</v>
      </c>
      <c r="F1160">
        <v>813.08</v>
      </c>
      <c r="G1160">
        <v>2</v>
      </c>
      <c r="H1160">
        <f t="shared" si="108"/>
        <v>2291.58</v>
      </c>
      <c r="I1160">
        <f t="shared" si="112"/>
        <v>1626.16</v>
      </c>
      <c r="J1160">
        <f t="shared" si="109"/>
        <v>665.41999999999985</v>
      </c>
      <c r="K1160" s="8">
        <f t="shared" si="110"/>
        <v>0.29037607240419266</v>
      </c>
      <c r="L1160" t="str">
        <f t="shared" si="113"/>
        <v>2023-10</v>
      </c>
      <c r="M1160">
        <f t="shared" si="111"/>
        <v>665.41999999999985</v>
      </c>
    </row>
    <row r="1161" spans="1:13" x14ac:dyDescent="0.25">
      <c r="A1161" s="1">
        <v>44673</v>
      </c>
      <c r="B1161" t="s">
        <v>25</v>
      </c>
      <c r="C1161" t="s">
        <v>15</v>
      </c>
      <c r="D1161" t="s">
        <v>17</v>
      </c>
      <c r="E1161">
        <v>1758.11</v>
      </c>
      <c r="F1161">
        <v>1309.08</v>
      </c>
      <c r="G1161">
        <v>1</v>
      </c>
      <c r="H1161">
        <f t="shared" si="108"/>
        <v>1758.11</v>
      </c>
      <c r="I1161">
        <f t="shared" si="112"/>
        <v>1309.08</v>
      </c>
      <c r="J1161">
        <f t="shared" si="109"/>
        <v>449.03</v>
      </c>
      <c r="K1161" s="8">
        <f t="shared" si="110"/>
        <v>0.25540495190858364</v>
      </c>
      <c r="L1161" t="str">
        <f t="shared" si="113"/>
        <v>2022-04</v>
      </c>
      <c r="M1161">
        <f t="shared" si="111"/>
        <v>449.03</v>
      </c>
    </row>
    <row r="1162" spans="1:13" x14ac:dyDescent="0.25">
      <c r="A1162" s="1">
        <v>44568</v>
      </c>
      <c r="B1162" t="s">
        <v>24</v>
      </c>
      <c r="C1162" t="s">
        <v>20</v>
      </c>
      <c r="D1162" t="s">
        <v>18</v>
      </c>
      <c r="E1162">
        <v>1490.46</v>
      </c>
      <c r="F1162">
        <v>961.1</v>
      </c>
      <c r="G1162">
        <v>9</v>
      </c>
      <c r="H1162">
        <f t="shared" si="108"/>
        <v>13414.14</v>
      </c>
      <c r="I1162">
        <f t="shared" si="112"/>
        <v>8649.9</v>
      </c>
      <c r="J1162">
        <f t="shared" si="109"/>
        <v>4764.24</v>
      </c>
      <c r="K1162" s="8">
        <f t="shared" si="110"/>
        <v>0.35516551936985896</v>
      </c>
      <c r="L1162" t="str">
        <f t="shared" si="113"/>
        <v>2022-01</v>
      </c>
      <c r="M1162">
        <f t="shared" si="111"/>
        <v>4764.24</v>
      </c>
    </row>
    <row r="1163" spans="1:13" x14ac:dyDescent="0.25">
      <c r="A1163" s="1">
        <v>45030</v>
      </c>
      <c r="B1163" t="s">
        <v>24</v>
      </c>
      <c r="C1163" t="s">
        <v>20</v>
      </c>
      <c r="D1163" t="s">
        <v>13</v>
      </c>
      <c r="E1163">
        <v>1922.17</v>
      </c>
      <c r="F1163">
        <v>1099.51</v>
      </c>
      <c r="G1163">
        <v>7</v>
      </c>
      <c r="H1163">
        <f t="shared" si="108"/>
        <v>13455.19</v>
      </c>
      <c r="I1163">
        <f t="shared" si="112"/>
        <v>7696.57</v>
      </c>
      <c r="J1163">
        <f t="shared" si="109"/>
        <v>5758.6200000000008</v>
      </c>
      <c r="K1163" s="8">
        <f t="shared" si="110"/>
        <v>0.42798503774380003</v>
      </c>
      <c r="L1163" t="str">
        <f t="shared" si="113"/>
        <v>2023-04</v>
      </c>
      <c r="M1163">
        <f t="shared" si="111"/>
        <v>5758.6200000000008</v>
      </c>
    </row>
    <row r="1164" spans="1:13" x14ac:dyDescent="0.25">
      <c r="A1164" s="1">
        <v>45356</v>
      </c>
      <c r="B1164" t="s">
        <v>22</v>
      </c>
      <c r="C1164" t="s">
        <v>8</v>
      </c>
      <c r="D1164" t="s">
        <v>13</v>
      </c>
      <c r="E1164">
        <v>990.64</v>
      </c>
      <c r="F1164">
        <v>870.85</v>
      </c>
      <c r="G1164">
        <v>1</v>
      </c>
      <c r="H1164">
        <f t="shared" si="108"/>
        <v>990.64</v>
      </c>
      <c r="I1164">
        <f t="shared" si="112"/>
        <v>870.85</v>
      </c>
      <c r="J1164">
        <f t="shared" si="109"/>
        <v>119.78999999999996</v>
      </c>
      <c r="K1164" s="8">
        <f t="shared" si="110"/>
        <v>0.12092182831300974</v>
      </c>
      <c r="L1164" t="str">
        <f t="shared" si="113"/>
        <v>2024-03</v>
      </c>
      <c r="M1164">
        <f t="shared" si="111"/>
        <v>119.78999999999996</v>
      </c>
    </row>
    <row r="1165" spans="1:13" x14ac:dyDescent="0.25">
      <c r="A1165" s="1">
        <v>45255</v>
      </c>
      <c r="B1165" t="s">
        <v>14</v>
      </c>
      <c r="C1165" t="s">
        <v>15</v>
      </c>
      <c r="D1165" t="s">
        <v>17</v>
      </c>
      <c r="E1165">
        <v>211.27</v>
      </c>
      <c r="F1165">
        <v>188.33</v>
      </c>
      <c r="G1165">
        <v>10</v>
      </c>
      <c r="H1165">
        <f t="shared" si="108"/>
        <v>2112.7000000000003</v>
      </c>
      <c r="I1165">
        <f t="shared" si="112"/>
        <v>1883.3000000000002</v>
      </c>
      <c r="J1165">
        <f t="shared" si="109"/>
        <v>229.40000000000009</v>
      </c>
      <c r="K1165" s="8">
        <f t="shared" si="110"/>
        <v>0.10858143607705782</v>
      </c>
      <c r="L1165" t="str">
        <f t="shared" si="113"/>
        <v>2023-11</v>
      </c>
      <c r="M1165">
        <f t="shared" si="111"/>
        <v>229.40000000000009</v>
      </c>
    </row>
    <row r="1166" spans="1:13" x14ac:dyDescent="0.25">
      <c r="A1166" s="1">
        <v>45324</v>
      </c>
      <c r="B1166" t="s">
        <v>16</v>
      </c>
      <c r="C1166" t="s">
        <v>15</v>
      </c>
      <c r="D1166" t="s">
        <v>9</v>
      </c>
      <c r="E1166">
        <v>1600.69</v>
      </c>
      <c r="F1166">
        <v>1351.16</v>
      </c>
      <c r="G1166">
        <v>8</v>
      </c>
      <c r="H1166">
        <f t="shared" si="108"/>
        <v>12805.52</v>
      </c>
      <c r="I1166">
        <f t="shared" si="112"/>
        <v>10809.28</v>
      </c>
      <c r="J1166">
        <f t="shared" si="109"/>
        <v>1996.2399999999998</v>
      </c>
      <c r="K1166" s="8">
        <f t="shared" si="110"/>
        <v>0.15588902285889208</v>
      </c>
      <c r="L1166" t="str">
        <f t="shared" si="113"/>
        <v>2024-02</v>
      </c>
      <c r="M1166">
        <f t="shared" si="111"/>
        <v>1996.2399999999998</v>
      </c>
    </row>
    <row r="1167" spans="1:13" x14ac:dyDescent="0.25">
      <c r="A1167" s="1">
        <v>45150</v>
      </c>
      <c r="B1167" t="s">
        <v>7</v>
      </c>
      <c r="C1167" t="s">
        <v>8</v>
      </c>
      <c r="D1167" t="s">
        <v>13</v>
      </c>
      <c r="E1167">
        <v>1605.89</v>
      </c>
      <c r="F1167">
        <v>1012.23</v>
      </c>
      <c r="G1167">
        <v>10</v>
      </c>
      <c r="H1167">
        <f t="shared" si="108"/>
        <v>16058.900000000001</v>
      </c>
      <c r="I1167">
        <f t="shared" si="112"/>
        <v>10122.299999999999</v>
      </c>
      <c r="J1167">
        <f t="shared" si="109"/>
        <v>5936.6000000000022</v>
      </c>
      <c r="K1167" s="8">
        <f t="shared" si="110"/>
        <v>0.36967662791349354</v>
      </c>
      <c r="L1167" t="str">
        <f t="shared" si="113"/>
        <v>2023-08</v>
      </c>
      <c r="M1167">
        <f t="shared" si="111"/>
        <v>5936.6000000000022</v>
      </c>
    </row>
    <row r="1168" spans="1:13" x14ac:dyDescent="0.25">
      <c r="A1168" s="1">
        <v>44699</v>
      </c>
      <c r="B1168" t="s">
        <v>12</v>
      </c>
      <c r="C1168" t="s">
        <v>8</v>
      </c>
      <c r="D1168" t="s">
        <v>18</v>
      </c>
      <c r="E1168">
        <v>480.7</v>
      </c>
      <c r="F1168">
        <v>282.51</v>
      </c>
      <c r="G1168">
        <v>2</v>
      </c>
      <c r="H1168">
        <f t="shared" si="108"/>
        <v>961.4</v>
      </c>
      <c r="I1168">
        <f t="shared" si="112"/>
        <v>565.02</v>
      </c>
      <c r="J1168">
        <f t="shared" si="109"/>
        <v>396.38</v>
      </c>
      <c r="K1168" s="8">
        <f t="shared" si="110"/>
        <v>0.41229457041814022</v>
      </c>
      <c r="L1168" t="str">
        <f t="shared" si="113"/>
        <v>2022-05</v>
      </c>
      <c r="M1168">
        <f t="shared" si="111"/>
        <v>396.38</v>
      </c>
    </row>
    <row r="1169" spans="1:13" x14ac:dyDescent="0.25">
      <c r="A1169" s="1">
        <v>44767</v>
      </c>
      <c r="B1169" t="s">
        <v>23</v>
      </c>
      <c r="C1169" t="s">
        <v>11</v>
      </c>
      <c r="D1169" t="s">
        <v>9</v>
      </c>
      <c r="E1169">
        <v>1011.66</v>
      </c>
      <c r="F1169">
        <v>753.17</v>
      </c>
      <c r="G1169">
        <v>1</v>
      </c>
      <c r="H1169">
        <f t="shared" si="108"/>
        <v>1011.66</v>
      </c>
      <c r="I1169">
        <f t="shared" si="112"/>
        <v>753.17</v>
      </c>
      <c r="J1169">
        <f t="shared" si="109"/>
        <v>258.49</v>
      </c>
      <c r="K1169" s="8">
        <f t="shared" si="110"/>
        <v>0.2555107447166044</v>
      </c>
      <c r="L1169" t="str">
        <f t="shared" si="113"/>
        <v>2022-07</v>
      </c>
      <c r="M1169">
        <f t="shared" si="111"/>
        <v>258.49</v>
      </c>
    </row>
    <row r="1170" spans="1:13" x14ac:dyDescent="0.25">
      <c r="A1170" s="1">
        <v>44570</v>
      </c>
      <c r="B1170" t="s">
        <v>25</v>
      </c>
      <c r="C1170" t="s">
        <v>15</v>
      </c>
      <c r="D1170" t="s">
        <v>17</v>
      </c>
      <c r="E1170">
        <v>28.03</v>
      </c>
      <c r="F1170">
        <v>19.739999999999998</v>
      </c>
      <c r="G1170">
        <v>2</v>
      </c>
      <c r="H1170">
        <f t="shared" si="108"/>
        <v>56.06</v>
      </c>
      <c r="I1170">
        <f t="shared" si="112"/>
        <v>39.479999999999997</v>
      </c>
      <c r="J1170">
        <f t="shared" si="109"/>
        <v>16.580000000000005</v>
      </c>
      <c r="K1170" s="8">
        <f t="shared" si="110"/>
        <v>0.29575454869782386</v>
      </c>
      <c r="L1170" t="str">
        <f t="shared" si="113"/>
        <v>2022-01</v>
      </c>
      <c r="M1170">
        <f t="shared" si="111"/>
        <v>16.580000000000005</v>
      </c>
    </row>
    <row r="1171" spans="1:13" x14ac:dyDescent="0.25">
      <c r="A1171" s="1">
        <v>45152</v>
      </c>
      <c r="B1171" t="s">
        <v>14</v>
      </c>
      <c r="C1171" t="s">
        <v>15</v>
      </c>
      <c r="D1171" t="s">
        <v>9</v>
      </c>
      <c r="E1171">
        <v>1008.67</v>
      </c>
      <c r="F1171">
        <v>591.71</v>
      </c>
      <c r="G1171">
        <v>8</v>
      </c>
      <c r="H1171">
        <f t="shared" si="108"/>
        <v>8069.36</v>
      </c>
      <c r="I1171">
        <f t="shared" si="112"/>
        <v>4733.68</v>
      </c>
      <c r="J1171">
        <f t="shared" si="109"/>
        <v>3335.6799999999994</v>
      </c>
      <c r="K1171" s="8">
        <f t="shared" si="110"/>
        <v>0.413376029821448</v>
      </c>
      <c r="L1171" t="str">
        <f t="shared" si="113"/>
        <v>2023-08</v>
      </c>
      <c r="M1171">
        <f t="shared" si="111"/>
        <v>3335.6799999999994</v>
      </c>
    </row>
    <row r="1172" spans="1:13" x14ac:dyDescent="0.25">
      <c r="A1172" s="1">
        <v>45440</v>
      </c>
      <c r="B1172" t="s">
        <v>22</v>
      </c>
      <c r="C1172" t="s">
        <v>8</v>
      </c>
      <c r="D1172" t="s">
        <v>18</v>
      </c>
      <c r="E1172">
        <v>1306.26</v>
      </c>
      <c r="F1172">
        <v>925.33</v>
      </c>
      <c r="G1172">
        <v>2</v>
      </c>
      <c r="H1172">
        <f t="shared" si="108"/>
        <v>2612.52</v>
      </c>
      <c r="I1172">
        <f t="shared" si="112"/>
        <v>1850.66</v>
      </c>
      <c r="J1172">
        <f t="shared" si="109"/>
        <v>761.8599999999999</v>
      </c>
      <c r="K1172" s="8">
        <f t="shared" si="110"/>
        <v>0.29161882014300367</v>
      </c>
      <c r="L1172" t="str">
        <f t="shared" si="113"/>
        <v>2024-05</v>
      </c>
      <c r="M1172">
        <f t="shared" si="111"/>
        <v>761.8599999999999</v>
      </c>
    </row>
    <row r="1173" spans="1:13" x14ac:dyDescent="0.25">
      <c r="A1173" s="1">
        <v>45184</v>
      </c>
      <c r="B1173" t="s">
        <v>10</v>
      </c>
      <c r="C1173" t="s">
        <v>11</v>
      </c>
      <c r="D1173" t="s">
        <v>13</v>
      </c>
      <c r="E1173">
        <v>253.82</v>
      </c>
      <c r="F1173">
        <v>190.27</v>
      </c>
      <c r="G1173">
        <v>2</v>
      </c>
      <c r="H1173">
        <f t="shared" si="108"/>
        <v>507.64</v>
      </c>
      <c r="I1173">
        <f t="shared" si="112"/>
        <v>380.54</v>
      </c>
      <c r="J1173">
        <f t="shared" si="109"/>
        <v>127.09999999999997</v>
      </c>
      <c r="K1173" s="8">
        <f t="shared" si="110"/>
        <v>0.25037428098652581</v>
      </c>
      <c r="L1173" t="str">
        <f t="shared" si="113"/>
        <v>2023-09</v>
      </c>
      <c r="M1173">
        <f t="shared" si="111"/>
        <v>127.09999999999997</v>
      </c>
    </row>
    <row r="1174" spans="1:13" x14ac:dyDescent="0.25">
      <c r="A1174" s="1">
        <v>45490</v>
      </c>
      <c r="B1174" t="s">
        <v>22</v>
      </c>
      <c r="C1174" t="s">
        <v>8</v>
      </c>
      <c r="D1174" t="s">
        <v>13</v>
      </c>
      <c r="E1174">
        <v>669.23</v>
      </c>
      <c r="F1174">
        <v>414.09</v>
      </c>
      <c r="G1174">
        <v>1</v>
      </c>
      <c r="H1174">
        <f t="shared" si="108"/>
        <v>669.23</v>
      </c>
      <c r="I1174">
        <f t="shared" si="112"/>
        <v>414.09</v>
      </c>
      <c r="J1174">
        <f t="shared" si="109"/>
        <v>255.14000000000004</v>
      </c>
      <c r="K1174" s="8">
        <f t="shared" si="110"/>
        <v>0.38124411637254763</v>
      </c>
      <c r="L1174" t="str">
        <f t="shared" si="113"/>
        <v>2024-07</v>
      </c>
      <c r="M1174">
        <f t="shared" si="111"/>
        <v>255.14000000000004</v>
      </c>
    </row>
    <row r="1175" spans="1:13" x14ac:dyDescent="0.25">
      <c r="A1175" s="1">
        <v>44975</v>
      </c>
      <c r="B1175" t="s">
        <v>21</v>
      </c>
      <c r="C1175" t="s">
        <v>20</v>
      </c>
      <c r="D1175" t="s">
        <v>17</v>
      </c>
      <c r="E1175">
        <v>1054.8900000000001</v>
      </c>
      <c r="F1175">
        <v>821.88</v>
      </c>
      <c r="G1175">
        <v>8</v>
      </c>
      <c r="H1175">
        <f t="shared" si="108"/>
        <v>8439.1200000000008</v>
      </c>
      <c r="I1175">
        <f t="shared" si="112"/>
        <v>6575.04</v>
      </c>
      <c r="J1175">
        <f t="shared" si="109"/>
        <v>1864.0800000000008</v>
      </c>
      <c r="K1175" s="8">
        <f t="shared" si="110"/>
        <v>0.22088558996672647</v>
      </c>
      <c r="L1175" t="str">
        <f t="shared" si="113"/>
        <v>2023-02</v>
      </c>
      <c r="M1175">
        <f t="shared" si="111"/>
        <v>1864.0800000000008</v>
      </c>
    </row>
    <row r="1176" spans="1:13" x14ac:dyDescent="0.25">
      <c r="A1176" s="1">
        <v>45236</v>
      </c>
      <c r="B1176" t="s">
        <v>22</v>
      </c>
      <c r="C1176" t="s">
        <v>8</v>
      </c>
      <c r="D1176" t="s">
        <v>17</v>
      </c>
      <c r="E1176">
        <v>724.86</v>
      </c>
      <c r="F1176">
        <v>630.79</v>
      </c>
      <c r="G1176">
        <v>8</v>
      </c>
      <c r="H1176">
        <f t="shared" si="108"/>
        <v>5798.88</v>
      </c>
      <c r="I1176">
        <f t="shared" si="112"/>
        <v>5046.32</v>
      </c>
      <c r="J1176">
        <f t="shared" si="109"/>
        <v>752.5600000000004</v>
      </c>
      <c r="K1176" s="8">
        <f t="shared" si="110"/>
        <v>0.12977678448252083</v>
      </c>
      <c r="L1176" t="str">
        <f t="shared" si="113"/>
        <v>2023-11</v>
      </c>
      <c r="M1176">
        <f t="shared" si="111"/>
        <v>752.5600000000004</v>
      </c>
    </row>
    <row r="1177" spans="1:13" x14ac:dyDescent="0.25">
      <c r="A1177" s="1">
        <v>45322</v>
      </c>
      <c r="B1177" t="s">
        <v>21</v>
      </c>
      <c r="C1177" t="s">
        <v>20</v>
      </c>
      <c r="D1177" t="s">
        <v>18</v>
      </c>
      <c r="E1177">
        <v>76.599999999999994</v>
      </c>
      <c r="F1177">
        <v>52.67</v>
      </c>
      <c r="G1177">
        <v>6</v>
      </c>
      <c r="H1177">
        <f t="shared" si="108"/>
        <v>459.59999999999997</v>
      </c>
      <c r="I1177">
        <f t="shared" si="112"/>
        <v>316.02</v>
      </c>
      <c r="J1177">
        <f t="shared" si="109"/>
        <v>143.57999999999998</v>
      </c>
      <c r="K1177" s="8">
        <f t="shared" si="110"/>
        <v>0.31240208877284592</v>
      </c>
      <c r="L1177" t="str">
        <f t="shared" si="113"/>
        <v>2024-01</v>
      </c>
      <c r="M1177">
        <f t="shared" si="111"/>
        <v>143.57999999999998</v>
      </c>
    </row>
    <row r="1178" spans="1:13" x14ac:dyDescent="0.25">
      <c r="A1178" s="1">
        <v>45389</v>
      </c>
      <c r="B1178" t="s">
        <v>16</v>
      </c>
      <c r="C1178" t="s">
        <v>15</v>
      </c>
      <c r="D1178" t="s">
        <v>9</v>
      </c>
      <c r="E1178">
        <v>887.12</v>
      </c>
      <c r="F1178">
        <v>642.37</v>
      </c>
      <c r="G1178">
        <v>9</v>
      </c>
      <c r="H1178">
        <f t="shared" si="108"/>
        <v>7984.08</v>
      </c>
      <c r="I1178">
        <f t="shared" si="112"/>
        <v>5781.33</v>
      </c>
      <c r="J1178">
        <f t="shared" si="109"/>
        <v>2202.75</v>
      </c>
      <c r="K1178" s="8">
        <f t="shared" si="110"/>
        <v>0.27589277662548473</v>
      </c>
      <c r="L1178" t="str">
        <f t="shared" si="113"/>
        <v>2024-04</v>
      </c>
      <c r="M1178">
        <f t="shared" si="111"/>
        <v>2202.75</v>
      </c>
    </row>
    <row r="1179" spans="1:13" x14ac:dyDescent="0.25">
      <c r="A1179" s="1">
        <v>45024</v>
      </c>
      <c r="B1179" t="s">
        <v>14</v>
      </c>
      <c r="C1179" t="s">
        <v>15</v>
      </c>
      <c r="D1179" t="s">
        <v>18</v>
      </c>
      <c r="E1179">
        <v>1530.52</v>
      </c>
      <c r="F1179">
        <v>1040.6400000000001</v>
      </c>
      <c r="G1179">
        <v>9</v>
      </c>
      <c r="H1179">
        <f t="shared" si="108"/>
        <v>13774.68</v>
      </c>
      <c r="I1179">
        <f t="shared" si="112"/>
        <v>9365.76</v>
      </c>
      <c r="J1179">
        <f t="shared" si="109"/>
        <v>4408.92</v>
      </c>
      <c r="K1179" s="8">
        <f t="shared" si="110"/>
        <v>0.3200742231398479</v>
      </c>
      <c r="L1179" t="str">
        <f t="shared" si="113"/>
        <v>2023-04</v>
      </c>
      <c r="M1179">
        <f t="shared" si="111"/>
        <v>4408.92</v>
      </c>
    </row>
    <row r="1180" spans="1:13" x14ac:dyDescent="0.25">
      <c r="A1180" s="1">
        <v>44908</v>
      </c>
      <c r="B1180" t="s">
        <v>25</v>
      </c>
      <c r="C1180" t="s">
        <v>15</v>
      </c>
      <c r="D1180" t="s">
        <v>17</v>
      </c>
      <c r="E1180">
        <v>1737.04</v>
      </c>
      <c r="F1180">
        <v>1114.3699999999999</v>
      </c>
      <c r="G1180">
        <v>6</v>
      </c>
      <c r="H1180">
        <f t="shared" si="108"/>
        <v>10422.24</v>
      </c>
      <c r="I1180">
        <f t="shared" si="112"/>
        <v>6686.2199999999993</v>
      </c>
      <c r="J1180">
        <f t="shared" si="109"/>
        <v>3736.0200000000004</v>
      </c>
      <c r="K1180" s="8">
        <f t="shared" si="110"/>
        <v>0.35846612628379315</v>
      </c>
      <c r="L1180" t="str">
        <f t="shared" si="113"/>
        <v>2022-12</v>
      </c>
      <c r="M1180">
        <f t="shared" si="111"/>
        <v>3736.0200000000004</v>
      </c>
    </row>
    <row r="1181" spans="1:13" x14ac:dyDescent="0.25">
      <c r="A1181" s="1">
        <v>45082</v>
      </c>
      <c r="B1181" t="s">
        <v>21</v>
      </c>
      <c r="C1181" t="s">
        <v>20</v>
      </c>
      <c r="D1181" t="s">
        <v>18</v>
      </c>
      <c r="E1181">
        <v>95.26</v>
      </c>
      <c r="F1181">
        <v>63.46</v>
      </c>
      <c r="G1181">
        <v>5</v>
      </c>
      <c r="H1181">
        <f t="shared" si="108"/>
        <v>476.3</v>
      </c>
      <c r="I1181">
        <f t="shared" si="112"/>
        <v>317.3</v>
      </c>
      <c r="J1181">
        <f t="shared" si="109"/>
        <v>159</v>
      </c>
      <c r="K1181" s="8">
        <f t="shared" si="110"/>
        <v>0.33382322065924835</v>
      </c>
      <c r="L1181" t="str">
        <f t="shared" si="113"/>
        <v>2023-06</v>
      </c>
      <c r="M1181">
        <f t="shared" si="111"/>
        <v>159</v>
      </c>
    </row>
    <row r="1182" spans="1:13" x14ac:dyDescent="0.25">
      <c r="A1182" s="1">
        <v>45212</v>
      </c>
      <c r="B1182" t="s">
        <v>10</v>
      </c>
      <c r="C1182" t="s">
        <v>11</v>
      </c>
      <c r="D1182" t="s">
        <v>13</v>
      </c>
      <c r="E1182">
        <v>790.37</v>
      </c>
      <c r="F1182">
        <v>513.29999999999995</v>
      </c>
      <c r="G1182">
        <v>4</v>
      </c>
      <c r="H1182">
        <f t="shared" si="108"/>
        <v>3161.48</v>
      </c>
      <c r="I1182">
        <f t="shared" si="112"/>
        <v>2053.1999999999998</v>
      </c>
      <c r="J1182">
        <f t="shared" si="109"/>
        <v>1108.2800000000002</v>
      </c>
      <c r="K1182" s="8">
        <f t="shared" si="110"/>
        <v>0.35055733390690441</v>
      </c>
      <c r="L1182" t="str">
        <f t="shared" si="113"/>
        <v>2023-10</v>
      </c>
      <c r="M1182">
        <f t="shared" si="111"/>
        <v>1108.2800000000002</v>
      </c>
    </row>
    <row r="1183" spans="1:13" x14ac:dyDescent="0.25">
      <c r="A1183" s="1">
        <v>44744</v>
      </c>
      <c r="B1183" t="s">
        <v>7</v>
      </c>
      <c r="C1183" t="s">
        <v>8</v>
      </c>
      <c r="D1183" t="s">
        <v>18</v>
      </c>
      <c r="E1183">
        <v>108.36</v>
      </c>
      <c r="F1183">
        <v>88.17</v>
      </c>
      <c r="G1183">
        <v>8</v>
      </c>
      <c r="H1183">
        <f t="shared" si="108"/>
        <v>866.88</v>
      </c>
      <c r="I1183">
        <f t="shared" si="112"/>
        <v>705.36</v>
      </c>
      <c r="J1183">
        <f t="shared" si="109"/>
        <v>161.51999999999998</v>
      </c>
      <c r="K1183" s="8">
        <f t="shared" si="110"/>
        <v>0.18632336655592469</v>
      </c>
      <c r="L1183" t="str">
        <f t="shared" si="113"/>
        <v>2022-07</v>
      </c>
      <c r="M1183">
        <f t="shared" si="111"/>
        <v>161.51999999999998</v>
      </c>
    </row>
    <row r="1184" spans="1:13" x14ac:dyDescent="0.25">
      <c r="A1184" s="1">
        <v>45161</v>
      </c>
      <c r="B1184" t="s">
        <v>21</v>
      </c>
      <c r="C1184" t="s">
        <v>20</v>
      </c>
      <c r="D1184" t="s">
        <v>17</v>
      </c>
      <c r="E1184">
        <v>673.89</v>
      </c>
      <c r="F1184">
        <v>402.92</v>
      </c>
      <c r="G1184">
        <v>6</v>
      </c>
      <c r="H1184">
        <f t="shared" si="108"/>
        <v>4043.34</v>
      </c>
      <c r="I1184">
        <f t="shared" si="112"/>
        <v>2417.52</v>
      </c>
      <c r="J1184">
        <f t="shared" si="109"/>
        <v>1625.8200000000002</v>
      </c>
      <c r="K1184" s="8">
        <f t="shared" si="110"/>
        <v>0.40209826529552306</v>
      </c>
      <c r="L1184" t="str">
        <f t="shared" si="113"/>
        <v>2023-08</v>
      </c>
      <c r="M1184">
        <f t="shared" si="111"/>
        <v>1625.8200000000002</v>
      </c>
    </row>
    <row r="1185" spans="1:13" x14ac:dyDescent="0.25">
      <c r="A1185" s="1">
        <v>45640</v>
      </c>
      <c r="B1185" t="s">
        <v>7</v>
      </c>
      <c r="C1185" t="s">
        <v>8</v>
      </c>
      <c r="D1185" t="s">
        <v>9</v>
      </c>
      <c r="E1185">
        <v>287.62</v>
      </c>
      <c r="F1185">
        <v>144.69999999999999</v>
      </c>
      <c r="G1185">
        <v>3</v>
      </c>
      <c r="H1185">
        <f t="shared" si="108"/>
        <v>862.86</v>
      </c>
      <c r="I1185">
        <f t="shared" si="112"/>
        <v>434.09999999999997</v>
      </c>
      <c r="J1185">
        <f t="shared" si="109"/>
        <v>428.76000000000005</v>
      </c>
      <c r="K1185" s="8">
        <f t="shared" si="110"/>
        <v>0.49690563938530008</v>
      </c>
      <c r="L1185" t="str">
        <f t="shared" si="113"/>
        <v>2024-12</v>
      </c>
      <c r="M1185">
        <f t="shared" si="111"/>
        <v>428.76000000000005</v>
      </c>
    </row>
    <row r="1186" spans="1:13" x14ac:dyDescent="0.25">
      <c r="A1186" s="1">
        <v>44771</v>
      </c>
      <c r="B1186" t="s">
        <v>16</v>
      </c>
      <c r="C1186" t="s">
        <v>15</v>
      </c>
      <c r="D1186" t="s">
        <v>18</v>
      </c>
      <c r="E1186">
        <v>1703.56</v>
      </c>
      <c r="F1186">
        <v>1377.62</v>
      </c>
      <c r="G1186">
        <v>5</v>
      </c>
      <c r="H1186">
        <f t="shared" si="108"/>
        <v>8517.7999999999993</v>
      </c>
      <c r="I1186">
        <f t="shared" si="112"/>
        <v>6888.0999999999995</v>
      </c>
      <c r="J1186">
        <f t="shared" si="109"/>
        <v>1629.6999999999998</v>
      </c>
      <c r="K1186" s="8">
        <f t="shared" si="110"/>
        <v>0.1913287468595177</v>
      </c>
      <c r="L1186" t="str">
        <f t="shared" si="113"/>
        <v>2022-07</v>
      </c>
      <c r="M1186">
        <f t="shared" si="111"/>
        <v>1629.6999999999998</v>
      </c>
    </row>
    <row r="1187" spans="1:13" x14ac:dyDescent="0.25">
      <c r="A1187" s="1">
        <v>44647</v>
      </c>
      <c r="B1187" t="s">
        <v>22</v>
      </c>
      <c r="C1187" t="s">
        <v>8</v>
      </c>
      <c r="D1187" t="s">
        <v>13</v>
      </c>
      <c r="E1187">
        <v>660.75</v>
      </c>
      <c r="F1187">
        <v>587.88</v>
      </c>
      <c r="G1187">
        <v>3</v>
      </c>
      <c r="H1187">
        <f t="shared" si="108"/>
        <v>1982.25</v>
      </c>
      <c r="I1187">
        <f t="shared" si="112"/>
        <v>1763.6399999999999</v>
      </c>
      <c r="J1187">
        <f t="shared" si="109"/>
        <v>218.61000000000013</v>
      </c>
      <c r="K1187" s="8">
        <f t="shared" si="110"/>
        <v>0.11028376844494898</v>
      </c>
      <c r="L1187" t="str">
        <f t="shared" si="113"/>
        <v>2022-03</v>
      </c>
      <c r="M1187">
        <f t="shared" si="111"/>
        <v>218.61000000000013</v>
      </c>
    </row>
    <row r="1188" spans="1:13" x14ac:dyDescent="0.25">
      <c r="A1188" s="1">
        <v>45465</v>
      </c>
      <c r="B1188" t="s">
        <v>10</v>
      </c>
      <c r="C1188" t="s">
        <v>11</v>
      </c>
      <c r="D1188" t="s">
        <v>17</v>
      </c>
      <c r="E1188">
        <v>572.75</v>
      </c>
      <c r="F1188">
        <v>305.81</v>
      </c>
      <c r="G1188">
        <v>5</v>
      </c>
      <c r="H1188">
        <f t="shared" si="108"/>
        <v>2863.75</v>
      </c>
      <c r="I1188">
        <f t="shared" si="112"/>
        <v>1529.05</v>
      </c>
      <c r="J1188">
        <f t="shared" si="109"/>
        <v>1334.7</v>
      </c>
      <c r="K1188" s="8">
        <f t="shared" si="110"/>
        <v>0.46606721955477959</v>
      </c>
      <c r="L1188" t="str">
        <f t="shared" si="113"/>
        <v>2024-06</v>
      </c>
      <c r="M1188">
        <f t="shared" si="111"/>
        <v>1334.7</v>
      </c>
    </row>
    <row r="1189" spans="1:13" x14ac:dyDescent="0.25">
      <c r="A1189" s="1">
        <v>45486</v>
      </c>
      <c r="B1189" t="s">
        <v>19</v>
      </c>
      <c r="C1189" t="s">
        <v>20</v>
      </c>
      <c r="D1189" t="s">
        <v>9</v>
      </c>
      <c r="E1189">
        <v>1469.54</v>
      </c>
      <c r="F1189">
        <v>1139.33</v>
      </c>
      <c r="G1189">
        <v>5</v>
      </c>
      <c r="H1189">
        <f t="shared" si="108"/>
        <v>7347.7</v>
      </c>
      <c r="I1189">
        <f t="shared" si="112"/>
        <v>5696.65</v>
      </c>
      <c r="J1189">
        <f t="shared" si="109"/>
        <v>1651.0500000000002</v>
      </c>
      <c r="K1189" s="8">
        <f t="shared" si="110"/>
        <v>0.22470296827578701</v>
      </c>
      <c r="L1189" t="str">
        <f t="shared" si="113"/>
        <v>2024-07</v>
      </c>
      <c r="M1189">
        <f t="shared" si="111"/>
        <v>1651.0500000000002</v>
      </c>
    </row>
    <row r="1190" spans="1:13" x14ac:dyDescent="0.25">
      <c r="A1190" s="1">
        <v>45254</v>
      </c>
      <c r="B1190" t="s">
        <v>25</v>
      </c>
      <c r="C1190" t="s">
        <v>15</v>
      </c>
      <c r="D1190" t="s">
        <v>18</v>
      </c>
      <c r="E1190">
        <v>371.35</v>
      </c>
      <c r="F1190">
        <v>321.42</v>
      </c>
      <c r="G1190">
        <v>4</v>
      </c>
      <c r="H1190">
        <f t="shared" si="108"/>
        <v>1485.4</v>
      </c>
      <c r="I1190">
        <f t="shared" si="112"/>
        <v>1285.68</v>
      </c>
      <c r="J1190">
        <f t="shared" si="109"/>
        <v>199.72000000000003</v>
      </c>
      <c r="K1190" s="8">
        <f t="shared" si="110"/>
        <v>0.13445536555809884</v>
      </c>
      <c r="L1190" t="str">
        <f t="shared" si="113"/>
        <v>2023-11</v>
      </c>
      <c r="M1190">
        <f t="shared" si="111"/>
        <v>199.72000000000003</v>
      </c>
    </row>
    <row r="1191" spans="1:13" x14ac:dyDescent="0.25">
      <c r="A1191" s="1">
        <v>45561</v>
      </c>
      <c r="B1191" t="s">
        <v>10</v>
      </c>
      <c r="C1191" t="s">
        <v>11</v>
      </c>
      <c r="D1191" t="s">
        <v>9</v>
      </c>
      <c r="E1191">
        <v>1225.5899999999999</v>
      </c>
      <c r="F1191">
        <v>926.96</v>
      </c>
      <c r="G1191">
        <v>3</v>
      </c>
      <c r="H1191">
        <f t="shared" si="108"/>
        <v>3676.7699999999995</v>
      </c>
      <c r="I1191">
        <f t="shared" si="112"/>
        <v>2780.88</v>
      </c>
      <c r="J1191">
        <f t="shared" si="109"/>
        <v>895.88999999999942</v>
      </c>
      <c r="K1191" s="8">
        <f t="shared" si="110"/>
        <v>0.24366223614748803</v>
      </c>
      <c r="L1191" t="str">
        <f t="shared" si="113"/>
        <v>2024-09</v>
      </c>
      <c r="M1191">
        <f t="shared" si="111"/>
        <v>895.88999999999942</v>
      </c>
    </row>
    <row r="1192" spans="1:13" x14ac:dyDescent="0.25">
      <c r="A1192" s="1">
        <v>45509</v>
      </c>
      <c r="B1192" t="s">
        <v>16</v>
      </c>
      <c r="C1192" t="s">
        <v>15</v>
      </c>
      <c r="D1192" t="s">
        <v>13</v>
      </c>
      <c r="E1192">
        <v>640.45000000000005</v>
      </c>
      <c r="F1192">
        <v>455.39</v>
      </c>
      <c r="G1192">
        <v>8</v>
      </c>
      <c r="H1192">
        <f t="shared" si="108"/>
        <v>5123.6000000000004</v>
      </c>
      <c r="I1192">
        <f t="shared" si="112"/>
        <v>3643.12</v>
      </c>
      <c r="J1192">
        <f t="shared" si="109"/>
        <v>1480.4800000000005</v>
      </c>
      <c r="K1192" s="8">
        <f t="shared" si="110"/>
        <v>0.2889530798657195</v>
      </c>
      <c r="L1192" t="str">
        <f t="shared" si="113"/>
        <v>2024-08</v>
      </c>
      <c r="M1192">
        <f t="shared" si="111"/>
        <v>1480.4800000000005</v>
      </c>
    </row>
    <row r="1193" spans="1:13" x14ac:dyDescent="0.25">
      <c r="A1193" s="1">
        <v>45463</v>
      </c>
      <c r="B1193" t="s">
        <v>21</v>
      </c>
      <c r="C1193" t="s">
        <v>20</v>
      </c>
      <c r="D1193" t="s">
        <v>9</v>
      </c>
      <c r="E1193">
        <v>1950.86</v>
      </c>
      <c r="F1193">
        <v>1583.78</v>
      </c>
      <c r="G1193">
        <v>4</v>
      </c>
      <c r="H1193">
        <f t="shared" si="108"/>
        <v>7803.44</v>
      </c>
      <c r="I1193">
        <f t="shared" si="112"/>
        <v>6335.12</v>
      </c>
      <c r="J1193">
        <f t="shared" si="109"/>
        <v>1468.3199999999997</v>
      </c>
      <c r="K1193" s="8">
        <f t="shared" si="110"/>
        <v>0.18816316906389999</v>
      </c>
      <c r="L1193" t="str">
        <f t="shared" si="113"/>
        <v>2024-06</v>
      </c>
      <c r="M1193">
        <f t="shared" si="111"/>
        <v>1468.3199999999997</v>
      </c>
    </row>
    <row r="1194" spans="1:13" x14ac:dyDescent="0.25">
      <c r="A1194" s="1">
        <v>44890</v>
      </c>
      <c r="B1194" t="s">
        <v>21</v>
      </c>
      <c r="C1194" t="s">
        <v>20</v>
      </c>
      <c r="D1194" t="s">
        <v>13</v>
      </c>
      <c r="E1194">
        <v>1668.94</v>
      </c>
      <c r="F1194">
        <v>1009.24</v>
      </c>
      <c r="G1194">
        <v>6</v>
      </c>
      <c r="H1194">
        <f t="shared" si="108"/>
        <v>10013.64</v>
      </c>
      <c r="I1194">
        <f t="shared" si="112"/>
        <v>6055.4400000000005</v>
      </c>
      <c r="J1194">
        <f t="shared" si="109"/>
        <v>3958.1999999999989</v>
      </c>
      <c r="K1194" s="8">
        <f t="shared" si="110"/>
        <v>0.39528083693841592</v>
      </c>
      <c r="L1194" t="str">
        <f t="shared" si="113"/>
        <v>2022-11</v>
      </c>
      <c r="M1194">
        <f t="shared" si="111"/>
        <v>3958.1999999999989</v>
      </c>
    </row>
    <row r="1195" spans="1:13" x14ac:dyDescent="0.25">
      <c r="A1195" s="1">
        <v>45023</v>
      </c>
      <c r="B1195" t="s">
        <v>12</v>
      </c>
      <c r="C1195" t="s">
        <v>8</v>
      </c>
      <c r="D1195" t="s">
        <v>17</v>
      </c>
      <c r="E1195">
        <v>870.56</v>
      </c>
      <c r="F1195">
        <v>647</v>
      </c>
      <c r="G1195">
        <v>8</v>
      </c>
      <c r="H1195">
        <f t="shared" si="108"/>
        <v>6964.48</v>
      </c>
      <c r="I1195">
        <f t="shared" si="112"/>
        <v>5176</v>
      </c>
      <c r="J1195">
        <f t="shared" si="109"/>
        <v>1788.4799999999996</v>
      </c>
      <c r="K1195" s="8">
        <f t="shared" si="110"/>
        <v>0.25680022054769341</v>
      </c>
      <c r="L1195" t="str">
        <f t="shared" si="113"/>
        <v>2023-04</v>
      </c>
      <c r="M1195">
        <f t="shared" si="111"/>
        <v>1788.4799999999996</v>
      </c>
    </row>
    <row r="1196" spans="1:13" x14ac:dyDescent="0.25">
      <c r="A1196" s="1">
        <v>45042</v>
      </c>
      <c r="B1196" t="s">
        <v>24</v>
      </c>
      <c r="C1196" t="s">
        <v>20</v>
      </c>
      <c r="D1196" t="s">
        <v>17</v>
      </c>
      <c r="E1196">
        <v>1683.06</v>
      </c>
      <c r="F1196">
        <v>1475.59</v>
      </c>
      <c r="G1196">
        <v>9</v>
      </c>
      <c r="H1196">
        <f t="shared" si="108"/>
        <v>15147.539999999999</v>
      </c>
      <c r="I1196">
        <f t="shared" si="112"/>
        <v>13280.31</v>
      </c>
      <c r="J1196">
        <f t="shared" si="109"/>
        <v>1867.2299999999996</v>
      </c>
      <c r="K1196" s="8">
        <f t="shared" si="110"/>
        <v>0.12326952099152731</v>
      </c>
      <c r="L1196" t="str">
        <f t="shared" si="113"/>
        <v>2023-04</v>
      </c>
      <c r="M1196">
        <f t="shared" si="111"/>
        <v>1867.2299999999996</v>
      </c>
    </row>
    <row r="1197" spans="1:13" x14ac:dyDescent="0.25">
      <c r="A1197" s="1">
        <v>44791</v>
      </c>
      <c r="B1197" t="s">
        <v>25</v>
      </c>
      <c r="C1197" t="s">
        <v>15</v>
      </c>
      <c r="D1197" t="s">
        <v>17</v>
      </c>
      <c r="E1197">
        <v>1833.44</v>
      </c>
      <c r="F1197">
        <v>1497.04</v>
      </c>
      <c r="G1197">
        <v>7</v>
      </c>
      <c r="H1197">
        <f t="shared" si="108"/>
        <v>12834.08</v>
      </c>
      <c r="I1197">
        <f t="shared" si="112"/>
        <v>10479.279999999999</v>
      </c>
      <c r="J1197">
        <f t="shared" si="109"/>
        <v>2354.8000000000011</v>
      </c>
      <c r="K1197" s="8">
        <f t="shared" si="110"/>
        <v>0.18348023387730178</v>
      </c>
      <c r="L1197" t="str">
        <f t="shared" si="113"/>
        <v>2022-08</v>
      </c>
      <c r="M1197">
        <f t="shared" si="111"/>
        <v>2354.8000000000011</v>
      </c>
    </row>
    <row r="1198" spans="1:13" x14ac:dyDescent="0.25">
      <c r="A1198" s="1">
        <v>44713</v>
      </c>
      <c r="B1198" t="s">
        <v>24</v>
      </c>
      <c r="C1198" t="s">
        <v>20</v>
      </c>
      <c r="D1198" t="s">
        <v>18</v>
      </c>
      <c r="E1198">
        <v>1595.51</v>
      </c>
      <c r="F1198">
        <v>1228.83</v>
      </c>
      <c r="G1198">
        <v>7</v>
      </c>
      <c r="H1198">
        <f t="shared" si="108"/>
        <v>11168.57</v>
      </c>
      <c r="I1198">
        <f t="shared" si="112"/>
        <v>8601.81</v>
      </c>
      <c r="J1198">
        <f t="shared" si="109"/>
        <v>2566.7600000000002</v>
      </c>
      <c r="K1198" s="8">
        <f t="shared" si="110"/>
        <v>0.22981993218469332</v>
      </c>
      <c r="L1198" t="str">
        <f t="shared" si="113"/>
        <v>2022-06</v>
      </c>
      <c r="M1198">
        <f t="shared" si="111"/>
        <v>2566.7600000000002</v>
      </c>
    </row>
    <row r="1199" spans="1:13" x14ac:dyDescent="0.25">
      <c r="A1199" s="1">
        <v>45237</v>
      </c>
      <c r="B1199" t="s">
        <v>12</v>
      </c>
      <c r="C1199" t="s">
        <v>8</v>
      </c>
      <c r="D1199" t="s">
        <v>18</v>
      </c>
      <c r="E1199">
        <v>1081.94</v>
      </c>
      <c r="F1199">
        <v>788.28</v>
      </c>
      <c r="G1199">
        <v>1</v>
      </c>
      <c r="H1199">
        <f t="shared" si="108"/>
        <v>1081.94</v>
      </c>
      <c r="I1199">
        <f t="shared" si="112"/>
        <v>788.28</v>
      </c>
      <c r="J1199">
        <f t="shared" si="109"/>
        <v>293.66000000000008</v>
      </c>
      <c r="K1199" s="8">
        <f t="shared" si="110"/>
        <v>0.27141985692367421</v>
      </c>
      <c r="L1199" t="str">
        <f t="shared" si="113"/>
        <v>2023-11</v>
      </c>
      <c r="M1199">
        <f t="shared" si="111"/>
        <v>293.66000000000008</v>
      </c>
    </row>
    <row r="1200" spans="1:13" x14ac:dyDescent="0.25">
      <c r="A1200" s="1">
        <v>44705</v>
      </c>
      <c r="B1200" t="s">
        <v>7</v>
      </c>
      <c r="C1200" t="s">
        <v>8</v>
      </c>
      <c r="D1200" t="s">
        <v>18</v>
      </c>
      <c r="E1200">
        <v>228.08</v>
      </c>
      <c r="F1200">
        <v>181.28</v>
      </c>
      <c r="G1200">
        <v>3</v>
      </c>
      <c r="H1200">
        <f t="shared" si="108"/>
        <v>684.24</v>
      </c>
      <c r="I1200">
        <f t="shared" si="112"/>
        <v>543.84</v>
      </c>
      <c r="J1200">
        <f t="shared" si="109"/>
        <v>140.39999999999998</v>
      </c>
      <c r="K1200" s="8">
        <f t="shared" si="110"/>
        <v>0.20519116099614168</v>
      </c>
      <c r="L1200" t="str">
        <f t="shared" si="113"/>
        <v>2022-05</v>
      </c>
      <c r="M1200">
        <f t="shared" si="111"/>
        <v>140.39999999999998</v>
      </c>
    </row>
    <row r="1201" spans="1:13" x14ac:dyDescent="0.25">
      <c r="A1201" s="1">
        <v>45211</v>
      </c>
      <c r="B1201" t="s">
        <v>23</v>
      </c>
      <c r="C1201" t="s">
        <v>11</v>
      </c>
      <c r="D1201" t="s">
        <v>18</v>
      </c>
      <c r="E1201">
        <v>1395.03</v>
      </c>
      <c r="F1201">
        <v>1043.8900000000001</v>
      </c>
      <c r="G1201">
        <v>6</v>
      </c>
      <c r="H1201">
        <f t="shared" si="108"/>
        <v>8370.18</v>
      </c>
      <c r="I1201">
        <f t="shared" si="112"/>
        <v>6263.34</v>
      </c>
      <c r="J1201">
        <f t="shared" si="109"/>
        <v>2106.84</v>
      </c>
      <c r="K1201" s="8">
        <f t="shared" si="110"/>
        <v>0.25170784857673312</v>
      </c>
      <c r="L1201" t="str">
        <f t="shared" si="113"/>
        <v>2023-10</v>
      </c>
      <c r="M1201">
        <f t="shared" si="111"/>
        <v>2106.84</v>
      </c>
    </row>
    <row r="1202" spans="1:13" x14ac:dyDescent="0.25">
      <c r="A1202" s="1">
        <v>45001</v>
      </c>
      <c r="B1202" t="s">
        <v>12</v>
      </c>
      <c r="C1202" t="s">
        <v>8</v>
      </c>
      <c r="D1202" t="s">
        <v>13</v>
      </c>
      <c r="E1202">
        <v>220.24</v>
      </c>
      <c r="F1202">
        <v>181.23</v>
      </c>
      <c r="G1202">
        <v>2</v>
      </c>
      <c r="H1202">
        <f t="shared" si="108"/>
        <v>440.48</v>
      </c>
      <c r="I1202">
        <f t="shared" si="112"/>
        <v>362.46</v>
      </c>
      <c r="J1202">
        <f t="shared" si="109"/>
        <v>78.020000000000039</v>
      </c>
      <c r="K1202" s="8">
        <f t="shared" si="110"/>
        <v>0.17712495459498737</v>
      </c>
      <c r="L1202" t="str">
        <f t="shared" si="113"/>
        <v>2023-03</v>
      </c>
      <c r="M1202">
        <f t="shared" si="111"/>
        <v>78.020000000000039</v>
      </c>
    </row>
    <row r="1203" spans="1:13" x14ac:dyDescent="0.25">
      <c r="A1203" s="1">
        <v>44590</v>
      </c>
      <c r="B1203" t="s">
        <v>7</v>
      </c>
      <c r="C1203" t="s">
        <v>8</v>
      </c>
      <c r="D1203" t="s">
        <v>18</v>
      </c>
      <c r="E1203">
        <v>1546.98</v>
      </c>
      <c r="F1203">
        <v>1034.73</v>
      </c>
      <c r="G1203">
        <v>10</v>
      </c>
      <c r="H1203">
        <f t="shared" si="108"/>
        <v>15469.8</v>
      </c>
      <c r="I1203">
        <f t="shared" si="112"/>
        <v>10347.299999999999</v>
      </c>
      <c r="J1203">
        <f t="shared" si="109"/>
        <v>5122.5</v>
      </c>
      <c r="K1203" s="8">
        <f t="shared" si="110"/>
        <v>0.33112903851374936</v>
      </c>
      <c r="L1203" t="str">
        <f t="shared" si="113"/>
        <v>2022-01</v>
      </c>
      <c r="M1203">
        <f t="shared" si="111"/>
        <v>5122.5</v>
      </c>
    </row>
    <row r="1204" spans="1:13" x14ac:dyDescent="0.25">
      <c r="A1204" s="1">
        <v>44825</v>
      </c>
      <c r="B1204" t="s">
        <v>21</v>
      </c>
      <c r="C1204" t="s">
        <v>20</v>
      </c>
      <c r="D1204" t="s">
        <v>13</v>
      </c>
      <c r="E1204">
        <v>1726.63</v>
      </c>
      <c r="F1204">
        <v>1226.56</v>
      </c>
      <c r="G1204">
        <v>5</v>
      </c>
      <c r="H1204">
        <f t="shared" si="108"/>
        <v>8633.1500000000015</v>
      </c>
      <c r="I1204">
        <f t="shared" si="112"/>
        <v>6132.7999999999993</v>
      </c>
      <c r="J1204">
        <f t="shared" si="109"/>
        <v>2500.3500000000022</v>
      </c>
      <c r="K1204" s="8">
        <f t="shared" si="110"/>
        <v>0.28962198038954517</v>
      </c>
      <c r="L1204" t="str">
        <f t="shared" si="113"/>
        <v>2022-09</v>
      </c>
      <c r="M1204">
        <f t="shared" si="111"/>
        <v>2500.3500000000022</v>
      </c>
    </row>
    <row r="1205" spans="1:13" x14ac:dyDescent="0.25">
      <c r="A1205" s="1">
        <v>45042</v>
      </c>
      <c r="B1205" t="s">
        <v>24</v>
      </c>
      <c r="C1205" t="s">
        <v>20</v>
      </c>
      <c r="D1205" t="s">
        <v>18</v>
      </c>
      <c r="E1205">
        <v>1872.24</v>
      </c>
      <c r="F1205">
        <v>1637.72</v>
      </c>
      <c r="G1205">
        <v>6</v>
      </c>
      <c r="H1205">
        <f t="shared" si="108"/>
        <v>11233.44</v>
      </c>
      <c r="I1205">
        <f t="shared" si="112"/>
        <v>9826.32</v>
      </c>
      <c r="J1205">
        <f t="shared" si="109"/>
        <v>1407.1200000000008</v>
      </c>
      <c r="K1205" s="8">
        <f t="shared" si="110"/>
        <v>0.12526171858308771</v>
      </c>
      <c r="L1205" t="str">
        <f t="shared" si="113"/>
        <v>2023-04</v>
      </c>
      <c r="M1205">
        <f t="shared" si="111"/>
        <v>1407.1200000000008</v>
      </c>
    </row>
    <row r="1206" spans="1:13" x14ac:dyDescent="0.25">
      <c r="A1206" s="1">
        <v>45084</v>
      </c>
      <c r="B1206" t="s">
        <v>23</v>
      </c>
      <c r="C1206" t="s">
        <v>11</v>
      </c>
      <c r="D1206" t="s">
        <v>18</v>
      </c>
      <c r="E1206">
        <v>1430.45</v>
      </c>
      <c r="F1206">
        <v>1083.67</v>
      </c>
      <c r="G1206">
        <v>3</v>
      </c>
      <c r="H1206">
        <f t="shared" si="108"/>
        <v>4291.3500000000004</v>
      </c>
      <c r="I1206">
        <f t="shared" si="112"/>
        <v>3251.01</v>
      </c>
      <c r="J1206">
        <f t="shared" si="109"/>
        <v>1040.3400000000001</v>
      </c>
      <c r="K1206" s="8">
        <f t="shared" si="110"/>
        <v>0.24242720822118916</v>
      </c>
      <c r="L1206" t="str">
        <f t="shared" si="113"/>
        <v>2023-06</v>
      </c>
      <c r="M1206">
        <f t="shared" si="111"/>
        <v>1040.3400000000001</v>
      </c>
    </row>
    <row r="1207" spans="1:13" x14ac:dyDescent="0.25">
      <c r="A1207" s="1">
        <v>45204</v>
      </c>
      <c r="B1207" t="s">
        <v>7</v>
      </c>
      <c r="C1207" t="s">
        <v>8</v>
      </c>
      <c r="D1207" t="s">
        <v>13</v>
      </c>
      <c r="E1207">
        <v>863.82</v>
      </c>
      <c r="F1207">
        <v>504.94</v>
      </c>
      <c r="G1207">
        <v>6</v>
      </c>
      <c r="H1207">
        <f t="shared" si="108"/>
        <v>5182.92</v>
      </c>
      <c r="I1207">
        <f t="shared" si="112"/>
        <v>3029.64</v>
      </c>
      <c r="J1207">
        <f t="shared" si="109"/>
        <v>2153.2800000000002</v>
      </c>
      <c r="K1207" s="8">
        <f t="shared" si="110"/>
        <v>0.41545692389618211</v>
      </c>
      <c r="L1207" t="str">
        <f t="shared" si="113"/>
        <v>2023-10</v>
      </c>
      <c r="M1207">
        <f t="shared" si="111"/>
        <v>2153.2800000000002</v>
      </c>
    </row>
    <row r="1208" spans="1:13" x14ac:dyDescent="0.25">
      <c r="A1208" s="1">
        <v>44855</v>
      </c>
      <c r="B1208" t="s">
        <v>24</v>
      </c>
      <c r="C1208" t="s">
        <v>20</v>
      </c>
      <c r="D1208" t="s">
        <v>9</v>
      </c>
      <c r="E1208">
        <v>40.79</v>
      </c>
      <c r="F1208">
        <v>24.18</v>
      </c>
      <c r="G1208">
        <v>9</v>
      </c>
      <c r="H1208">
        <f t="shared" si="108"/>
        <v>367.11</v>
      </c>
      <c r="I1208">
        <f t="shared" si="112"/>
        <v>217.62</v>
      </c>
      <c r="J1208">
        <f t="shared" si="109"/>
        <v>149.49</v>
      </c>
      <c r="K1208" s="8">
        <f t="shared" si="110"/>
        <v>0.40720764893356215</v>
      </c>
      <c r="L1208" t="str">
        <f t="shared" si="113"/>
        <v>2022-10</v>
      </c>
      <c r="M1208">
        <f t="shared" si="111"/>
        <v>149.49</v>
      </c>
    </row>
    <row r="1209" spans="1:13" x14ac:dyDescent="0.25">
      <c r="A1209" s="1">
        <v>45638</v>
      </c>
      <c r="B1209" t="s">
        <v>12</v>
      </c>
      <c r="C1209" t="s">
        <v>8</v>
      </c>
      <c r="D1209" t="s">
        <v>18</v>
      </c>
      <c r="E1209">
        <v>834.6</v>
      </c>
      <c r="F1209">
        <v>741.94</v>
      </c>
      <c r="G1209">
        <v>1</v>
      </c>
      <c r="H1209">
        <f t="shared" si="108"/>
        <v>834.6</v>
      </c>
      <c r="I1209">
        <f t="shared" si="112"/>
        <v>741.94</v>
      </c>
      <c r="J1209">
        <f t="shared" si="109"/>
        <v>92.659999999999968</v>
      </c>
      <c r="K1209" s="8">
        <f t="shared" si="110"/>
        <v>0.11102324466810444</v>
      </c>
      <c r="L1209" t="str">
        <f t="shared" si="113"/>
        <v>2024-12</v>
      </c>
      <c r="M1209">
        <f t="shared" si="111"/>
        <v>92.659999999999968</v>
      </c>
    </row>
    <row r="1210" spans="1:13" x14ac:dyDescent="0.25">
      <c r="A1210" s="1">
        <v>45049</v>
      </c>
      <c r="B1210" t="s">
        <v>25</v>
      </c>
      <c r="C1210" t="s">
        <v>15</v>
      </c>
      <c r="D1210" t="s">
        <v>17</v>
      </c>
      <c r="E1210">
        <v>1672.96</v>
      </c>
      <c r="F1210">
        <v>1106.3800000000001</v>
      </c>
      <c r="G1210">
        <v>9</v>
      </c>
      <c r="H1210">
        <f t="shared" si="108"/>
        <v>15056.64</v>
      </c>
      <c r="I1210">
        <f t="shared" si="112"/>
        <v>9957.4200000000019</v>
      </c>
      <c r="J1210">
        <f t="shared" si="109"/>
        <v>5099.2199999999975</v>
      </c>
      <c r="K1210" s="8">
        <f t="shared" si="110"/>
        <v>0.33866918515684757</v>
      </c>
      <c r="L1210" t="str">
        <f t="shared" si="113"/>
        <v>2023-05</v>
      </c>
      <c r="M1210">
        <f t="shared" si="111"/>
        <v>5099.2199999999975</v>
      </c>
    </row>
    <row r="1211" spans="1:13" x14ac:dyDescent="0.25">
      <c r="A1211" s="1">
        <v>44919</v>
      </c>
      <c r="B1211" t="s">
        <v>14</v>
      </c>
      <c r="C1211" t="s">
        <v>15</v>
      </c>
      <c r="D1211" t="s">
        <v>18</v>
      </c>
      <c r="E1211">
        <v>1928.91</v>
      </c>
      <c r="F1211">
        <v>1183.69</v>
      </c>
      <c r="G1211">
        <v>7</v>
      </c>
      <c r="H1211">
        <f t="shared" si="108"/>
        <v>13502.37</v>
      </c>
      <c r="I1211">
        <f t="shared" si="112"/>
        <v>8285.83</v>
      </c>
      <c r="J1211">
        <f t="shared" si="109"/>
        <v>5216.5400000000009</v>
      </c>
      <c r="K1211" s="8">
        <f t="shared" si="110"/>
        <v>0.38634254579010946</v>
      </c>
      <c r="L1211" t="str">
        <f t="shared" si="113"/>
        <v>2022-12</v>
      </c>
      <c r="M1211">
        <f t="shared" si="111"/>
        <v>5216.5400000000009</v>
      </c>
    </row>
    <row r="1212" spans="1:13" x14ac:dyDescent="0.25">
      <c r="A1212" s="1">
        <v>45215</v>
      </c>
      <c r="B1212" t="s">
        <v>24</v>
      </c>
      <c r="C1212" t="s">
        <v>20</v>
      </c>
      <c r="D1212" t="s">
        <v>13</v>
      </c>
      <c r="E1212">
        <v>1895.32</v>
      </c>
      <c r="F1212">
        <v>1645.33</v>
      </c>
      <c r="G1212">
        <v>3</v>
      </c>
      <c r="H1212">
        <f t="shared" si="108"/>
        <v>5685.96</v>
      </c>
      <c r="I1212">
        <f t="shared" si="112"/>
        <v>4935.99</v>
      </c>
      <c r="J1212">
        <f t="shared" si="109"/>
        <v>749.97000000000025</v>
      </c>
      <c r="K1212" s="8">
        <f t="shared" si="110"/>
        <v>0.13189857121752532</v>
      </c>
      <c r="L1212" t="str">
        <f t="shared" si="113"/>
        <v>2023-10</v>
      </c>
      <c r="M1212">
        <f t="shared" si="111"/>
        <v>749.97000000000025</v>
      </c>
    </row>
    <row r="1213" spans="1:13" x14ac:dyDescent="0.25">
      <c r="A1213" s="1">
        <v>45090</v>
      </c>
      <c r="B1213" t="s">
        <v>19</v>
      </c>
      <c r="C1213" t="s">
        <v>20</v>
      </c>
      <c r="D1213" t="s">
        <v>18</v>
      </c>
      <c r="E1213">
        <v>1971.12</v>
      </c>
      <c r="F1213">
        <v>1076.1199999999999</v>
      </c>
      <c r="G1213">
        <v>7</v>
      </c>
      <c r="H1213">
        <f t="shared" si="108"/>
        <v>13797.84</v>
      </c>
      <c r="I1213">
        <f t="shared" si="112"/>
        <v>7532.8399999999992</v>
      </c>
      <c r="J1213">
        <f t="shared" si="109"/>
        <v>6265.0000000000009</v>
      </c>
      <c r="K1213" s="8">
        <f t="shared" si="110"/>
        <v>0.45405657697146806</v>
      </c>
      <c r="L1213" t="str">
        <f t="shared" si="113"/>
        <v>2023-06</v>
      </c>
      <c r="M1213">
        <f t="shared" si="111"/>
        <v>6265.0000000000009</v>
      </c>
    </row>
    <row r="1214" spans="1:13" x14ac:dyDescent="0.25">
      <c r="A1214" s="1">
        <v>44856</v>
      </c>
      <c r="B1214" t="s">
        <v>25</v>
      </c>
      <c r="C1214" t="s">
        <v>15</v>
      </c>
      <c r="D1214" t="s">
        <v>18</v>
      </c>
      <c r="E1214">
        <v>1498.56</v>
      </c>
      <c r="F1214">
        <v>847.61</v>
      </c>
      <c r="G1214">
        <v>8</v>
      </c>
      <c r="H1214">
        <f t="shared" si="108"/>
        <v>11988.48</v>
      </c>
      <c r="I1214">
        <f t="shared" si="112"/>
        <v>6780.88</v>
      </c>
      <c r="J1214">
        <f t="shared" si="109"/>
        <v>5207.5999999999995</v>
      </c>
      <c r="K1214" s="8">
        <f t="shared" si="110"/>
        <v>0.43438367499466152</v>
      </c>
      <c r="L1214" t="str">
        <f t="shared" si="113"/>
        <v>2022-10</v>
      </c>
      <c r="M1214">
        <f t="shared" si="111"/>
        <v>5207.5999999999995</v>
      </c>
    </row>
    <row r="1215" spans="1:13" x14ac:dyDescent="0.25">
      <c r="A1215" s="1">
        <v>45605</v>
      </c>
      <c r="B1215" t="s">
        <v>16</v>
      </c>
      <c r="C1215" t="s">
        <v>15</v>
      </c>
      <c r="D1215" t="s">
        <v>9</v>
      </c>
      <c r="E1215">
        <v>787.7</v>
      </c>
      <c r="F1215">
        <v>529.76</v>
      </c>
      <c r="G1215">
        <v>5</v>
      </c>
      <c r="H1215">
        <f t="shared" si="108"/>
        <v>3938.5</v>
      </c>
      <c r="I1215">
        <f t="shared" si="112"/>
        <v>2648.8</v>
      </c>
      <c r="J1215">
        <f t="shared" si="109"/>
        <v>1289.6999999999998</v>
      </c>
      <c r="K1215" s="8">
        <f t="shared" si="110"/>
        <v>0.32745969277643766</v>
      </c>
      <c r="L1215" t="str">
        <f t="shared" si="113"/>
        <v>2024-11</v>
      </c>
      <c r="M1215">
        <f t="shared" si="111"/>
        <v>1289.6999999999998</v>
      </c>
    </row>
    <row r="1216" spans="1:13" x14ac:dyDescent="0.25">
      <c r="A1216" s="1">
        <v>44754</v>
      </c>
      <c r="B1216" t="s">
        <v>25</v>
      </c>
      <c r="C1216" t="s">
        <v>15</v>
      </c>
      <c r="D1216" t="s">
        <v>13</v>
      </c>
      <c r="E1216">
        <v>989.34</v>
      </c>
      <c r="F1216">
        <v>498.9</v>
      </c>
      <c r="G1216">
        <v>1</v>
      </c>
      <c r="H1216">
        <f t="shared" si="108"/>
        <v>989.34</v>
      </c>
      <c r="I1216">
        <f t="shared" si="112"/>
        <v>498.9</v>
      </c>
      <c r="J1216">
        <f t="shared" si="109"/>
        <v>490.44000000000005</v>
      </c>
      <c r="K1216" s="8">
        <f t="shared" si="110"/>
        <v>0.49572442234216757</v>
      </c>
      <c r="L1216" t="str">
        <f t="shared" si="113"/>
        <v>2022-07</v>
      </c>
      <c r="M1216">
        <f t="shared" si="111"/>
        <v>490.44000000000005</v>
      </c>
    </row>
    <row r="1217" spans="1:13" x14ac:dyDescent="0.25">
      <c r="A1217" s="1">
        <v>44600</v>
      </c>
      <c r="B1217" t="s">
        <v>14</v>
      </c>
      <c r="C1217" t="s">
        <v>15</v>
      </c>
      <c r="D1217" t="s">
        <v>17</v>
      </c>
      <c r="E1217">
        <v>1804.66</v>
      </c>
      <c r="F1217">
        <v>1143.98</v>
      </c>
      <c r="G1217">
        <v>4</v>
      </c>
      <c r="H1217">
        <f t="shared" si="108"/>
        <v>7218.64</v>
      </c>
      <c r="I1217">
        <f t="shared" si="112"/>
        <v>4575.92</v>
      </c>
      <c r="J1217">
        <f t="shared" si="109"/>
        <v>2642.7200000000003</v>
      </c>
      <c r="K1217" s="8">
        <f t="shared" si="110"/>
        <v>0.36609666086686693</v>
      </c>
      <c r="L1217" t="str">
        <f t="shared" si="113"/>
        <v>2022-02</v>
      </c>
      <c r="M1217">
        <f t="shared" si="111"/>
        <v>2642.7200000000003</v>
      </c>
    </row>
    <row r="1218" spans="1:13" x14ac:dyDescent="0.25">
      <c r="A1218" s="1">
        <v>44938</v>
      </c>
      <c r="B1218" t="s">
        <v>21</v>
      </c>
      <c r="C1218" t="s">
        <v>20</v>
      </c>
      <c r="D1218" t="s">
        <v>9</v>
      </c>
      <c r="E1218">
        <v>176.09</v>
      </c>
      <c r="F1218">
        <v>145.4</v>
      </c>
      <c r="G1218">
        <v>6</v>
      </c>
      <c r="H1218">
        <f t="shared" si="108"/>
        <v>1056.54</v>
      </c>
      <c r="I1218">
        <f t="shared" si="112"/>
        <v>872.40000000000009</v>
      </c>
      <c r="J1218">
        <f t="shared" si="109"/>
        <v>184.13999999999987</v>
      </c>
      <c r="K1218" s="8">
        <f t="shared" si="110"/>
        <v>0.17428587654040537</v>
      </c>
      <c r="L1218" t="str">
        <f t="shared" si="113"/>
        <v>2023-01</v>
      </c>
      <c r="M1218">
        <f t="shared" si="111"/>
        <v>184.13999999999987</v>
      </c>
    </row>
    <row r="1219" spans="1:13" x14ac:dyDescent="0.25">
      <c r="A1219" s="1">
        <v>45177</v>
      </c>
      <c r="B1219" t="s">
        <v>12</v>
      </c>
      <c r="C1219" t="s">
        <v>8</v>
      </c>
      <c r="D1219" t="s">
        <v>17</v>
      </c>
      <c r="E1219">
        <v>982.46</v>
      </c>
      <c r="F1219">
        <v>815.63</v>
      </c>
      <c r="G1219">
        <v>7</v>
      </c>
      <c r="H1219">
        <f t="shared" ref="H1219:H1282" si="114">E1219*G1219</f>
        <v>6877.22</v>
      </c>
      <c r="I1219">
        <f t="shared" si="112"/>
        <v>5709.41</v>
      </c>
      <c r="J1219">
        <f t="shared" ref="J1219:J1282" si="115">H1219-I1219</f>
        <v>1167.8100000000004</v>
      </c>
      <c r="K1219" s="8">
        <f t="shared" ref="K1219:K1282" si="116">(H1219-I1219)/H1219</f>
        <v>0.16980844003827134</v>
      </c>
      <c r="L1219" t="str">
        <f t="shared" si="113"/>
        <v>2023-09</v>
      </c>
      <c r="M1219">
        <f t="shared" ref="M1219:M1282" si="117">H1219-I1219</f>
        <v>1167.8100000000004</v>
      </c>
    </row>
    <row r="1220" spans="1:13" x14ac:dyDescent="0.25">
      <c r="A1220" s="1">
        <v>44904</v>
      </c>
      <c r="B1220" t="s">
        <v>21</v>
      </c>
      <c r="C1220" t="s">
        <v>20</v>
      </c>
      <c r="D1220" t="s">
        <v>17</v>
      </c>
      <c r="E1220">
        <v>1535.03</v>
      </c>
      <c r="F1220">
        <v>1271.44</v>
      </c>
      <c r="G1220">
        <v>10</v>
      </c>
      <c r="H1220">
        <f t="shared" si="114"/>
        <v>15350.3</v>
      </c>
      <c r="I1220">
        <f t="shared" ref="I1220:I1283" si="118">F1220*G1220</f>
        <v>12714.400000000001</v>
      </c>
      <c r="J1220">
        <f t="shared" si="115"/>
        <v>2635.8999999999978</v>
      </c>
      <c r="K1220" s="8">
        <f t="shared" si="116"/>
        <v>0.17171651368377153</v>
      </c>
      <c r="L1220" t="str">
        <f t="shared" ref="L1220:L1283" si="119">TEXT(A1220,"rrrr-mm")</f>
        <v>2022-12</v>
      </c>
      <c r="M1220">
        <f t="shared" si="117"/>
        <v>2635.8999999999978</v>
      </c>
    </row>
    <row r="1221" spans="1:13" x14ac:dyDescent="0.25">
      <c r="A1221" s="1">
        <v>44592</v>
      </c>
      <c r="B1221" t="s">
        <v>24</v>
      </c>
      <c r="C1221" t="s">
        <v>20</v>
      </c>
      <c r="D1221" t="s">
        <v>18</v>
      </c>
      <c r="E1221">
        <v>249.26</v>
      </c>
      <c r="F1221">
        <v>183.82</v>
      </c>
      <c r="G1221">
        <v>3</v>
      </c>
      <c r="H1221">
        <f t="shared" si="114"/>
        <v>747.78</v>
      </c>
      <c r="I1221">
        <f t="shared" si="118"/>
        <v>551.46</v>
      </c>
      <c r="J1221">
        <f t="shared" si="115"/>
        <v>196.31999999999994</v>
      </c>
      <c r="K1221" s="8">
        <f t="shared" si="116"/>
        <v>0.26253710984514156</v>
      </c>
      <c r="L1221" t="str">
        <f t="shared" si="119"/>
        <v>2022-01</v>
      </c>
      <c r="M1221">
        <f t="shared" si="117"/>
        <v>196.31999999999994</v>
      </c>
    </row>
    <row r="1222" spans="1:13" x14ac:dyDescent="0.25">
      <c r="A1222" s="1">
        <v>45531</v>
      </c>
      <c r="B1222" t="s">
        <v>12</v>
      </c>
      <c r="C1222" t="s">
        <v>8</v>
      </c>
      <c r="D1222" t="s">
        <v>17</v>
      </c>
      <c r="E1222">
        <v>1641.43</v>
      </c>
      <c r="F1222">
        <v>1301.99</v>
      </c>
      <c r="G1222">
        <v>9</v>
      </c>
      <c r="H1222">
        <f t="shared" si="114"/>
        <v>14772.87</v>
      </c>
      <c r="I1222">
        <f t="shared" si="118"/>
        <v>11717.91</v>
      </c>
      <c r="J1222">
        <f t="shared" si="115"/>
        <v>3054.9600000000009</v>
      </c>
      <c r="K1222" s="8">
        <f t="shared" si="116"/>
        <v>0.20679529434700236</v>
      </c>
      <c r="L1222" t="str">
        <f t="shared" si="119"/>
        <v>2024-08</v>
      </c>
      <c r="M1222">
        <f t="shared" si="117"/>
        <v>3054.9600000000009</v>
      </c>
    </row>
    <row r="1223" spans="1:13" x14ac:dyDescent="0.25">
      <c r="A1223" s="1">
        <v>45448</v>
      </c>
      <c r="B1223" t="s">
        <v>21</v>
      </c>
      <c r="C1223" t="s">
        <v>20</v>
      </c>
      <c r="D1223" t="s">
        <v>17</v>
      </c>
      <c r="E1223">
        <v>1923.3</v>
      </c>
      <c r="F1223">
        <v>1254.73</v>
      </c>
      <c r="G1223">
        <v>7</v>
      </c>
      <c r="H1223">
        <f t="shared" si="114"/>
        <v>13463.1</v>
      </c>
      <c r="I1223">
        <f t="shared" si="118"/>
        <v>8783.11</v>
      </c>
      <c r="J1223">
        <f t="shared" si="115"/>
        <v>4679.99</v>
      </c>
      <c r="K1223" s="8">
        <f t="shared" si="116"/>
        <v>0.34761607653512189</v>
      </c>
      <c r="L1223" t="str">
        <f t="shared" si="119"/>
        <v>2024-06</v>
      </c>
      <c r="M1223">
        <f t="shared" si="117"/>
        <v>4679.99</v>
      </c>
    </row>
    <row r="1224" spans="1:13" x14ac:dyDescent="0.25">
      <c r="A1224" s="1">
        <v>45465</v>
      </c>
      <c r="B1224" t="s">
        <v>22</v>
      </c>
      <c r="C1224" t="s">
        <v>8</v>
      </c>
      <c r="D1224" t="s">
        <v>13</v>
      </c>
      <c r="E1224">
        <v>445.09</v>
      </c>
      <c r="F1224">
        <v>346.71</v>
      </c>
      <c r="G1224">
        <v>10</v>
      </c>
      <c r="H1224">
        <f t="shared" si="114"/>
        <v>4450.8999999999996</v>
      </c>
      <c r="I1224">
        <f t="shared" si="118"/>
        <v>3467.1</v>
      </c>
      <c r="J1224">
        <f t="shared" si="115"/>
        <v>983.79999999999973</v>
      </c>
      <c r="K1224" s="8">
        <f t="shared" si="116"/>
        <v>0.22103394819025363</v>
      </c>
      <c r="L1224" t="str">
        <f t="shared" si="119"/>
        <v>2024-06</v>
      </c>
      <c r="M1224">
        <f t="shared" si="117"/>
        <v>983.79999999999973</v>
      </c>
    </row>
    <row r="1225" spans="1:13" x14ac:dyDescent="0.25">
      <c r="A1225" s="1">
        <v>44803</v>
      </c>
      <c r="B1225" t="s">
        <v>14</v>
      </c>
      <c r="C1225" t="s">
        <v>15</v>
      </c>
      <c r="D1225" t="s">
        <v>9</v>
      </c>
      <c r="E1225">
        <v>329.69</v>
      </c>
      <c r="F1225">
        <v>269.77</v>
      </c>
      <c r="G1225">
        <v>4</v>
      </c>
      <c r="H1225">
        <f t="shared" si="114"/>
        <v>1318.76</v>
      </c>
      <c r="I1225">
        <f t="shared" si="118"/>
        <v>1079.08</v>
      </c>
      <c r="J1225">
        <f t="shared" si="115"/>
        <v>239.68000000000006</v>
      </c>
      <c r="K1225" s="8">
        <f t="shared" si="116"/>
        <v>0.18174648912614885</v>
      </c>
      <c r="L1225" t="str">
        <f t="shared" si="119"/>
        <v>2022-08</v>
      </c>
      <c r="M1225">
        <f t="shared" si="117"/>
        <v>239.68000000000006</v>
      </c>
    </row>
    <row r="1226" spans="1:13" x14ac:dyDescent="0.25">
      <c r="A1226" s="1">
        <v>45276</v>
      </c>
      <c r="B1226" t="s">
        <v>23</v>
      </c>
      <c r="C1226" t="s">
        <v>11</v>
      </c>
      <c r="D1226" t="s">
        <v>17</v>
      </c>
      <c r="E1226">
        <v>112.52</v>
      </c>
      <c r="F1226">
        <v>90.71</v>
      </c>
      <c r="G1226">
        <v>1</v>
      </c>
      <c r="H1226">
        <f t="shared" si="114"/>
        <v>112.52</v>
      </c>
      <c r="I1226">
        <f t="shared" si="118"/>
        <v>90.71</v>
      </c>
      <c r="J1226">
        <f t="shared" si="115"/>
        <v>21.810000000000002</v>
      </c>
      <c r="K1226" s="8">
        <f t="shared" si="116"/>
        <v>0.19383220760753647</v>
      </c>
      <c r="L1226" t="str">
        <f t="shared" si="119"/>
        <v>2023-12</v>
      </c>
      <c r="M1226">
        <f t="shared" si="117"/>
        <v>21.810000000000002</v>
      </c>
    </row>
    <row r="1227" spans="1:13" x14ac:dyDescent="0.25">
      <c r="A1227" s="1">
        <v>44597</v>
      </c>
      <c r="B1227" t="s">
        <v>24</v>
      </c>
      <c r="C1227" t="s">
        <v>20</v>
      </c>
      <c r="D1227" t="s">
        <v>17</v>
      </c>
      <c r="E1227">
        <v>1725.32</v>
      </c>
      <c r="F1227">
        <v>1397.32</v>
      </c>
      <c r="G1227">
        <v>4</v>
      </c>
      <c r="H1227">
        <f t="shared" si="114"/>
        <v>6901.28</v>
      </c>
      <c r="I1227">
        <f t="shared" si="118"/>
        <v>5589.28</v>
      </c>
      <c r="J1227">
        <f t="shared" si="115"/>
        <v>1312</v>
      </c>
      <c r="K1227" s="8">
        <f t="shared" si="116"/>
        <v>0.19010966081654418</v>
      </c>
      <c r="L1227" t="str">
        <f t="shared" si="119"/>
        <v>2022-02</v>
      </c>
      <c r="M1227">
        <f t="shared" si="117"/>
        <v>1312</v>
      </c>
    </row>
    <row r="1228" spans="1:13" x14ac:dyDescent="0.25">
      <c r="A1228" s="1">
        <v>44662</v>
      </c>
      <c r="B1228" t="s">
        <v>22</v>
      </c>
      <c r="C1228" t="s">
        <v>8</v>
      </c>
      <c r="D1228" t="s">
        <v>9</v>
      </c>
      <c r="E1228">
        <v>1195.8399999999999</v>
      </c>
      <c r="F1228">
        <v>807.03</v>
      </c>
      <c r="G1228">
        <v>4</v>
      </c>
      <c r="H1228">
        <f t="shared" si="114"/>
        <v>4783.3599999999997</v>
      </c>
      <c r="I1228">
        <f t="shared" si="118"/>
        <v>3228.12</v>
      </c>
      <c r="J1228">
        <f t="shared" si="115"/>
        <v>1555.2399999999998</v>
      </c>
      <c r="K1228" s="8">
        <f t="shared" si="116"/>
        <v>0.32513546962804385</v>
      </c>
      <c r="L1228" t="str">
        <f t="shared" si="119"/>
        <v>2022-04</v>
      </c>
      <c r="M1228">
        <f t="shared" si="117"/>
        <v>1555.2399999999998</v>
      </c>
    </row>
    <row r="1229" spans="1:13" x14ac:dyDescent="0.25">
      <c r="A1229" s="1">
        <v>44710</v>
      </c>
      <c r="B1229" t="s">
        <v>22</v>
      </c>
      <c r="C1229" t="s">
        <v>8</v>
      </c>
      <c r="D1229" t="s">
        <v>17</v>
      </c>
      <c r="E1229">
        <v>1028.3599999999999</v>
      </c>
      <c r="F1229">
        <v>832.99</v>
      </c>
      <c r="G1229">
        <v>7</v>
      </c>
      <c r="H1229">
        <f t="shared" si="114"/>
        <v>7198.5199999999995</v>
      </c>
      <c r="I1229">
        <f t="shared" si="118"/>
        <v>5830.93</v>
      </c>
      <c r="J1229">
        <f t="shared" si="115"/>
        <v>1367.5899999999992</v>
      </c>
      <c r="K1229" s="8">
        <f t="shared" si="116"/>
        <v>0.18998210743319452</v>
      </c>
      <c r="L1229" t="str">
        <f t="shared" si="119"/>
        <v>2022-05</v>
      </c>
      <c r="M1229">
        <f t="shared" si="117"/>
        <v>1367.5899999999992</v>
      </c>
    </row>
    <row r="1230" spans="1:13" x14ac:dyDescent="0.25">
      <c r="A1230" s="1">
        <v>45214</v>
      </c>
      <c r="B1230" t="s">
        <v>19</v>
      </c>
      <c r="C1230" t="s">
        <v>20</v>
      </c>
      <c r="D1230" t="s">
        <v>13</v>
      </c>
      <c r="E1230">
        <v>190.87</v>
      </c>
      <c r="F1230">
        <v>95.5</v>
      </c>
      <c r="G1230">
        <v>2</v>
      </c>
      <c r="H1230">
        <f t="shared" si="114"/>
        <v>381.74</v>
      </c>
      <c r="I1230">
        <f t="shared" si="118"/>
        <v>191</v>
      </c>
      <c r="J1230">
        <f t="shared" si="115"/>
        <v>190.74</v>
      </c>
      <c r="K1230" s="8">
        <f t="shared" si="116"/>
        <v>0.49965945407869233</v>
      </c>
      <c r="L1230" t="str">
        <f t="shared" si="119"/>
        <v>2023-10</v>
      </c>
      <c r="M1230">
        <f t="shared" si="117"/>
        <v>190.74</v>
      </c>
    </row>
    <row r="1231" spans="1:13" x14ac:dyDescent="0.25">
      <c r="A1231" s="1">
        <v>45004</v>
      </c>
      <c r="B1231" t="s">
        <v>23</v>
      </c>
      <c r="C1231" t="s">
        <v>11</v>
      </c>
      <c r="D1231" t="s">
        <v>9</v>
      </c>
      <c r="E1231">
        <v>295.20999999999998</v>
      </c>
      <c r="F1231">
        <v>246.92</v>
      </c>
      <c r="G1231">
        <v>2</v>
      </c>
      <c r="H1231">
        <f t="shared" si="114"/>
        <v>590.41999999999996</v>
      </c>
      <c r="I1231">
        <f t="shared" si="118"/>
        <v>493.84</v>
      </c>
      <c r="J1231">
        <f t="shared" si="115"/>
        <v>96.579999999999984</v>
      </c>
      <c r="K1231" s="8">
        <f t="shared" si="116"/>
        <v>0.16357846956403915</v>
      </c>
      <c r="L1231" t="str">
        <f t="shared" si="119"/>
        <v>2023-03</v>
      </c>
      <c r="M1231">
        <f t="shared" si="117"/>
        <v>96.579999999999984</v>
      </c>
    </row>
    <row r="1232" spans="1:13" x14ac:dyDescent="0.25">
      <c r="A1232" s="1">
        <v>45553</v>
      </c>
      <c r="B1232" t="s">
        <v>12</v>
      </c>
      <c r="C1232" t="s">
        <v>8</v>
      </c>
      <c r="D1232" t="s">
        <v>13</v>
      </c>
      <c r="E1232">
        <v>1069.76</v>
      </c>
      <c r="F1232">
        <v>616.23</v>
      </c>
      <c r="G1232">
        <v>8</v>
      </c>
      <c r="H1232">
        <f t="shared" si="114"/>
        <v>8558.08</v>
      </c>
      <c r="I1232">
        <f t="shared" si="118"/>
        <v>4929.84</v>
      </c>
      <c r="J1232">
        <f t="shared" si="115"/>
        <v>3628.24</v>
      </c>
      <c r="K1232" s="8">
        <f t="shared" si="116"/>
        <v>0.42395490577325751</v>
      </c>
      <c r="L1232" t="str">
        <f t="shared" si="119"/>
        <v>2024-09</v>
      </c>
      <c r="M1232">
        <f t="shared" si="117"/>
        <v>3628.24</v>
      </c>
    </row>
    <row r="1233" spans="1:13" x14ac:dyDescent="0.25">
      <c r="A1233" s="1">
        <v>44937</v>
      </c>
      <c r="B1233" t="s">
        <v>7</v>
      </c>
      <c r="C1233" t="s">
        <v>8</v>
      </c>
      <c r="D1233" t="s">
        <v>17</v>
      </c>
      <c r="E1233">
        <v>1234.8</v>
      </c>
      <c r="F1233">
        <v>987.9</v>
      </c>
      <c r="G1233">
        <v>4</v>
      </c>
      <c r="H1233">
        <f t="shared" si="114"/>
        <v>4939.2</v>
      </c>
      <c r="I1233">
        <f t="shared" si="118"/>
        <v>3951.6</v>
      </c>
      <c r="J1233">
        <f t="shared" si="115"/>
        <v>987.59999999999991</v>
      </c>
      <c r="K1233" s="8">
        <f t="shared" si="116"/>
        <v>0.19995140913508258</v>
      </c>
      <c r="L1233" t="str">
        <f t="shared" si="119"/>
        <v>2023-01</v>
      </c>
      <c r="M1233">
        <f t="shared" si="117"/>
        <v>987.59999999999991</v>
      </c>
    </row>
    <row r="1234" spans="1:13" x14ac:dyDescent="0.25">
      <c r="A1234" s="1">
        <v>45146</v>
      </c>
      <c r="B1234" t="s">
        <v>22</v>
      </c>
      <c r="C1234" t="s">
        <v>8</v>
      </c>
      <c r="D1234" t="s">
        <v>9</v>
      </c>
      <c r="E1234">
        <v>639.42999999999995</v>
      </c>
      <c r="F1234">
        <v>427.71</v>
      </c>
      <c r="G1234">
        <v>5</v>
      </c>
      <c r="H1234">
        <f t="shared" si="114"/>
        <v>3197.1499999999996</v>
      </c>
      <c r="I1234">
        <f t="shared" si="118"/>
        <v>2138.5499999999997</v>
      </c>
      <c r="J1234">
        <f t="shared" si="115"/>
        <v>1058.5999999999999</v>
      </c>
      <c r="K1234" s="8">
        <f t="shared" si="116"/>
        <v>0.33110739252146443</v>
      </c>
      <c r="L1234" t="str">
        <f t="shared" si="119"/>
        <v>2023-08</v>
      </c>
      <c r="M1234">
        <f t="shared" si="117"/>
        <v>1058.5999999999999</v>
      </c>
    </row>
    <row r="1235" spans="1:13" x14ac:dyDescent="0.25">
      <c r="A1235" s="1">
        <v>45298</v>
      </c>
      <c r="B1235" t="s">
        <v>7</v>
      </c>
      <c r="C1235" t="s">
        <v>8</v>
      </c>
      <c r="D1235" t="s">
        <v>13</v>
      </c>
      <c r="E1235">
        <v>1162.22</v>
      </c>
      <c r="F1235">
        <v>867</v>
      </c>
      <c r="G1235">
        <v>3</v>
      </c>
      <c r="H1235">
        <f t="shared" si="114"/>
        <v>3486.66</v>
      </c>
      <c r="I1235">
        <f t="shared" si="118"/>
        <v>2601</v>
      </c>
      <c r="J1235">
        <f t="shared" si="115"/>
        <v>885.65999999999985</v>
      </c>
      <c r="K1235" s="8">
        <f t="shared" si="116"/>
        <v>0.25401387000739961</v>
      </c>
      <c r="L1235" t="str">
        <f t="shared" si="119"/>
        <v>2024-01</v>
      </c>
      <c r="M1235">
        <f t="shared" si="117"/>
        <v>885.65999999999985</v>
      </c>
    </row>
    <row r="1236" spans="1:13" x14ac:dyDescent="0.25">
      <c r="A1236" s="1">
        <v>44990</v>
      </c>
      <c r="B1236" t="s">
        <v>24</v>
      </c>
      <c r="C1236" t="s">
        <v>20</v>
      </c>
      <c r="D1236" t="s">
        <v>13</v>
      </c>
      <c r="E1236">
        <v>490.64</v>
      </c>
      <c r="F1236">
        <v>312.19</v>
      </c>
      <c r="G1236">
        <v>3</v>
      </c>
      <c r="H1236">
        <f t="shared" si="114"/>
        <v>1471.92</v>
      </c>
      <c r="I1236">
        <f t="shared" si="118"/>
        <v>936.56999999999994</v>
      </c>
      <c r="J1236">
        <f t="shared" si="115"/>
        <v>535.35000000000014</v>
      </c>
      <c r="K1236" s="8">
        <f t="shared" si="116"/>
        <v>0.36370862546877553</v>
      </c>
      <c r="L1236" t="str">
        <f t="shared" si="119"/>
        <v>2023-03</v>
      </c>
      <c r="M1236">
        <f t="shared" si="117"/>
        <v>535.35000000000014</v>
      </c>
    </row>
    <row r="1237" spans="1:13" x14ac:dyDescent="0.25">
      <c r="A1237" s="1">
        <v>44610</v>
      </c>
      <c r="B1237" t="s">
        <v>23</v>
      </c>
      <c r="C1237" t="s">
        <v>11</v>
      </c>
      <c r="D1237" t="s">
        <v>9</v>
      </c>
      <c r="E1237">
        <v>1222.81</v>
      </c>
      <c r="F1237">
        <v>932.78</v>
      </c>
      <c r="G1237">
        <v>3</v>
      </c>
      <c r="H1237">
        <f t="shared" si="114"/>
        <v>3668.43</v>
      </c>
      <c r="I1237">
        <f t="shared" si="118"/>
        <v>2798.34</v>
      </c>
      <c r="J1237">
        <f t="shared" si="115"/>
        <v>870.08999999999969</v>
      </c>
      <c r="K1237" s="8">
        <f t="shared" si="116"/>
        <v>0.23718320916577385</v>
      </c>
      <c r="L1237" t="str">
        <f t="shared" si="119"/>
        <v>2022-02</v>
      </c>
      <c r="M1237">
        <f t="shared" si="117"/>
        <v>870.08999999999969</v>
      </c>
    </row>
    <row r="1238" spans="1:13" x14ac:dyDescent="0.25">
      <c r="A1238" s="1">
        <v>44565</v>
      </c>
      <c r="B1238" t="s">
        <v>21</v>
      </c>
      <c r="C1238" t="s">
        <v>20</v>
      </c>
      <c r="D1238" t="s">
        <v>13</v>
      </c>
      <c r="E1238">
        <v>705.93</v>
      </c>
      <c r="F1238">
        <v>595.04999999999995</v>
      </c>
      <c r="G1238">
        <v>3</v>
      </c>
      <c r="H1238">
        <f t="shared" si="114"/>
        <v>2117.79</v>
      </c>
      <c r="I1238">
        <f t="shared" si="118"/>
        <v>1785.1499999999999</v>
      </c>
      <c r="J1238">
        <f t="shared" si="115"/>
        <v>332.6400000000001</v>
      </c>
      <c r="K1238" s="8">
        <f t="shared" si="116"/>
        <v>0.15706939781564749</v>
      </c>
      <c r="L1238" t="str">
        <f t="shared" si="119"/>
        <v>2022-01</v>
      </c>
      <c r="M1238">
        <f t="shared" si="117"/>
        <v>332.6400000000001</v>
      </c>
    </row>
    <row r="1239" spans="1:13" x14ac:dyDescent="0.25">
      <c r="A1239" s="1">
        <v>45580</v>
      </c>
      <c r="B1239" t="s">
        <v>25</v>
      </c>
      <c r="C1239" t="s">
        <v>15</v>
      </c>
      <c r="D1239" t="s">
        <v>9</v>
      </c>
      <c r="E1239">
        <v>283.97000000000003</v>
      </c>
      <c r="F1239">
        <v>173.98</v>
      </c>
      <c r="G1239">
        <v>3</v>
      </c>
      <c r="H1239">
        <f t="shared" si="114"/>
        <v>851.91000000000008</v>
      </c>
      <c r="I1239">
        <f t="shared" si="118"/>
        <v>521.93999999999994</v>
      </c>
      <c r="J1239">
        <f t="shared" si="115"/>
        <v>329.97000000000014</v>
      </c>
      <c r="K1239" s="8">
        <f t="shared" si="116"/>
        <v>0.38732964749797527</v>
      </c>
      <c r="L1239" t="str">
        <f t="shared" si="119"/>
        <v>2024-10</v>
      </c>
      <c r="M1239">
        <f t="shared" si="117"/>
        <v>329.97000000000014</v>
      </c>
    </row>
    <row r="1240" spans="1:13" x14ac:dyDescent="0.25">
      <c r="A1240" s="1">
        <v>45163</v>
      </c>
      <c r="B1240" t="s">
        <v>19</v>
      </c>
      <c r="C1240" t="s">
        <v>20</v>
      </c>
      <c r="D1240" t="s">
        <v>17</v>
      </c>
      <c r="E1240">
        <v>1564.42</v>
      </c>
      <c r="F1240">
        <v>1016.3</v>
      </c>
      <c r="G1240">
        <v>10</v>
      </c>
      <c r="H1240">
        <f t="shared" si="114"/>
        <v>15644.2</v>
      </c>
      <c r="I1240">
        <f t="shared" si="118"/>
        <v>10163</v>
      </c>
      <c r="J1240">
        <f t="shared" si="115"/>
        <v>5481.2000000000007</v>
      </c>
      <c r="K1240" s="8">
        <f t="shared" si="116"/>
        <v>0.35036626992751313</v>
      </c>
      <c r="L1240" t="str">
        <f t="shared" si="119"/>
        <v>2023-08</v>
      </c>
      <c r="M1240">
        <f t="shared" si="117"/>
        <v>5481.2000000000007</v>
      </c>
    </row>
    <row r="1241" spans="1:13" x14ac:dyDescent="0.25">
      <c r="A1241" s="1">
        <v>44595</v>
      </c>
      <c r="B1241" t="s">
        <v>7</v>
      </c>
      <c r="C1241" t="s">
        <v>8</v>
      </c>
      <c r="D1241" t="s">
        <v>9</v>
      </c>
      <c r="E1241">
        <v>1157.67</v>
      </c>
      <c r="F1241">
        <v>1018.18</v>
      </c>
      <c r="G1241">
        <v>8</v>
      </c>
      <c r="H1241">
        <f t="shared" si="114"/>
        <v>9261.36</v>
      </c>
      <c r="I1241">
        <f t="shared" si="118"/>
        <v>8145.44</v>
      </c>
      <c r="J1241">
        <f t="shared" si="115"/>
        <v>1115.920000000001</v>
      </c>
      <c r="K1241" s="8">
        <f t="shared" si="116"/>
        <v>0.12049202276987407</v>
      </c>
      <c r="L1241" t="str">
        <f t="shared" si="119"/>
        <v>2022-02</v>
      </c>
      <c r="M1241">
        <f t="shared" si="117"/>
        <v>1115.920000000001</v>
      </c>
    </row>
    <row r="1242" spans="1:13" x14ac:dyDescent="0.25">
      <c r="A1242" s="1">
        <v>45491</v>
      </c>
      <c r="B1242" t="s">
        <v>16</v>
      </c>
      <c r="C1242" t="s">
        <v>15</v>
      </c>
      <c r="D1242" t="s">
        <v>13</v>
      </c>
      <c r="E1242">
        <v>996.2</v>
      </c>
      <c r="F1242">
        <v>703.82</v>
      </c>
      <c r="G1242">
        <v>5</v>
      </c>
      <c r="H1242">
        <f t="shared" si="114"/>
        <v>4981</v>
      </c>
      <c r="I1242">
        <f t="shared" si="118"/>
        <v>3519.1000000000004</v>
      </c>
      <c r="J1242">
        <f t="shared" si="115"/>
        <v>1461.8999999999996</v>
      </c>
      <c r="K1242" s="8">
        <f t="shared" si="116"/>
        <v>0.29349528207187303</v>
      </c>
      <c r="L1242" t="str">
        <f t="shared" si="119"/>
        <v>2024-07</v>
      </c>
      <c r="M1242">
        <f t="shared" si="117"/>
        <v>1461.8999999999996</v>
      </c>
    </row>
    <row r="1243" spans="1:13" x14ac:dyDescent="0.25">
      <c r="A1243" s="1">
        <v>44588</v>
      </c>
      <c r="B1243" t="s">
        <v>14</v>
      </c>
      <c r="C1243" t="s">
        <v>15</v>
      </c>
      <c r="D1243" t="s">
        <v>18</v>
      </c>
      <c r="E1243">
        <v>1863.08</v>
      </c>
      <c r="F1243">
        <v>1476.27</v>
      </c>
      <c r="G1243">
        <v>3</v>
      </c>
      <c r="H1243">
        <f t="shared" si="114"/>
        <v>5589.24</v>
      </c>
      <c r="I1243">
        <f t="shared" si="118"/>
        <v>4428.8099999999995</v>
      </c>
      <c r="J1243">
        <f t="shared" si="115"/>
        <v>1160.4300000000003</v>
      </c>
      <c r="K1243" s="8">
        <f t="shared" si="116"/>
        <v>0.20761856710393548</v>
      </c>
      <c r="L1243" t="str">
        <f t="shared" si="119"/>
        <v>2022-01</v>
      </c>
      <c r="M1243">
        <f t="shared" si="117"/>
        <v>1160.4300000000003</v>
      </c>
    </row>
    <row r="1244" spans="1:13" x14ac:dyDescent="0.25">
      <c r="A1244" s="1">
        <v>44949</v>
      </c>
      <c r="B1244" t="s">
        <v>12</v>
      </c>
      <c r="C1244" t="s">
        <v>8</v>
      </c>
      <c r="D1244" t="s">
        <v>18</v>
      </c>
      <c r="E1244">
        <v>1809.68</v>
      </c>
      <c r="F1244">
        <v>1078.95</v>
      </c>
      <c r="G1244">
        <v>2</v>
      </c>
      <c r="H1244">
        <f t="shared" si="114"/>
        <v>3619.36</v>
      </c>
      <c r="I1244">
        <f t="shared" si="118"/>
        <v>2157.9</v>
      </c>
      <c r="J1244">
        <f t="shared" si="115"/>
        <v>1461.46</v>
      </c>
      <c r="K1244" s="8">
        <f t="shared" si="116"/>
        <v>0.40378962026435611</v>
      </c>
      <c r="L1244" t="str">
        <f t="shared" si="119"/>
        <v>2023-01</v>
      </c>
      <c r="M1244">
        <f t="shared" si="117"/>
        <v>1461.46</v>
      </c>
    </row>
    <row r="1245" spans="1:13" x14ac:dyDescent="0.25">
      <c r="A1245" s="1">
        <v>44872</v>
      </c>
      <c r="B1245" t="s">
        <v>19</v>
      </c>
      <c r="C1245" t="s">
        <v>20</v>
      </c>
      <c r="D1245" t="s">
        <v>13</v>
      </c>
      <c r="E1245">
        <v>1491.72</v>
      </c>
      <c r="F1245">
        <v>881.54</v>
      </c>
      <c r="G1245">
        <v>1</v>
      </c>
      <c r="H1245">
        <f t="shared" si="114"/>
        <v>1491.72</v>
      </c>
      <c r="I1245">
        <f t="shared" si="118"/>
        <v>881.54</v>
      </c>
      <c r="J1245">
        <f t="shared" si="115"/>
        <v>610.18000000000006</v>
      </c>
      <c r="K1245" s="8">
        <f t="shared" si="116"/>
        <v>0.40904459281902772</v>
      </c>
      <c r="L1245" t="str">
        <f t="shared" si="119"/>
        <v>2022-11</v>
      </c>
      <c r="M1245">
        <f t="shared" si="117"/>
        <v>610.18000000000006</v>
      </c>
    </row>
    <row r="1246" spans="1:13" x14ac:dyDescent="0.25">
      <c r="A1246" s="1">
        <v>45202</v>
      </c>
      <c r="B1246" t="s">
        <v>12</v>
      </c>
      <c r="C1246" t="s">
        <v>8</v>
      </c>
      <c r="D1246" t="s">
        <v>9</v>
      </c>
      <c r="E1246">
        <v>73.69</v>
      </c>
      <c r="F1246">
        <v>44.83</v>
      </c>
      <c r="G1246">
        <v>8</v>
      </c>
      <c r="H1246">
        <f t="shared" si="114"/>
        <v>589.52</v>
      </c>
      <c r="I1246">
        <f t="shared" si="118"/>
        <v>358.64</v>
      </c>
      <c r="J1246">
        <f t="shared" si="115"/>
        <v>230.88</v>
      </c>
      <c r="K1246" s="8">
        <f t="shared" si="116"/>
        <v>0.39164065680553672</v>
      </c>
      <c r="L1246" t="str">
        <f t="shared" si="119"/>
        <v>2023-10</v>
      </c>
      <c r="M1246">
        <f t="shared" si="117"/>
        <v>230.88</v>
      </c>
    </row>
    <row r="1247" spans="1:13" x14ac:dyDescent="0.25">
      <c r="A1247" s="1">
        <v>44969</v>
      </c>
      <c r="B1247" t="s">
        <v>19</v>
      </c>
      <c r="C1247" t="s">
        <v>20</v>
      </c>
      <c r="D1247" t="s">
        <v>17</v>
      </c>
      <c r="E1247">
        <v>925.26</v>
      </c>
      <c r="F1247">
        <v>501.72</v>
      </c>
      <c r="G1247">
        <v>5</v>
      </c>
      <c r="H1247">
        <f t="shared" si="114"/>
        <v>4626.3</v>
      </c>
      <c r="I1247">
        <f t="shared" si="118"/>
        <v>2508.6000000000004</v>
      </c>
      <c r="J1247">
        <f t="shared" si="115"/>
        <v>2117.6999999999998</v>
      </c>
      <c r="K1247" s="8">
        <f t="shared" si="116"/>
        <v>0.45775241553725432</v>
      </c>
      <c r="L1247" t="str">
        <f t="shared" si="119"/>
        <v>2023-02</v>
      </c>
      <c r="M1247">
        <f t="shared" si="117"/>
        <v>2117.6999999999998</v>
      </c>
    </row>
    <row r="1248" spans="1:13" x14ac:dyDescent="0.25">
      <c r="A1248" s="1">
        <v>44680</v>
      </c>
      <c r="B1248" t="s">
        <v>25</v>
      </c>
      <c r="C1248" t="s">
        <v>15</v>
      </c>
      <c r="D1248" t="s">
        <v>9</v>
      </c>
      <c r="E1248">
        <v>223.03</v>
      </c>
      <c r="F1248">
        <v>189.7</v>
      </c>
      <c r="G1248">
        <v>3</v>
      </c>
      <c r="H1248">
        <f t="shared" si="114"/>
        <v>669.09</v>
      </c>
      <c r="I1248">
        <f t="shared" si="118"/>
        <v>569.09999999999991</v>
      </c>
      <c r="J1248">
        <f t="shared" si="115"/>
        <v>99.990000000000123</v>
      </c>
      <c r="K1248" s="8">
        <f t="shared" si="116"/>
        <v>0.14944177913285225</v>
      </c>
      <c r="L1248" t="str">
        <f t="shared" si="119"/>
        <v>2022-04</v>
      </c>
      <c r="M1248">
        <f t="shared" si="117"/>
        <v>99.990000000000123</v>
      </c>
    </row>
    <row r="1249" spans="1:13" x14ac:dyDescent="0.25">
      <c r="A1249" s="1">
        <v>45444</v>
      </c>
      <c r="B1249" t="s">
        <v>14</v>
      </c>
      <c r="C1249" t="s">
        <v>15</v>
      </c>
      <c r="D1249" t="s">
        <v>9</v>
      </c>
      <c r="E1249">
        <v>1301.51</v>
      </c>
      <c r="F1249">
        <v>832.52</v>
      </c>
      <c r="G1249">
        <v>10</v>
      </c>
      <c r="H1249">
        <f t="shared" si="114"/>
        <v>13015.1</v>
      </c>
      <c r="I1249">
        <f t="shared" si="118"/>
        <v>8325.2000000000007</v>
      </c>
      <c r="J1249">
        <f t="shared" si="115"/>
        <v>4689.8999999999996</v>
      </c>
      <c r="K1249" s="8">
        <f t="shared" si="116"/>
        <v>0.36034298622369398</v>
      </c>
      <c r="L1249" t="str">
        <f t="shared" si="119"/>
        <v>2024-06</v>
      </c>
      <c r="M1249">
        <f t="shared" si="117"/>
        <v>4689.8999999999996</v>
      </c>
    </row>
    <row r="1250" spans="1:13" x14ac:dyDescent="0.25">
      <c r="A1250" s="1">
        <v>45071</v>
      </c>
      <c r="B1250" t="s">
        <v>23</v>
      </c>
      <c r="C1250" t="s">
        <v>11</v>
      </c>
      <c r="D1250" t="s">
        <v>9</v>
      </c>
      <c r="E1250">
        <v>1296.04</v>
      </c>
      <c r="F1250">
        <v>747.07</v>
      </c>
      <c r="G1250">
        <v>10</v>
      </c>
      <c r="H1250">
        <f t="shared" si="114"/>
        <v>12960.4</v>
      </c>
      <c r="I1250">
        <f t="shared" si="118"/>
        <v>7470.7000000000007</v>
      </c>
      <c r="J1250">
        <f t="shared" si="115"/>
        <v>5489.6999999999989</v>
      </c>
      <c r="K1250" s="8">
        <f t="shared" si="116"/>
        <v>0.42357488966389917</v>
      </c>
      <c r="L1250" t="str">
        <f t="shared" si="119"/>
        <v>2023-05</v>
      </c>
      <c r="M1250">
        <f t="shared" si="117"/>
        <v>5489.6999999999989</v>
      </c>
    </row>
    <row r="1251" spans="1:13" x14ac:dyDescent="0.25">
      <c r="A1251" s="1">
        <v>44650</v>
      </c>
      <c r="B1251" t="s">
        <v>22</v>
      </c>
      <c r="C1251" t="s">
        <v>8</v>
      </c>
      <c r="D1251" t="s">
        <v>18</v>
      </c>
      <c r="E1251">
        <v>130.91</v>
      </c>
      <c r="F1251">
        <v>84.89</v>
      </c>
      <c r="G1251">
        <v>2</v>
      </c>
      <c r="H1251">
        <f t="shared" si="114"/>
        <v>261.82</v>
      </c>
      <c r="I1251">
        <f t="shared" si="118"/>
        <v>169.78</v>
      </c>
      <c r="J1251">
        <f t="shared" si="115"/>
        <v>92.039999999999992</v>
      </c>
      <c r="K1251" s="8">
        <f t="shared" si="116"/>
        <v>0.35153922542204563</v>
      </c>
      <c r="L1251" t="str">
        <f t="shared" si="119"/>
        <v>2022-03</v>
      </c>
      <c r="M1251">
        <f t="shared" si="117"/>
        <v>92.039999999999992</v>
      </c>
    </row>
    <row r="1252" spans="1:13" x14ac:dyDescent="0.25">
      <c r="A1252" s="1">
        <v>45585</v>
      </c>
      <c r="B1252" t="s">
        <v>7</v>
      </c>
      <c r="C1252" t="s">
        <v>8</v>
      </c>
      <c r="D1252" t="s">
        <v>13</v>
      </c>
      <c r="E1252">
        <v>1476.78</v>
      </c>
      <c r="F1252">
        <v>1172.7</v>
      </c>
      <c r="G1252">
        <v>2</v>
      </c>
      <c r="H1252">
        <f t="shared" si="114"/>
        <v>2953.56</v>
      </c>
      <c r="I1252">
        <f t="shared" si="118"/>
        <v>2345.4</v>
      </c>
      <c r="J1252">
        <f t="shared" si="115"/>
        <v>608.15999999999985</v>
      </c>
      <c r="K1252" s="8">
        <f t="shared" si="116"/>
        <v>0.20590744728395557</v>
      </c>
      <c r="L1252" t="str">
        <f t="shared" si="119"/>
        <v>2024-10</v>
      </c>
      <c r="M1252">
        <f t="shared" si="117"/>
        <v>608.15999999999985</v>
      </c>
    </row>
    <row r="1253" spans="1:13" x14ac:dyDescent="0.25">
      <c r="A1253" s="1">
        <v>45147</v>
      </c>
      <c r="B1253" t="s">
        <v>23</v>
      </c>
      <c r="C1253" t="s">
        <v>11</v>
      </c>
      <c r="D1253" t="s">
        <v>17</v>
      </c>
      <c r="E1253">
        <v>1625.4</v>
      </c>
      <c r="F1253">
        <v>1029.9100000000001</v>
      </c>
      <c r="G1253">
        <v>2</v>
      </c>
      <c r="H1253">
        <f t="shared" si="114"/>
        <v>3250.8</v>
      </c>
      <c r="I1253">
        <f t="shared" si="118"/>
        <v>2059.8200000000002</v>
      </c>
      <c r="J1253">
        <f t="shared" si="115"/>
        <v>1190.98</v>
      </c>
      <c r="K1253" s="8">
        <f t="shared" si="116"/>
        <v>0.366365202411714</v>
      </c>
      <c r="L1253" t="str">
        <f t="shared" si="119"/>
        <v>2023-08</v>
      </c>
      <c r="M1253">
        <f t="shared" si="117"/>
        <v>1190.98</v>
      </c>
    </row>
    <row r="1254" spans="1:13" x14ac:dyDescent="0.25">
      <c r="A1254" s="1">
        <v>44591</v>
      </c>
      <c r="B1254" t="s">
        <v>21</v>
      </c>
      <c r="C1254" t="s">
        <v>20</v>
      </c>
      <c r="D1254" t="s">
        <v>13</v>
      </c>
      <c r="E1254">
        <v>1909.91</v>
      </c>
      <c r="F1254">
        <v>1367.49</v>
      </c>
      <c r="G1254">
        <v>6</v>
      </c>
      <c r="H1254">
        <f t="shared" si="114"/>
        <v>11459.460000000001</v>
      </c>
      <c r="I1254">
        <f t="shared" si="118"/>
        <v>8204.94</v>
      </c>
      <c r="J1254">
        <f t="shared" si="115"/>
        <v>3254.5200000000004</v>
      </c>
      <c r="K1254" s="8">
        <f t="shared" si="116"/>
        <v>0.28400291113193815</v>
      </c>
      <c r="L1254" t="str">
        <f t="shared" si="119"/>
        <v>2022-01</v>
      </c>
      <c r="M1254">
        <f t="shared" si="117"/>
        <v>3254.5200000000004</v>
      </c>
    </row>
    <row r="1255" spans="1:13" x14ac:dyDescent="0.25">
      <c r="A1255" s="1">
        <v>45361</v>
      </c>
      <c r="B1255" t="s">
        <v>16</v>
      </c>
      <c r="C1255" t="s">
        <v>15</v>
      </c>
      <c r="D1255" t="s">
        <v>9</v>
      </c>
      <c r="E1255">
        <v>1424.83</v>
      </c>
      <c r="F1255">
        <v>914.34</v>
      </c>
      <c r="G1255">
        <v>10</v>
      </c>
      <c r="H1255">
        <f t="shared" si="114"/>
        <v>14248.3</v>
      </c>
      <c r="I1255">
        <f t="shared" si="118"/>
        <v>9143.4</v>
      </c>
      <c r="J1255">
        <f t="shared" si="115"/>
        <v>5104.8999999999996</v>
      </c>
      <c r="K1255" s="8">
        <f t="shared" si="116"/>
        <v>0.3582813388263863</v>
      </c>
      <c r="L1255" t="str">
        <f t="shared" si="119"/>
        <v>2024-03</v>
      </c>
      <c r="M1255">
        <f t="shared" si="117"/>
        <v>5104.8999999999996</v>
      </c>
    </row>
    <row r="1256" spans="1:13" x14ac:dyDescent="0.25">
      <c r="A1256" s="1">
        <v>44595</v>
      </c>
      <c r="B1256" t="s">
        <v>7</v>
      </c>
      <c r="C1256" t="s">
        <v>8</v>
      </c>
      <c r="D1256" t="s">
        <v>18</v>
      </c>
      <c r="E1256">
        <v>910.35</v>
      </c>
      <c r="F1256">
        <v>646.20000000000005</v>
      </c>
      <c r="G1256">
        <v>1</v>
      </c>
      <c r="H1256">
        <f t="shared" si="114"/>
        <v>910.35</v>
      </c>
      <c r="I1256">
        <f t="shared" si="118"/>
        <v>646.20000000000005</v>
      </c>
      <c r="J1256">
        <f t="shared" si="115"/>
        <v>264.14999999999998</v>
      </c>
      <c r="K1256" s="8">
        <f t="shared" si="116"/>
        <v>0.29016312407315864</v>
      </c>
      <c r="L1256" t="str">
        <f t="shared" si="119"/>
        <v>2022-02</v>
      </c>
      <c r="M1256">
        <f t="shared" si="117"/>
        <v>264.14999999999998</v>
      </c>
    </row>
    <row r="1257" spans="1:13" x14ac:dyDescent="0.25">
      <c r="A1257" s="1">
        <v>45234</v>
      </c>
      <c r="B1257" t="s">
        <v>14</v>
      </c>
      <c r="C1257" t="s">
        <v>15</v>
      </c>
      <c r="D1257" t="s">
        <v>18</v>
      </c>
      <c r="E1257">
        <v>590.64</v>
      </c>
      <c r="F1257">
        <v>327.42</v>
      </c>
      <c r="G1257">
        <v>4</v>
      </c>
      <c r="H1257">
        <f t="shared" si="114"/>
        <v>2362.56</v>
      </c>
      <c r="I1257">
        <f t="shared" si="118"/>
        <v>1309.68</v>
      </c>
      <c r="J1257">
        <f t="shared" si="115"/>
        <v>1052.8799999999999</v>
      </c>
      <c r="K1257" s="8">
        <f t="shared" si="116"/>
        <v>0.44565217391304346</v>
      </c>
      <c r="L1257" t="str">
        <f t="shared" si="119"/>
        <v>2023-11</v>
      </c>
      <c r="M1257">
        <f t="shared" si="117"/>
        <v>1052.8799999999999</v>
      </c>
    </row>
    <row r="1258" spans="1:13" x14ac:dyDescent="0.25">
      <c r="A1258" s="1">
        <v>44671</v>
      </c>
      <c r="B1258" t="s">
        <v>21</v>
      </c>
      <c r="C1258" t="s">
        <v>20</v>
      </c>
      <c r="D1258" t="s">
        <v>13</v>
      </c>
      <c r="E1258">
        <v>1645.96</v>
      </c>
      <c r="F1258">
        <v>1142.53</v>
      </c>
      <c r="G1258">
        <v>10</v>
      </c>
      <c r="H1258">
        <f t="shared" si="114"/>
        <v>16459.599999999999</v>
      </c>
      <c r="I1258">
        <f t="shared" si="118"/>
        <v>11425.3</v>
      </c>
      <c r="J1258">
        <f t="shared" si="115"/>
        <v>5034.2999999999993</v>
      </c>
      <c r="K1258" s="8">
        <f t="shared" si="116"/>
        <v>0.30585797953777732</v>
      </c>
      <c r="L1258" t="str">
        <f t="shared" si="119"/>
        <v>2022-04</v>
      </c>
      <c r="M1258">
        <f t="shared" si="117"/>
        <v>5034.2999999999993</v>
      </c>
    </row>
    <row r="1259" spans="1:13" x14ac:dyDescent="0.25">
      <c r="A1259" s="1">
        <v>44975</v>
      </c>
      <c r="B1259" t="s">
        <v>7</v>
      </c>
      <c r="C1259" t="s">
        <v>8</v>
      </c>
      <c r="D1259" t="s">
        <v>9</v>
      </c>
      <c r="E1259">
        <v>543.36</v>
      </c>
      <c r="F1259">
        <v>298.69</v>
      </c>
      <c r="G1259">
        <v>7</v>
      </c>
      <c r="H1259">
        <f t="shared" si="114"/>
        <v>3803.52</v>
      </c>
      <c r="I1259">
        <f t="shared" si="118"/>
        <v>2090.83</v>
      </c>
      <c r="J1259">
        <f t="shared" si="115"/>
        <v>1712.69</v>
      </c>
      <c r="K1259" s="8">
        <f t="shared" si="116"/>
        <v>0.45029078327444055</v>
      </c>
      <c r="L1259" t="str">
        <f t="shared" si="119"/>
        <v>2023-02</v>
      </c>
      <c r="M1259">
        <f t="shared" si="117"/>
        <v>1712.69</v>
      </c>
    </row>
    <row r="1260" spans="1:13" x14ac:dyDescent="0.25">
      <c r="A1260" s="1">
        <v>45325</v>
      </c>
      <c r="B1260" t="s">
        <v>12</v>
      </c>
      <c r="C1260" t="s">
        <v>8</v>
      </c>
      <c r="D1260" t="s">
        <v>18</v>
      </c>
      <c r="E1260">
        <v>910.44</v>
      </c>
      <c r="F1260">
        <v>803.83</v>
      </c>
      <c r="G1260">
        <v>6</v>
      </c>
      <c r="H1260">
        <f t="shared" si="114"/>
        <v>5462.64</v>
      </c>
      <c r="I1260">
        <f t="shared" si="118"/>
        <v>4822.9800000000005</v>
      </c>
      <c r="J1260">
        <f t="shared" si="115"/>
        <v>639.65999999999985</v>
      </c>
      <c r="K1260" s="8">
        <f t="shared" si="116"/>
        <v>0.11709722771407229</v>
      </c>
      <c r="L1260" t="str">
        <f t="shared" si="119"/>
        <v>2024-02</v>
      </c>
      <c r="M1260">
        <f t="shared" si="117"/>
        <v>639.65999999999985</v>
      </c>
    </row>
    <row r="1261" spans="1:13" x14ac:dyDescent="0.25">
      <c r="A1261" s="1">
        <v>45012</v>
      </c>
      <c r="B1261" t="s">
        <v>10</v>
      </c>
      <c r="C1261" t="s">
        <v>11</v>
      </c>
      <c r="D1261" t="s">
        <v>9</v>
      </c>
      <c r="E1261">
        <v>699.54</v>
      </c>
      <c r="F1261">
        <v>431.9</v>
      </c>
      <c r="G1261">
        <v>1</v>
      </c>
      <c r="H1261">
        <f t="shared" si="114"/>
        <v>699.54</v>
      </c>
      <c r="I1261">
        <f t="shared" si="118"/>
        <v>431.9</v>
      </c>
      <c r="J1261">
        <f t="shared" si="115"/>
        <v>267.64</v>
      </c>
      <c r="K1261" s="8">
        <f t="shared" si="116"/>
        <v>0.38259427623867115</v>
      </c>
      <c r="L1261" t="str">
        <f t="shared" si="119"/>
        <v>2023-03</v>
      </c>
      <c r="M1261">
        <f t="shared" si="117"/>
        <v>267.64</v>
      </c>
    </row>
    <row r="1262" spans="1:13" x14ac:dyDescent="0.25">
      <c r="A1262" s="1">
        <v>44588</v>
      </c>
      <c r="B1262" t="s">
        <v>7</v>
      </c>
      <c r="C1262" t="s">
        <v>8</v>
      </c>
      <c r="D1262" t="s">
        <v>9</v>
      </c>
      <c r="E1262">
        <v>899.04</v>
      </c>
      <c r="F1262">
        <v>602.67999999999995</v>
      </c>
      <c r="G1262">
        <v>1</v>
      </c>
      <c r="H1262">
        <f t="shared" si="114"/>
        <v>899.04</v>
      </c>
      <c r="I1262">
        <f t="shared" si="118"/>
        <v>602.67999999999995</v>
      </c>
      <c r="J1262">
        <f t="shared" si="115"/>
        <v>296.36</v>
      </c>
      <c r="K1262" s="8">
        <f t="shared" si="116"/>
        <v>0.32964050542801215</v>
      </c>
      <c r="L1262" t="str">
        <f t="shared" si="119"/>
        <v>2022-01</v>
      </c>
      <c r="M1262">
        <f t="shared" si="117"/>
        <v>296.36</v>
      </c>
    </row>
    <row r="1263" spans="1:13" x14ac:dyDescent="0.25">
      <c r="A1263" s="1">
        <v>44576</v>
      </c>
      <c r="B1263" t="s">
        <v>14</v>
      </c>
      <c r="C1263" t="s">
        <v>15</v>
      </c>
      <c r="D1263" t="s">
        <v>17</v>
      </c>
      <c r="E1263">
        <v>1967.6</v>
      </c>
      <c r="F1263">
        <v>1703.99</v>
      </c>
      <c r="G1263">
        <v>10</v>
      </c>
      <c r="H1263">
        <f t="shared" si="114"/>
        <v>19676</v>
      </c>
      <c r="I1263">
        <f t="shared" si="118"/>
        <v>17039.900000000001</v>
      </c>
      <c r="J1263">
        <f t="shared" si="115"/>
        <v>2636.0999999999985</v>
      </c>
      <c r="K1263" s="8">
        <f t="shared" si="116"/>
        <v>0.13397540150437073</v>
      </c>
      <c r="L1263" t="str">
        <f t="shared" si="119"/>
        <v>2022-01</v>
      </c>
      <c r="M1263">
        <f t="shared" si="117"/>
        <v>2636.0999999999985</v>
      </c>
    </row>
    <row r="1264" spans="1:13" x14ac:dyDescent="0.25">
      <c r="A1264" s="1">
        <v>44908</v>
      </c>
      <c r="B1264" t="s">
        <v>12</v>
      </c>
      <c r="C1264" t="s">
        <v>8</v>
      </c>
      <c r="D1264" t="s">
        <v>17</v>
      </c>
      <c r="E1264">
        <v>1494.1</v>
      </c>
      <c r="F1264">
        <v>1098.3399999999999</v>
      </c>
      <c r="G1264">
        <v>6</v>
      </c>
      <c r="H1264">
        <f t="shared" si="114"/>
        <v>8964.5999999999985</v>
      </c>
      <c r="I1264">
        <f t="shared" si="118"/>
        <v>6590.0399999999991</v>
      </c>
      <c r="J1264">
        <f t="shared" si="115"/>
        <v>2374.5599999999995</v>
      </c>
      <c r="K1264" s="8">
        <f t="shared" si="116"/>
        <v>0.2648818686834884</v>
      </c>
      <c r="L1264" t="str">
        <f t="shared" si="119"/>
        <v>2022-12</v>
      </c>
      <c r="M1264">
        <f t="shared" si="117"/>
        <v>2374.5599999999995</v>
      </c>
    </row>
    <row r="1265" spans="1:13" x14ac:dyDescent="0.25">
      <c r="A1265" s="1">
        <v>44900</v>
      </c>
      <c r="B1265" t="s">
        <v>14</v>
      </c>
      <c r="C1265" t="s">
        <v>15</v>
      </c>
      <c r="D1265" t="s">
        <v>13</v>
      </c>
      <c r="E1265">
        <v>1080.3900000000001</v>
      </c>
      <c r="F1265">
        <v>970.78</v>
      </c>
      <c r="G1265">
        <v>7</v>
      </c>
      <c r="H1265">
        <f t="shared" si="114"/>
        <v>7562.7300000000005</v>
      </c>
      <c r="I1265">
        <f t="shared" si="118"/>
        <v>6795.46</v>
      </c>
      <c r="J1265">
        <f t="shared" si="115"/>
        <v>767.27000000000044</v>
      </c>
      <c r="K1265" s="8">
        <f t="shared" si="116"/>
        <v>0.10145410453632489</v>
      </c>
      <c r="L1265" t="str">
        <f t="shared" si="119"/>
        <v>2022-12</v>
      </c>
      <c r="M1265">
        <f t="shared" si="117"/>
        <v>767.27000000000044</v>
      </c>
    </row>
    <row r="1266" spans="1:13" x14ac:dyDescent="0.25">
      <c r="A1266" s="1">
        <v>44571</v>
      </c>
      <c r="B1266" t="s">
        <v>7</v>
      </c>
      <c r="C1266" t="s">
        <v>8</v>
      </c>
      <c r="D1266" t="s">
        <v>18</v>
      </c>
      <c r="E1266">
        <v>66.58</v>
      </c>
      <c r="F1266">
        <v>34.729999999999997</v>
      </c>
      <c r="G1266">
        <v>4</v>
      </c>
      <c r="H1266">
        <f t="shared" si="114"/>
        <v>266.32</v>
      </c>
      <c r="I1266">
        <f t="shared" si="118"/>
        <v>138.91999999999999</v>
      </c>
      <c r="J1266">
        <f t="shared" si="115"/>
        <v>127.4</v>
      </c>
      <c r="K1266" s="8">
        <f t="shared" si="116"/>
        <v>0.47837188344848308</v>
      </c>
      <c r="L1266" t="str">
        <f t="shared" si="119"/>
        <v>2022-01</v>
      </c>
      <c r="M1266">
        <f t="shared" si="117"/>
        <v>127.4</v>
      </c>
    </row>
    <row r="1267" spans="1:13" x14ac:dyDescent="0.25">
      <c r="A1267" s="1">
        <v>44894</v>
      </c>
      <c r="B1267" t="s">
        <v>19</v>
      </c>
      <c r="C1267" t="s">
        <v>20</v>
      </c>
      <c r="D1267" t="s">
        <v>17</v>
      </c>
      <c r="E1267">
        <v>1578.35</v>
      </c>
      <c r="F1267">
        <v>1122.3499999999999</v>
      </c>
      <c r="G1267">
        <v>5</v>
      </c>
      <c r="H1267">
        <f t="shared" si="114"/>
        <v>7891.75</v>
      </c>
      <c r="I1267">
        <f t="shared" si="118"/>
        <v>5611.75</v>
      </c>
      <c r="J1267">
        <f t="shared" si="115"/>
        <v>2280</v>
      </c>
      <c r="K1267" s="8">
        <f t="shared" si="116"/>
        <v>0.28890930402002091</v>
      </c>
      <c r="L1267" t="str">
        <f t="shared" si="119"/>
        <v>2022-11</v>
      </c>
      <c r="M1267">
        <f t="shared" si="117"/>
        <v>2280</v>
      </c>
    </row>
    <row r="1268" spans="1:13" x14ac:dyDescent="0.25">
      <c r="A1268" s="1">
        <v>45429</v>
      </c>
      <c r="B1268" t="s">
        <v>14</v>
      </c>
      <c r="C1268" t="s">
        <v>15</v>
      </c>
      <c r="D1268" t="s">
        <v>9</v>
      </c>
      <c r="E1268">
        <v>785.25</v>
      </c>
      <c r="F1268">
        <v>449.38</v>
      </c>
      <c r="G1268">
        <v>2</v>
      </c>
      <c r="H1268">
        <f t="shared" si="114"/>
        <v>1570.5</v>
      </c>
      <c r="I1268">
        <f t="shared" si="118"/>
        <v>898.76</v>
      </c>
      <c r="J1268">
        <f t="shared" si="115"/>
        <v>671.74</v>
      </c>
      <c r="K1268" s="8">
        <f t="shared" si="116"/>
        <v>0.42772365488697867</v>
      </c>
      <c r="L1268" t="str">
        <f t="shared" si="119"/>
        <v>2024-05</v>
      </c>
      <c r="M1268">
        <f t="shared" si="117"/>
        <v>671.74</v>
      </c>
    </row>
    <row r="1269" spans="1:13" x14ac:dyDescent="0.25">
      <c r="A1269" s="1">
        <v>45114</v>
      </c>
      <c r="B1269" t="s">
        <v>21</v>
      </c>
      <c r="C1269" t="s">
        <v>20</v>
      </c>
      <c r="D1269" t="s">
        <v>17</v>
      </c>
      <c r="E1269">
        <v>1865.2</v>
      </c>
      <c r="F1269">
        <v>1124.99</v>
      </c>
      <c r="G1269">
        <v>2</v>
      </c>
      <c r="H1269">
        <f t="shared" si="114"/>
        <v>3730.4</v>
      </c>
      <c r="I1269">
        <f t="shared" si="118"/>
        <v>2249.98</v>
      </c>
      <c r="J1269">
        <f t="shared" si="115"/>
        <v>1480.42</v>
      </c>
      <c r="K1269" s="8">
        <f t="shared" si="116"/>
        <v>0.39685288440917865</v>
      </c>
      <c r="L1269" t="str">
        <f t="shared" si="119"/>
        <v>2023-07</v>
      </c>
      <c r="M1269">
        <f t="shared" si="117"/>
        <v>1480.42</v>
      </c>
    </row>
    <row r="1270" spans="1:13" x14ac:dyDescent="0.25">
      <c r="A1270" s="1">
        <v>45259</v>
      </c>
      <c r="B1270" t="s">
        <v>7</v>
      </c>
      <c r="C1270" t="s">
        <v>8</v>
      </c>
      <c r="D1270" t="s">
        <v>18</v>
      </c>
      <c r="E1270">
        <v>353.09</v>
      </c>
      <c r="F1270">
        <v>317.26</v>
      </c>
      <c r="G1270">
        <v>7</v>
      </c>
      <c r="H1270">
        <f t="shared" si="114"/>
        <v>2471.6299999999997</v>
      </c>
      <c r="I1270">
        <f t="shared" si="118"/>
        <v>2220.8199999999997</v>
      </c>
      <c r="J1270">
        <f t="shared" si="115"/>
        <v>250.80999999999995</v>
      </c>
      <c r="K1270" s="8">
        <f t="shared" si="116"/>
        <v>0.10147554447874479</v>
      </c>
      <c r="L1270" t="str">
        <f t="shared" si="119"/>
        <v>2023-11</v>
      </c>
      <c r="M1270">
        <f t="shared" si="117"/>
        <v>250.80999999999995</v>
      </c>
    </row>
    <row r="1271" spans="1:13" x14ac:dyDescent="0.25">
      <c r="A1271" s="1">
        <v>45548</v>
      </c>
      <c r="B1271" t="s">
        <v>24</v>
      </c>
      <c r="C1271" t="s">
        <v>20</v>
      </c>
      <c r="D1271" t="s">
        <v>18</v>
      </c>
      <c r="E1271">
        <v>327.51</v>
      </c>
      <c r="F1271">
        <v>259.06</v>
      </c>
      <c r="G1271">
        <v>5</v>
      </c>
      <c r="H1271">
        <f t="shared" si="114"/>
        <v>1637.55</v>
      </c>
      <c r="I1271">
        <f t="shared" si="118"/>
        <v>1295.3</v>
      </c>
      <c r="J1271">
        <f t="shared" si="115"/>
        <v>342.25</v>
      </c>
      <c r="K1271" s="8">
        <f t="shared" si="116"/>
        <v>0.20900125187017191</v>
      </c>
      <c r="L1271" t="str">
        <f t="shared" si="119"/>
        <v>2024-09</v>
      </c>
      <c r="M1271">
        <f t="shared" si="117"/>
        <v>342.25</v>
      </c>
    </row>
    <row r="1272" spans="1:13" x14ac:dyDescent="0.25">
      <c r="A1272" s="1">
        <v>45195</v>
      </c>
      <c r="B1272" t="s">
        <v>12</v>
      </c>
      <c r="C1272" t="s">
        <v>8</v>
      </c>
      <c r="D1272" t="s">
        <v>13</v>
      </c>
      <c r="E1272">
        <v>1657.13</v>
      </c>
      <c r="F1272">
        <v>1115.04</v>
      </c>
      <c r="G1272">
        <v>6</v>
      </c>
      <c r="H1272">
        <f t="shared" si="114"/>
        <v>9942.7800000000007</v>
      </c>
      <c r="I1272">
        <f t="shared" si="118"/>
        <v>6690.24</v>
      </c>
      <c r="J1272">
        <f t="shared" si="115"/>
        <v>3252.5400000000009</v>
      </c>
      <c r="K1272" s="8">
        <f t="shared" si="116"/>
        <v>0.32712581390717693</v>
      </c>
      <c r="L1272" t="str">
        <f t="shared" si="119"/>
        <v>2023-09</v>
      </c>
      <c r="M1272">
        <f t="shared" si="117"/>
        <v>3252.5400000000009</v>
      </c>
    </row>
    <row r="1273" spans="1:13" x14ac:dyDescent="0.25">
      <c r="A1273" s="1">
        <v>45364</v>
      </c>
      <c r="B1273" t="s">
        <v>24</v>
      </c>
      <c r="C1273" t="s">
        <v>20</v>
      </c>
      <c r="D1273" t="s">
        <v>17</v>
      </c>
      <c r="E1273">
        <v>1572.27</v>
      </c>
      <c r="F1273">
        <v>1341.18</v>
      </c>
      <c r="G1273">
        <v>8</v>
      </c>
      <c r="H1273">
        <f t="shared" si="114"/>
        <v>12578.16</v>
      </c>
      <c r="I1273">
        <f t="shared" si="118"/>
        <v>10729.44</v>
      </c>
      <c r="J1273">
        <f t="shared" si="115"/>
        <v>1848.7199999999993</v>
      </c>
      <c r="K1273" s="8">
        <f t="shared" si="116"/>
        <v>0.146978572382606</v>
      </c>
      <c r="L1273" t="str">
        <f t="shared" si="119"/>
        <v>2024-03</v>
      </c>
      <c r="M1273">
        <f t="shared" si="117"/>
        <v>1848.7199999999993</v>
      </c>
    </row>
    <row r="1274" spans="1:13" x14ac:dyDescent="0.25">
      <c r="A1274" s="1">
        <v>45391</v>
      </c>
      <c r="B1274" t="s">
        <v>22</v>
      </c>
      <c r="C1274" t="s">
        <v>8</v>
      </c>
      <c r="D1274" t="s">
        <v>18</v>
      </c>
      <c r="E1274">
        <v>1047.72</v>
      </c>
      <c r="F1274">
        <v>539.55999999999995</v>
      </c>
      <c r="G1274">
        <v>6</v>
      </c>
      <c r="H1274">
        <f t="shared" si="114"/>
        <v>6286.32</v>
      </c>
      <c r="I1274">
        <f t="shared" si="118"/>
        <v>3237.3599999999997</v>
      </c>
      <c r="J1274">
        <f t="shared" si="115"/>
        <v>3048.96</v>
      </c>
      <c r="K1274" s="8">
        <f t="shared" si="116"/>
        <v>0.48501508036498303</v>
      </c>
      <c r="L1274" t="str">
        <f t="shared" si="119"/>
        <v>2024-04</v>
      </c>
      <c r="M1274">
        <f t="shared" si="117"/>
        <v>3048.96</v>
      </c>
    </row>
    <row r="1275" spans="1:13" x14ac:dyDescent="0.25">
      <c r="A1275" s="1">
        <v>44746</v>
      </c>
      <c r="B1275" t="s">
        <v>12</v>
      </c>
      <c r="C1275" t="s">
        <v>8</v>
      </c>
      <c r="D1275" t="s">
        <v>9</v>
      </c>
      <c r="E1275">
        <v>939.83</v>
      </c>
      <c r="F1275">
        <v>740.91</v>
      </c>
      <c r="G1275">
        <v>1</v>
      </c>
      <c r="H1275">
        <f t="shared" si="114"/>
        <v>939.83</v>
      </c>
      <c r="I1275">
        <f t="shared" si="118"/>
        <v>740.91</v>
      </c>
      <c r="J1275">
        <f t="shared" si="115"/>
        <v>198.92000000000007</v>
      </c>
      <c r="K1275" s="8">
        <f t="shared" si="116"/>
        <v>0.21165529936265076</v>
      </c>
      <c r="L1275" t="str">
        <f t="shared" si="119"/>
        <v>2022-07</v>
      </c>
      <c r="M1275">
        <f t="shared" si="117"/>
        <v>198.92000000000007</v>
      </c>
    </row>
    <row r="1276" spans="1:13" x14ac:dyDescent="0.25">
      <c r="A1276" s="1">
        <v>45008</v>
      </c>
      <c r="B1276" t="s">
        <v>24</v>
      </c>
      <c r="C1276" t="s">
        <v>20</v>
      </c>
      <c r="D1276" t="s">
        <v>18</v>
      </c>
      <c r="E1276">
        <v>72.48</v>
      </c>
      <c r="F1276">
        <v>64.540000000000006</v>
      </c>
      <c r="G1276">
        <v>2</v>
      </c>
      <c r="H1276">
        <f t="shared" si="114"/>
        <v>144.96</v>
      </c>
      <c r="I1276">
        <f t="shared" si="118"/>
        <v>129.08000000000001</v>
      </c>
      <c r="J1276">
        <f t="shared" si="115"/>
        <v>15.879999999999995</v>
      </c>
      <c r="K1276" s="8">
        <f t="shared" si="116"/>
        <v>0.10954746136865338</v>
      </c>
      <c r="L1276" t="str">
        <f t="shared" si="119"/>
        <v>2023-03</v>
      </c>
      <c r="M1276">
        <f t="shared" si="117"/>
        <v>15.879999999999995</v>
      </c>
    </row>
    <row r="1277" spans="1:13" x14ac:dyDescent="0.25">
      <c r="A1277" s="1">
        <v>44985</v>
      </c>
      <c r="B1277" t="s">
        <v>14</v>
      </c>
      <c r="C1277" t="s">
        <v>15</v>
      </c>
      <c r="D1277" t="s">
        <v>17</v>
      </c>
      <c r="E1277">
        <v>430.27</v>
      </c>
      <c r="F1277">
        <v>282.62</v>
      </c>
      <c r="G1277">
        <v>5</v>
      </c>
      <c r="H1277">
        <f t="shared" si="114"/>
        <v>2151.35</v>
      </c>
      <c r="I1277">
        <f t="shared" si="118"/>
        <v>1413.1</v>
      </c>
      <c r="J1277">
        <f t="shared" si="115"/>
        <v>738.25</v>
      </c>
      <c r="K1277" s="8">
        <f t="shared" si="116"/>
        <v>0.34315662258581819</v>
      </c>
      <c r="L1277" t="str">
        <f t="shared" si="119"/>
        <v>2023-02</v>
      </c>
      <c r="M1277">
        <f t="shared" si="117"/>
        <v>738.25</v>
      </c>
    </row>
    <row r="1278" spans="1:13" x14ac:dyDescent="0.25">
      <c r="A1278" s="1">
        <v>45303</v>
      </c>
      <c r="B1278" t="s">
        <v>21</v>
      </c>
      <c r="C1278" t="s">
        <v>20</v>
      </c>
      <c r="D1278" t="s">
        <v>17</v>
      </c>
      <c r="E1278">
        <v>1922.4</v>
      </c>
      <c r="F1278">
        <v>1709.52</v>
      </c>
      <c r="G1278">
        <v>7</v>
      </c>
      <c r="H1278">
        <f t="shared" si="114"/>
        <v>13456.800000000001</v>
      </c>
      <c r="I1278">
        <f t="shared" si="118"/>
        <v>11966.64</v>
      </c>
      <c r="J1278">
        <f t="shared" si="115"/>
        <v>1490.1600000000017</v>
      </c>
      <c r="K1278" s="8">
        <f t="shared" si="116"/>
        <v>0.11073657927590523</v>
      </c>
      <c r="L1278" t="str">
        <f t="shared" si="119"/>
        <v>2024-01</v>
      </c>
      <c r="M1278">
        <f t="shared" si="117"/>
        <v>1490.1600000000017</v>
      </c>
    </row>
    <row r="1279" spans="1:13" x14ac:dyDescent="0.25">
      <c r="A1279" s="1">
        <v>44636</v>
      </c>
      <c r="B1279" t="s">
        <v>7</v>
      </c>
      <c r="C1279" t="s">
        <v>8</v>
      </c>
      <c r="D1279" t="s">
        <v>13</v>
      </c>
      <c r="E1279">
        <v>1250</v>
      </c>
      <c r="F1279">
        <v>801.6</v>
      </c>
      <c r="G1279">
        <v>8</v>
      </c>
      <c r="H1279">
        <f t="shared" si="114"/>
        <v>10000</v>
      </c>
      <c r="I1279">
        <f t="shared" si="118"/>
        <v>6412.8</v>
      </c>
      <c r="J1279">
        <f t="shared" si="115"/>
        <v>3587.2</v>
      </c>
      <c r="K1279" s="8">
        <f t="shared" si="116"/>
        <v>0.35871999999999998</v>
      </c>
      <c r="L1279" t="str">
        <f t="shared" si="119"/>
        <v>2022-03</v>
      </c>
      <c r="M1279">
        <f t="shared" si="117"/>
        <v>3587.2</v>
      </c>
    </row>
    <row r="1280" spans="1:13" x14ac:dyDescent="0.25">
      <c r="A1280" s="1">
        <v>44674</v>
      </c>
      <c r="B1280" t="s">
        <v>12</v>
      </c>
      <c r="C1280" t="s">
        <v>8</v>
      </c>
      <c r="D1280" t="s">
        <v>17</v>
      </c>
      <c r="E1280">
        <v>1852</v>
      </c>
      <c r="F1280">
        <v>1189.29</v>
      </c>
      <c r="G1280">
        <v>5</v>
      </c>
      <c r="H1280">
        <f t="shared" si="114"/>
        <v>9260</v>
      </c>
      <c r="I1280">
        <f t="shared" si="118"/>
        <v>5946.45</v>
      </c>
      <c r="J1280">
        <f t="shared" si="115"/>
        <v>3313.55</v>
      </c>
      <c r="K1280" s="8">
        <f t="shared" si="116"/>
        <v>0.35783477321814255</v>
      </c>
      <c r="L1280" t="str">
        <f t="shared" si="119"/>
        <v>2022-04</v>
      </c>
      <c r="M1280">
        <f t="shared" si="117"/>
        <v>3313.55</v>
      </c>
    </row>
    <row r="1281" spans="1:13" x14ac:dyDescent="0.25">
      <c r="A1281" s="1">
        <v>45315</v>
      </c>
      <c r="B1281" t="s">
        <v>12</v>
      </c>
      <c r="C1281" t="s">
        <v>8</v>
      </c>
      <c r="D1281" t="s">
        <v>9</v>
      </c>
      <c r="E1281">
        <v>1208.06</v>
      </c>
      <c r="F1281">
        <v>614.9</v>
      </c>
      <c r="G1281">
        <v>10</v>
      </c>
      <c r="H1281">
        <f t="shared" si="114"/>
        <v>12080.599999999999</v>
      </c>
      <c r="I1281">
        <f t="shared" si="118"/>
        <v>6149</v>
      </c>
      <c r="J1281">
        <f t="shared" si="115"/>
        <v>5931.5999999999985</v>
      </c>
      <c r="K1281" s="8">
        <f t="shared" si="116"/>
        <v>0.49100210254457555</v>
      </c>
      <c r="L1281" t="str">
        <f t="shared" si="119"/>
        <v>2024-01</v>
      </c>
      <c r="M1281">
        <f t="shared" si="117"/>
        <v>5931.5999999999985</v>
      </c>
    </row>
    <row r="1282" spans="1:13" x14ac:dyDescent="0.25">
      <c r="A1282" s="1">
        <v>45478</v>
      </c>
      <c r="B1282" t="s">
        <v>16</v>
      </c>
      <c r="C1282" t="s">
        <v>15</v>
      </c>
      <c r="D1282" t="s">
        <v>13</v>
      </c>
      <c r="E1282">
        <v>401.54</v>
      </c>
      <c r="F1282">
        <v>217.35</v>
      </c>
      <c r="G1282">
        <v>2</v>
      </c>
      <c r="H1282">
        <f t="shared" si="114"/>
        <v>803.08</v>
      </c>
      <c r="I1282">
        <f t="shared" si="118"/>
        <v>434.7</v>
      </c>
      <c r="J1282">
        <f t="shared" si="115"/>
        <v>368.38000000000005</v>
      </c>
      <c r="K1282" s="8">
        <f t="shared" si="116"/>
        <v>0.45870897046371473</v>
      </c>
      <c r="L1282" t="str">
        <f t="shared" si="119"/>
        <v>2024-07</v>
      </c>
      <c r="M1282">
        <f t="shared" si="117"/>
        <v>368.38000000000005</v>
      </c>
    </row>
    <row r="1283" spans="1:13" x14ac:dyDescent="0.25">
      <c r="A1283" s="1">
        <v>44886</v>
      </c>
      <c r="B1283" t="s">
        <v>23</v>
      </c>
      <c r="C1283" t="s">
        <v>11</v>
      </c>
      <c r="D1283" t="s">
        <v>17</v>
      </c>
      <c r="E1283">
        <v>194.24</v>
      </c>
      <c r="F1283">
        <v>152.05000000000001</v>
      </c>
      <c r="G1283">
        <v>9</v>
      </c>
      <c r="H1283">
        <f t="shared" ref="H1283:H1346" si="120">E1283*G1283</f>
        <v>1748.16</v>
      </c>
      <c r="I1283">
        <f t="shared" si="118"/>
        <v>1368.45</v>
      </c>
      <c r="J1283">
        <f t="shared" ref="J1283:J1346" si="121">H1283-I1283</f>
        <v>379.71000000000004</v>
      </c>
      <c r="K1283" s="8">
        <f t="shared" ref="K1283:K1346" si="122">(H1283-I1283)/H1283</f>
        <v>0.21720551894563428</v>
      </c>
      <c r="L1283" t="str">
        <f t="shared" si="119"/>
        <v>2022-11</v>
      </c>
      <c r="M1283">
        <f t="shared" ref="M1283:M1346" si="123">H1283-I1283</f>
        <v>379.71000000000004</v>
      </c>
    </row>
    <row r="1284" spans="1:13" x14ac:dyDescent="0.25">
      <c r="A1284" s="1">
        <v>45036</v>
      </c>
      <c r="B1284" t="s">
        <v>24</v>
      </c>
      <c r="C1284" t="s">
        <v>20</v>
      </c>
      <c r="D1284" t="s">
        <v>17</v>
      </c>
      <c r="E1284">
        <v>1525.28</v>
      </c>
      <c r="F1284">
        <v>885.33</v>
      </c>
      <c r="G1284">
        <v>8</v>
      </c>
      <c r="H1284">
        <f t="shared" si="120"/>
        <v>12202.24</v>
      </c>
      <c r="I1284">
        <f t="shared" ref="I1284:I1347" si="124">F1284*G1284</f>
        <v>7082.64</v>
      </c>
      <c r="J1284">
        <f t="shared" si="121"/>
        <v>5119.5999999999995</v>
      </c>
      <c r="K1284" s="8">
        <f t="shared" si="122"/>
        <v>0.41956230987097448</v>
      </c>
      <c r="L1284" t="str">
        <f t="shared" ref="L1284:L1347" si="125">TEXT(A1284,"rrrr-mm")</f>
        <v>2023-04</v>
      </c>
      <c r="M1284">
        <f t="shared" si="123"/>
        <v>5119.5999999999995</v>
      </c>
    </row>
    <row r="1285" spans="1:13" x14ac:dyDescent="0.25">
      <c r="A1285" s="1">
        <v>44692</v>
      </c>
      <c r="B1285" t="s">
        <v>25</v>
      </c>
      <c r="C1285" t="s">
        <v>15</v>
      </c>
      <c r="D1285" t="s">
        <v>18</v>
      </c>
      <c r="E1285">
        <v>513.36</v>
      </c>
      <c r="F1285">
        <v>441.97</v>
      </c>
      <c r="G1285">
        <v>4</v>
      </c>
      <c r="H1285">
        <f t="shared" si="120"/>
        <v>2053.44</v>
      </c>
      <c r="I1285">
        <f t="shared" si="124"/>
        <v>1767.88</v>
      </c>
      <c r="J1285">
        <f t="shared" si="121"/>
        <v>285.55999999999995</v>
      </c>
      <c r="K1285" s="8">
        <f t="shared" si="122"/>
        <v>0.13906420445691131</v>
      </c>
      <c r="L1285" t="str">
        <f t="shared" si="125"/>
        <v>2022-05</v>
      </c>
      <c r="M1285">
        <f t="shared" si="123"/>
        <v>285.55999999999995</v>
      </c>
    </row>
    <row r="1286" spans="1:13" x14ac:dyDescent="0.25">
      <c r="A1286" s="1">
        <v>45442</v>
      </c>
      <c r="B1286" t="s">
        <v>7</v>
      </c>
      <c r="C1286" t="s">
        <v>8</v>
      </c>
      <c r="D1286" t="s">
        <v>18</v>
      </c>
      <c r="E1286">
        <v>1363.37</v>
      </c>
      <c r="F1286">
        <v>773.41</v>
      </c>
      <c r="G1286">
        <v>1</v>
      </c>
      <c r="H1286">
        <f t="shared" si="120"/>
        <v>1363.37</v>
      </c>
      <c r="I1286">
        <f t="shared" si="124"/>
        <v>773.41</v>
      </c>
      <c r="J1286">
        <f t="shared" si="121"/>
        <v>589.95999999999992</v>
      </c>
      <c r="K1286" s="8">
        <f t="shared" si="122"/>
        <v>0.43272185833632831</v>
      </c>
      <c r="L1286" t="str">
        <f t="shared" si="125"/>
        <v>2024-05</v>
      </c>
      <c r="M1286">
        <f t="shared" si="123"/>
        <v>589.95999999999992</v>
      </c>
    </row>
    <row r="1287" spans="1:13" x14ac:dyDescent="0.25">
      <c r="A1287" s="1">
        <v>44827</v>
      </c>
      <c r="B1287" t="s">
        <v>14</v>
      </c>
      <c r="C1287" t="s">
        <v>15</v>
      </c>
      <c r="D1287" t="s">
        <v>13</v>
      </c>
      <c r="E1287">
        <v>250.98</v>
      </c>
      <c r="F1287">
        <v>168.86</v>
      </c>
      <c r="G1287">
        <v>2</v>
      </c>
      <c r="H1287">
        <f t="shared" si="120"/>
        <v>501.96</v>
      </c>
      <c r="I1287">
        <f t="shared" si="124"/>
        <v>337.72</v>
      </c>
      <c r="J1287">
        <f t="shared" si="121"/>
        <v>164.23999999999995</v>
      </c>
      <c r="K1287" s="8">
        <f t="shared" si="122"/>
        <v>0.32719738624591593</v>
      </c>
      <c r="L1287" t="str">
        <f t="shared" si="125"/>
        <v>2022-09</v>
      </c>
      <c r="M1287">
        <f t="shared" si="123"/>
        <v>164.23999999999995</v>
      </c>
    </row>
    <row r="1288" spans="1:13" x14ac:dyDescent="0.25">
      <c r="A1288" s="1">
        <v>44635</v>
      </c>
      <c r="B1288" t="s">
        <v>16</v>
      </c>
      <c r="C1288" t="s">
        <v>15</v>
      </c>
      <c r="D1288" t="s">
        <v>9</v>
      </c>
      <c r="E1288">
        <v>1980.89</v>
      </c>
      <c r="F1288">
        <v>1581.53</v>
      </c>
      <c r="G1288">
        <v>1</v>
      </c>
      <c r="H1288">
        <f t="shared" si="120"/>
        <v>1980.89</v>
      </c>
      <c r="I1288">
        <f t="shared" si="124"/>
        <v>1581.53</v>
      </c>
      <c r="J1288">
        <f t="shared" si="121"/>
        <v>399.36000000000013</v>
      </c>
      <c r="K1288" s="8">
        <f t="shared" si="122"/>
        <v>0.20160634866146029</v>
      </c>
      <c r="L1288" t="str">
        <f t="shared" si="125"/>
        <v>2022-03</v>
      </c>
      <c r="M1288">
        <f t="shared" si="123"/>
        <v>399.36000000000013</v>
      </c>
    </row>
    <row r="1289" spans="1:13" x14ac:dyDescent="0.25">
      <c r="A1289" s="1">
        <v>44966</v>
      </c>
      <c r="B1289" t="s">
        <v>10</v>
      </c>
      <c r="C1289" t="s">
        <v>11</v>
      </c>
      <c r="D1289" t="s">
        <v>13</v>
      </c>
      <c r="E1289">
        <v>1798.33</v>
      </c>
      <c r="F1289">
        <v>1266.73</v>
      </c>
      <c r="G1289">
        <v>2</v>
      </c>
      <c r="H1289">
        <f t="shared" si="120"/>
        <v>3596.66</v>
      </c>
      <c r="I1289">
        <f t="shared" si="124"/>
        <v>2533.46</v>
      </c>
      <c r="J1289">
        <f t="shared" si="121"/>
        <v>1063.1999999999998</v>
      </c>
      <c r="K1289" s="8">
        <f t="shared" si="122"/>
        <v>0.29560759148765797</v>
      </c>
      <c r="L1289" t="str">
        <f t="shared" si="125"/>
        <v>2023-02</v>
      </c>
      <c r="M1289">
        <f t="shared" si="123"/>
        <v>1063.1999999999998</v>
      </c>
    </row>
    <row r="1290" spans="1:13" x14ac:dyDescent="0.25">
      <c r="A1290" s="1">
        <v>45351</v>
      </c>
      <c r="B1290" t="s">
        <v>23</v>
      </c>
      <c r="C1290" t="s">
        <v>11</v>
      </c>
      <c r="D1290" t="s">
        <v>18</v>
      </c>
      <c r="E1290">
        <v>1027.97</v>
      </c>
      <c r="F1290">
        <v>597.1</v>
      </c>
      <c r="G1290">
        <v>5</v>
      </c>
      <c r="H1290">
        <f t="shared" si="120"/>
        <v>5139.8500000000004</v>
      </c>
      <c r="I1290">
        <f t="shared" si="124"/>
        <v>2985.5</v>
      </c>
      <c r="J1290">
        <f t="shared" si="121"/>
        <v>2154.3500000000004</v>
      </c>
      <c r="K1290" s="8">
        <f t="shared" si="122"/>
        <v>0.41914647314610354</v>
      </c>
      <c r="L1290" t="str">
        <f t="shared" si="125"/>
        <v>2024-02</v>
      </c>
      <c r="M1290">
        <f t="shared" si="123"/>
        <v>2154.3500000000004</v>
      </c>
    </row>
    <row r="1291" spans="1:13" x14ac:dyDescent="0.25">
      <c r="A1291" s="1">
        <v>45338</v>
      </c>
      <c r="B1291" t="s">
        <v>25</v>
      </c>
      <c r="C1291" t="s">
        <v>15</v>
      </c>
      <c r="D1291" t="s">
        <v>13</v>
      </c>
      <c r="E1291">
        <v>1568.43</v>
      </c>
      <c r="F1291">
        <v>1191.48</v>
      </c>
      <c r="G1291">
        <v>4</v>
      </c>
      <c r="H1291">
        <f t="shared" si="120"/>
        <v>6273.72</v>
      </c>
      <c r="I1291">
        <f t="shared" si="124"/>
        <v>4765.92</v>
      </c>
      <c r="J1291">
        <f t="shared" si="121"/>
        <v>1507.8000000000002</v>
      </c>
      <c r="K1291" s="8">
        <f t="shared" si="122"/>
        <v>0.24033587727855246</v>
      </c>
      <c r="L1291" t="str">
        <f t="shared" si="125"/>
        <v>2024-02</v>
      </c>
      <c r="M1291">
        <f t="shared" si="123"/>
        <v>1507.8000000000002</v>
      </c>
    </row>
    <row r="1292" spans="1:13" x14ac:dyDescent="0.25">
      <c r="A1292" s="1">
        <v>45528</v>
      </c>
      <c r="B1292" t="s">
        <v>10</v>
      </c>
      <c r="C1292" t="s">
        <v>11</v>
      </c>
      <c r="D1292" t="s">
        <v>18</v>
      </c>
      <c r="E1292">
        <v>1299.76</v>
      </c>
      <c r="F1292">
        <v>1091.8699999999999</v>
      </c>
      <c r="G1292">
        <v>1</v>
      </c>
      <c r="H1292">
        <f t="shared" si="120"/>
        <v>1299.76</v>
      </c>
      <c r="I1292">
        <f t="shared" si="124"/>
        <v>1091.8699999999999</v>
      </c>
      <c r="J1292">
        <f t="shared" si="121"/>
        <v>207.8900000000001</v>
      </c>
      <c r="K1292" s="8">
        <f t="shared" si="122"/>
        <v>0.1599449129069983</v>
      </c>
      <c r="L1292" t="str">
        <f t="shared" si="125"/>
        <v>2024-08</v>
      </c>
      <c r="M1292">
        <f t="shared" si="123"/>
        <v>207.8900000000001</v>
      </c>
    </row>
    <row r="1293" spans="1:13" x14ac:dyDescent="0.25">
      <c r="A1293" s="1">
        <v>45003</v>
      </c>
      <c r="B1293" t="s">
        <v>25</v>
      </c>
      <c r="C1293" t="s">
        <v>15</v>
      </c>
      <c r="D1293" t="s">
        <v>13</v>
      </c>
      <c r="E1293">
        <v>1201.08</v>
      </c>
      <c r="F1293">
        <v>985.91</v>
      </c>
      <c r="G1293">
        <v>4</v>
      </c>
      <c r="H1293">
        <f t="shared" si="120"/>
        <v>4804.32</v>
      </c>
      <c r="I1293">
        <f t="shared" si="124"/>
        <v>3943.64</v>
      </c>
      <c r="J1293">
        <f t="shared" si="121"/>
        <v>860.67999999999984</v>
      </c>
      <c r="K1293" s="8">
        <f t="shared" si="122"/>
        <v>0.17914710094248507</v>
      </c>
      <c r="L1293" t="str">
        <f t="shared" si="125"/>
        <v>2023-03</v>
      </c>
      <c r="M1293">
        <f t="shared" si="123"/>
        <v>860.67999999999984</v>
      </c>
    </row>
    <row r="1294" spans="1:13" x14ac:dyDescent="0.25">
      <c r="A1294" s="1">
        <v>45319</v>
      </c>
      <c r="B1294" t="s">
        <v>21</v>
      </c>
      <c r="C1294" t="s">
        <v>20</v>
      </c>
      <c r="D1294" t="s">
        <v>9</v>
      </c>
      <c r="E1294">
        <v>1263.1400000000001</v>
      </c>
      <c r="F1294">
        <v>922.28</v>
      </c>
      <c r="G1294">
        <v>5</v>
      </c>
      <c r="H1294">
        <f t="shared" si="120"/>
        <v>6315.7000000000007</v>
      </c>
      <c r="I1294">
        <f t="shared" si="124"/>
        <v>4611.3999999999996</v>
      </c>
      <c r="J1294">
        <f t="shared" si="121"/>
        <v>1704.3000000000011</v>
      </c>
      <c r="K1294" s="8">
        <f t="shared" si="122"/>
        <v>0.26985132289374114</v>
      </c>
      <c r="L1294" t="str">
        <f t="shared" si="125"/>
        <v>2024-01</v>
      </c>
      <c r="M1294">
        <f t="shared" si="123"/>
        <v>1704.3000000000011</v>
      </c>
    </row>
    <row r="1295" spans="1:13" x14ac:dyDescent="0.25">
      <c r="A1295" s="1">
        <v>45543</v>
      </c>
      <c r="B1295" t="s">
        <v>7</v>
      </c>
      <c r="C1295" t="s">
        <v>8</v>
      </c>
      <c r="D1295" t="s">
        <v>17</v>
      </c>
      <c r="E1295">
        <v>1764.07</v>
      </c>
      <c r="F1295">
        <v>1472.3</v>
      </c>
      <c r="G1295">
        <v>3</v>
      </c>
      <c r="H1295">
        <f t="shared" si="120"/>
        <v>5292.21</v>
      </c>
      <c r="I1295">
        <f t="shared" si="124"/>
        <v>4416.8999999999996</v>
      </c>
      <c r="J1295">
        <f t="shared" si="121"/>
        <v>875.3100000000004</v>
      </c>
      <c r="K1295" s="8">
        <f t="shared" si="122"/>
        <v>0.16539593100047056</v>
      </c>
      <c r="L1295" t="str">
        <f t="shared" si="125"/>
        <v>2024-09</v>
      </c>
      <c r="M1295">
        <f t="shared" si="123"/>
        <v>875.3100000000004</v>
      </c>
    </row>
    <row r="1296" spans="1:13" x14ac:dyDescent="0.25">
      <c r="A1296" s="1">
        <v>45078</v>
      </c>
      <c r="B1296" t="s">
        <v>19</v>
      </c>
      <c r="C1296" t="s">
        <v>20</v>
      </c>
      <c r="D1296" t="s">
        <v>13</v>
      </c>
      <c r="E1296">
        <v>877.86</v>
      </c>
      <c r="F1296">
        <v>623.57000000000005</v>
      </c>
      <c r="G1296">
        <v>9</v>
      </c>
      <c r="H1296">
        <f t="shared" si="120"/>
        <v>7900.74</v>
      </c>
      <c r="I1296">
        <f t="shared" si="124"/>
        <v>5612.13</v>
      </c>
      <c r="J1296">
        <f t="shared" si="121"/>
        <v>2288.6099999999997</v>
      </c>
      <c r="K1296" s="8">
        <f t="shared" si="122"/>
        <v>0.28967033467751119</v>
      </c>
      <c r="L1296" t="str">
        <f t="shared" si="125"/>
        <v>2023-06</v>
      </c>
      <c r="M1296">
        <f t="shared" si="123"/>
        <v>2288.6099999999997</v>
      </c>
    </row>
    <row r="1297" spans="1:13" x14ac:dyDescent="0.25">
      <c r="A1297" s="1">
        <v>44864</v>
      </c>
      <c r="B1297" t="s">
        <v>21</v>
      </c>
      <c r="C1297" t="s">
        <v>20</v>
      </c>
      <c r="D1297" t="s">
        <v>9</v>
      </c>
      <c r="E1297">
        <v>1719.61</v>
      </c>
      <c r="F1297">
        <v>970.7</v>
      </c>
      <c r="G1297">
        <v>6</v>
      </c>
      <c r="H1297">
        <f t="shared" si="120"/>
        <v>10317.66</v>
      </c>
      <c r="I1297">
        <f t="shared" si="124"/>
        <v>5824.2000000000007</v>
      </c>
      <c r="J1297">
        <f t="shared" si="121"/>
        <v>4493.4599999999991</v>
      </c>
      <c r="K1297" s="8">
        <f t="shared" si="122"/>
        <v>0.43551154040741791</v>
      </c>
      <c r="L1297" t="str">
        <f t="shared" si="125"/>
        <v>2022-10</v>
      </c>
      <c r="M1297">
        <f t="shared" si="123"/>
        <v>4493.4599999999991</v>
      </c>
    </row>
    <row r="1298" spans="1:13" x14ac:dyDescent="0.25">
      <c r="A1298" s="1">
        <v>44713</v>
      </c>
      <c r="B1298" t="s">
        <v>12</v>
      </c>
      <c r="C1298" t="s">
        <v>8</v>
      </c>
      <c r="D1298" t="s">
        <v>13</v>
      </c>
      <c r="E1298">
        <v>1776.83</v>
      </c>
      <c r="F1298">
        <v>1391.93</v>
      </c>
      <c r="G1298">
        <v>10</v>
      </c>
      <c r="H1298">
        <f t="shared" si="120"/>
        <v>17768.3</v>
      </c>
      <c r="I1298">
        <f t="shared" si="124"/>
        <v>13919.300000000001</v>
      </c>
      <c r="J1298">
        <f t="shared" si="121"/>
        <v>3848.9999999999982</v>
      </c>
      <c r="K1298" s="8">
        <f t="shared" si="122"/>
        <v>0.21662173646325189</v>
      </c>
      <c r="L1298" t="str">
        <f t="shared" si="125"/>
        <v>2022-06</v>
      </c>
      <c r="M1298">
        <f t="shared" si="123"/>
        <v>3848.9999999999982</v>
      </c>
    </row>
    <row r="1299" spans="1:13" x14ac:dyDescent="0.25">
      <c r="A1299" s="1">
        <v>45412</v>
      </c>
      <c r="B1299" t="s">
        <v>25</v>
      </c>
      <c r="C1299" t="s">
        <v>15</v>
      </c>
      <c r="D1299" t="s">
        <v>18</v>
      </c>
      <c r="E1299">
        <v>100.8</v>
      </c>
      <c r="F1299">
        <v>76.41</v>
      </c>
      <c r="G1299">
        <v>9</v>
      </c>
      <c r="H1299">
        <f t="shared" si="120"/>
        <v>907.19999999999993</v>
      </c>
      <c r="I1299">
        <f t="shared" si="124"/>
        <v>687.68999999999994</v>
      </c>
      <c r="J1299">
        <f t="shared" si="121"/>
        <v>219.51</v>
      </c>
      <c r="K1299" s="8">
        <f t="shared" si="122"/>
        <v>0.24196428571428572</v>
      </c>
      <c r="L1299" t="str">
        <f t="shared" si="125"/>
        <v>2024-04</v>
      </c>
      <c r="M1299">
        <f t="shared" si="123"/>
        <v>219.51</v>
      </c>
    </row>
    <row r="1300" spans="1:13" x14ac:dyDescent="0.25">
      <c r="A1300" s="1">
        <v>44784</v>
      </c>
      <c r="B1300" t="s">
        <v>16</v>
      </c>
      <c r="C1300" t="s">
        <v>15</v>
      </c>
      <c r="D1300" t="s">
        <v>9</v>
      </c>
      <c r="E1300">
        <v>373.14</v>
      </c>
      <c r="F1300">
        <v>262.64999999999998</v>
      </c>
      <c r="G1300">
        <v>6</v>
      </c>
      <c r="H1300">
        <f t="shared" si="120"/>
        <v>2238.84</v>
      </c>
      <c r="I1300">
        <f t="shared" si="124"/>
        <v>1575.8999999999999</v>
      </c>
      <c r="J1300">
        <f t="shared" si="121"/>
        <v>662.94000000000028</v>
      </c>
      <c r="K1300" s="8">
        <f t="shared" si="122"/>
        <v>0.29610869914777305</v>
      </c>
      <c r="L1300" t="str">
        <f t="shared" si="125"/>
        <v>2022-08</v>
      </c>
      <c r="M1300">
        <f t="shared" si="123"/>
        <v>662.94000000000028</v>
      </c>
    </row>
    <row r="1301" spans="1:13" x14ac:dyDescent="0.25">
      <c r="A1301" s="1">
        <v>45617</v>
      </c>
      <c r="B1301" t="s">
        <v>10</v>
      </c>
      <c r="C1301" t="s">
        <v>11</v>
      </c>
      <c r="D1301" t="s">
        <v>17</v>
      </c>
      <c r="E1301">
        <v>1183.81</v>
      </c>
      <c r="F1301">
        <v>810.91</v>
      </c>
      <c r="G1301">
        <v>7</v>
      </c>
      <c r="H1301">
        <f t="shared" si="120"/>
        <v>8286.67</v>
      </c>
      <c r="I1301">
        <f t="shared" si="124"/>
        <v>5676.37</v>
      </c>
      <c r="J1301">
        <f t="shared" si="121"/>
        <v>2610.3000000000002</v>
      </c>
      <c r="K1301" s="8">
        <f t="shared" si="122"/>
        <v>0.31499987329047735</v>
      </c>
      <c r="L1301" t="str">
        <f t="shared" si="125"/>
        <v>2024-11</v>
      </c>
      <c r="M1301">
        <f t="shared" si="123"/>
        <v>2610.3000000000002</v>
      </c>
    </row>
    <row r="1302" spans="1:13" x14ac:dyDescent="0.25">
      <c r="A1302" s="1">
        <v>44738</v>
      </c>
      <c r="B1302" t="s">
        <v>16</v>
      </c>
      <c r="C1302" t="s">
        <v>15</v>
      </c>
      <c r="D1302" t="s">
        <v>13</v>
      </c>
      <c r="E1302">
        <v>292.02</v>
      </c>
      <c r="F1302">
        <v>209.53</v>
      </c>
      <c r="G1302">
        <v>4</v>
      </c>
      <c r="H1302">
        <f t="shared" si="120"/>
        <v>1168.08</v>
      </c>
      <c r="I1302">
        <f t="shared" si="124"/>
        <v>838.12</v>
      </c>
      <c r="J1302">
        <f t="shared" si="121"/>
        <v>329.95999999999992</v>
      </c>
      <c r="K1302" s="8">
        <f t="shared" si="122"/>
        <v>0.28248065201013622</v>
      </c>
      <c r="L1302" t="str">
        <f t="shared" si="125"/>
        <v>2022-06</v>
      </c>
      <c r="M1302">
        <f t="shared" si="123"/>
        <v>329.95999999999992</v>
      </c>
    </row>
    <row r="1303" spans="1:13" x14ac:dyDescent="0.25">
      <c r="A1303" s="1">
        <v>44964</v>
      </c>
      <c r="B1303" t="s">
        <v>23</v>
      </c>
      <c r="C1303" t="s">
        <v>11</v>
      </c>
      <c r="D1303" t="s">
        <v>13</v>
      </c>
      <c r="E1303">
        <v>505.07</v>
      </c>
      <c r="F1303">
        <v>399.03</v>
      </c>
      <c r="G1303">
        <v>1</v>
      </c>
      <c r="H1303">
        <f t="shared" si="120"/>
        <v>505.07</v>
      </c>
      <c r="I1303">
        <f t="shared" si="124"/>
        <v>399.03</v>
      </c>
      <c r="J1303">
        <f t="shared" si="121"/>
        <v>106.04000000000002</v>
      </c>
      <c r="K1303" s="8">
        <f t="shared" si="122"/>
        <v>0.20995109588769878</v>
      </c>
      <c r="L1303" t="str">
        <f t="shared" si="125"/>
        <v>2023-02</v>
      </c>
      <c r="M1303">
        <f t="shared" si="123"/>
        <v>106.04000000000002</v>
      </c>
    </row>
    <row r="1304" spans="1:13" x14ac:dyDescent="0.25">
      <c r="A1304" s="1">
        <v>44753</v>
      </c>
      <c r="B1304" t="s">
        <v>16</v>
      </c>
      <c r="C1304" t="s">
        <v>15</v>
      </c>
      <c r="D1304" t="s">
        <v>13</v>
      </c>
      <c r="E1304">
        <v>200.94</v>
      </c>
      <c r="F1304">
        <v>146.13999999999999</v>
      </c>
      <c r="G1304">
        <v>3</v>
      </c>
      <c r="H1304">
        <f t="shared" si="120"/>
        <v>602.81999999999994</v>
      </c>
      <c r="I1304">
        <f t="shared" si="124"/>
        <v>438.41999999999996</v>
      </c>
      <c r="J1304">
        <f t="shared" si="121"/>
        <v>164.39999999999998</v>
      </c>
      <c r="K1304" s="8">
        <f t="shared" si="122"/>
        <v>0.2727182243455758</v>
      </c>
      <c r="L1304" t="str">
        <f t="shared" si="125"/>
        <v>2022-07</v>
      </c>
      <c r="M1304">
        <f t="shared" si="123"/>
        <v>164.39999999999998</v>
      </c>
    </row>
    <row r="1305" spans="1:13" x14ac:dyDescent="0.25">
      <c r="A1305" s="1">
        <v>44720</v>
      </c>
      <c r="B1305" t="s">
        <v>24</v>
      </c>
      <c r="C1305" t="s">
        <v>20</v>
      </c>
      <c r="D1305" t="s">
        <v>9</v>
      </c>
      <c r="E1305">
        <v>1055.6600000000001</v>
      </c>
      <c r="F1305">
        <v>586.95000000000005</v>
      </c>
      <c r="G1305">
        <v>8</v>
      </c>
      <c r="H1305">
        <f t="shared" si="120"/>
        <v>8445.2800000000007</v>
      </c>
      <c r="I1305">
        <f t="shared" si="124"/>
        <v>4695.6000000000004</v>
      </c>
      <c r="J1305">
        <f t="shared" si="121"/>
        <v>3749.6800000000003</v>
      </c>
      <c r="K1305" s="8">
        <f t="shared" si="122"/>
        <v>0.44399712028494021</v>
      </c>
      <c r="L1305" t="str">
        <f t="shared" si="125"/>
        <v>2022-06</v>
      </c>
      <c r="M1305">
        <f t="shared" si="123"/>
        <v>3749.6800000000003</v>
      </c>
    </row>
    <row r="1306" spans="1:13" x14ac:dyDescent="0.25">
      <c r="A1306" s="1">
        <v>44585</v>
      </c>
      <c r="B1306" t="s">
        <v>19</v>
      </c>
      <c r="C1306" t="s">
        <v>20</v>
      </c>
      <c r="D1306" t="s">
        <v>17</v>
      </c>
      <c r="E1306">
        <v>620.29</v>
      </c>
      <c r="F1306">
        <v>429.91</v>
      </c>
      <c r="G1306">
        <v>2</v>
      </c>
      <c r="H1306">
        <f t="shared" si="120"/>
        <v>1240.58</v>
      </c>
      <c r="I1306">
        <f t="shared" si="124"/>
        <v>859.82</v>
      </c>
      <c r="J1306">
        <f t="shared" si="121"/>
        <v>380.75999999999988</v>
      </c>
      <c r="K1306" s="8">
        <f t="shared" si="122"/>
        <v>0.30692095632687927</v>
      </c>
      <c r="L1306" t="str">
        <f t="shared" si="125"/>
        <v>2022-01</v>
      </c>
      <c r="M1306">
        <f t="shared" si="123"/>
        <v>380.75999999999988</v>
      </c>
    </row>
    <row r="1307" spans="1:13" x14ac:dyDescent="0.25">
      <c r="A1307" s="1">
        <v>44806</v>
      </c>
      <c r="B1307" t="s">
        <v>22</v>
      </c>
      <c r="C1307" t="s">
        <v>8</v>
      </c>
      <c r="D1307" t="s">
        <v>17</v>
      </c>
      <c r="E1307">
        <v>1919.91</v>
      </c>
      <c r="F1307">
        <v>1500.24</v>
      </c>
      <c r="G1307">
        <v>5</v>
      </c>
      <c r="H1307">
        <f t="shared" si="120"/>
        <v>9599.5500000000011</v>
      </c>
      <c r="I1307">
        <f t="shared" si="124"/>
        <v>7501.2</v>
      </c>
      <c r="J1307">
        <f t="shared" si="121"/>
        <v>2098.3500000000013</v>
      </c>
      <c r="K1307" s="8">
        <f t="shared" si="122"/>
        <v>0.21858837132990619</v>
      </c>
      <c r="L1307" t="str">
        <f t="shared" si="125"/>
        <v>2022-09</v>
      </c>
      <c r="M1307">
        <f t="shared" si="123"/>
        <v>2098.3500000000013</v>
      </c>
    </row>
    <row r="1308" spans="1:13" x14ac:dyDescent="0.25">
      <c r="A1308" s="1">
        <v>44847</v>
      </c>
      <c r="B1308" t="s">
        <v>14</v>
      </c>
      <c r="C1308" t="s">
        <v>15</v>
      </c>
      <c r="D1308" t="s">
        <v>18</v>
      </c>
      <c r="E1308">
        <v>125.19</v>
      </c>
      <c r="F1308">
        <v>84.07</v>
      </c>
      <c r="G1308">
        <v>2</v>
      </c>
      <c r="H1308">
        <f t="shared" si="120"/>
        <v>250.38</v>
      </c>
      <c r="I1308">
        <f t="shared" si="124"/>
        <v>168.14</v>
      </c>
      <c r="J1308">
        <f t="shared" si="121"/>
        <v>82.240000000000009</v>
      </c>
      <c r="K1308" s="8">
        <f t="shared" si="122"/>
        <v>0.328460739675693</v>
      </c>
      <c r="L1308" t="str">
        <f t="shared" si="125"/>
        <v>2022-10</v>
      </c>
      <c r="M1308">
        <f t="shared" si="123"/>
        <v>82.240000000000009</v>
      </c>
    </row>
    <row r="1309" spans="1:13" x14ac:dyDescent="0.25">
      <c r="A1309" s="1">
        <v>45576</v>
      </c>
      <c r="B1309" t="s">
        <v>23</v>
      </c>
      <c r="C1309" t="s">
        <v>11</v>
      </c>
      <c r="D1309" t="s">
        <v>9</v>
      </c>
      <c r="E1309">
        <v>1272.28</v>
      </c>
      <c r="F1309">
        <v>765.35</v>
      </c>
      <c r="G1309">
        <v>2</v>
      </c>
      <c r="H1309">
        <f t="shared" si="120"/>
        <v>2544.56</v>
      </c>
      <c r="I1309">
        <f t="shared" si="124"/>
        <v>1530.7</v>
      </c>
      <c r="J1309">
        <f t="shared" si="121"/>
        <v>1013.8599999999999</v>
      </c>
      <c r="K1309" s="8">
        <f t="shared" si="122"/>
        <v>0.39844216681862482</v>
      </c>
      <c r="L1309" t="str">
        <f t="shared" si="125"/>
        <v>2024-10</v>
      </c>
      <c r="M1309">
        <f t="shared" si="123"/>
        <v>1013.8599999999999</v>
      </c>
    </row>
    <row r="1310" spans="1:13" x14ac:dyDescent="0.25">
      <c r="A1310" s="1">
        <v>45354</v>
      </c>
      <c r="B1310" t="s">
        <v>14</v>
      </c>
      <c r="C1310" t="s">
        <v>15</v>
      </c>
      <c r="D1310" t="s">
        <v>9</v>
      </c>
      <c r="E1310">
        <v>1376.36</v>
      </c>
      <c r="F1310">
        <v>747.01</v>
      </c>
      <c r="G1310">
        <v>3</v>
      </c>
      <c r="H1310">
        <f t="shared" si="120"/>
        <v>4129.08</v>
      </c>
      <c r="I1310">
        <f t="shared" si="124"/>
        <v>2241.0299999999997</v>
      </c>
      <c r="J1310">
        <f t="shared" si="121"/>
        <v>1888.0500000000002</v>
      </c>
      <c r="K1310" s="8">
        <f t="shared" si="122"/>
        <v>0.4572568223429917</v>
      </c>
      <c r="L1310" t="str">
        <f t="shared" si="125"/>
        <v>2024-03</v>
      </c>
      <c r="M1310">
        <f t="shared" si="123"/>
        <v>1888.0500000000002</v>
      </c>
    </row>
    <row r="1311" spans="1:13" x14ac:dyDescent="0.25">
      <c r="A1311" s="1">
        <v>44761</v>
      </c>
      <c r="B1311" t="s">
        <v>24</v>
      </c>
      <c r="C1311" t="s">
        <v>20</v>
      </c>
      <c r="D1311" t="s">
        <v>9</v>
      </c>
      <c r="E1311">
        <v>648.92999999999995</v>
      </c>
      <c r="F1311">
        <v>528.6</v>
      </c>
      <c r="G1311">
        <v>6</v>
      </c>
      <c r="H1311">
        <f t="shared" si="120"/>
        <v>3893.58</v>
      </c>
      <c r="I1311">
        <f t="shared" si="124"/>
        <v>3171.6000000000004</v>
      </c>
      <c r="J1311">
        <f t="shared" si="121"/>
        <v>721.97999999999956</v>
      </c>
      <c r="K1311" s="8">
        <f t="shared" si="122"/>
        <v>0.18542832046599778</v>
      </c>
      <c r="L1311" t="str">
        <f t="shared" si="125"/>
        <v>2022-07</v>
      </c>
      <c r="M1311">
        <f t="shared" si="123"/>
        <v>721.97999999999956</v>
      </c>
    </row>
    <row r="1312" spans="1:13" x14ac:dyDescent="0.25">
      <c r="A1312" s="1">
        <v>45553</v>
      </c>
      <c r="B1312" t="s">
        <v>19</v>
      </c>
      <c r="C1312" t="s">
        <v>20</v>
      </c>
      <c r="D1312" t="s">
        <v>18</v>
      </c>
      <c r="E1312">
        <v>1581.08</v>
      </c>
      <c r="F1312">
        <v>1199.71</v>
      </c>
      <c r="G1312">
        <v>6</v>
      </c>
      <c r="H1312">
        <f t="shared" si="120"/>
        <v>9486.48</v>
      </c>
      <c r="I1312">
        <f t="shared" si="124"/>
        <v>7198.26</v>
      </c>
      <c r="J1312">
        <f t="shared" si="121"/>
        <v>2288.2199999999993</v>
      </c>
      <c r="K1312" s="8">
        <f t="shared" si="122"/>
        <v>0.24120854099729294</v>
      </c>
      <c r="L1312" t="str">
        <f t="shared" si="125"/>
        <v>2024-09</v>
      </c>
      <c r="M1312">
        <f t="shared" si="123"/>
        <v>2288.2199999999993</v>
      </c>
    </row>
    <row r="1313" spans="1:13" x14ac:dyDescent="0.25">
      <c r="A1313" s="1">
        <v>45598</v>
      </c>
      <c r="B1313" t="s">
        <v>24</v>
      </c>
      <c r="C1313" t="s">
        <v>20</v>
      </c>
      <c r="D1313" t="s">
        <v>13</v>
      </c>
      <c r="E1313">
        <v>1910.82</v>
      </c>
      <c r="F1313">
        <v>983.86</v>
      </c>
      <c r="G1313">
        <v>7</v>
      </c>
      <c r="H1313">
        <f t="shared" si="120"/>
        <v>13375.74</v>
      </c>
      <c r="I1313">
        <f t="shared" si="124"/>
        <v>6887.02</v>
      </c>
      <c r="J1313">
        <f t="shared" si="121"/>
        <v>6488.7199999999993</v>
      </c>
      <c r="K1313" s="8">
        <f t="shared" si="122"/>
        <v>0.48511110413330399</v>
      </c>
      <c r="L1313" t="str">
        <f t="shared" si="125"/>
        <v>2024-11</v>
      </c>
      <c r="M1313">
        <f t="shared" si="123"/>
        <v>6488.7199999999993</v>
      </c>
    </row>
    <row r="1314" spans="1:13" x14ac:dyDescent="0.25">
      <c r="A1314" s="1">
        <v>45213</v>
      </c>
      <c r="B1314" t="s">
        <v>14</v>
      </c>
      <c r="C1314" t="s">
        <v>15</v>
      </c>
      <c r="D1314" t="s">
        <v>17</v>
      </c>
      <c r="E1314">
        <v>999.75</v>
      </c>
      <c r="F1314">
        <v>639.63</v>
      </c>
      <c r="G1314">
        <v>10</v>
      </c>
      <c r="H1314">
        <f t="shared" si="120"/>
        <v>9997.5</v>
      </c>
      <c r="I1314">
        <f t="shared" si="124"/>
        <v>6396.3</v>
      </c>
      <c r="J1314">
        <f t="shared" si="121"/>
        <v>3601.2</v>
      </c>
      <c r="K1314" s="8">
        <f t="shared" si="122"/>
        <v>0.36021005251312826</v>
      </c>
      <c r="L1314" t="str">
        <f t="shared" si="125"/>
        <v>2023-10</v>
      </c>
      <c r="M1314">
        <f t="shared" si="123"/>
        <v>3601.2</v>
      </c>
    </row>
    <row r="1315" spans="1:13" x14ac:dyDescent="0.25">
      <c r="A1315" s="1">
        <v>45647</v>
      </c>
      <c r="B1315" t="s">
        <v>10</v>
      </c>
      <c r="C1315" t="s">
        <v>11</v>
      </c>
      <c r="D1315" t="s">
        <v>18</v>
      </c>
      <c r="E1315">
        <v>811.67</v>
      </c>
      <c r="F1315">
        <v>670.38</v>
      </c>
      <c r="G1315">
        <v>7</v>
      </c>
      <c r="H1315">
        <f t="shared" si="120"/>
        <v>5681.69</v>
      </c>
      <c r="I1315">
        <f t="shared" si="124"/>
        <v>4692.66</v>
      </c>
      <c r="J1315">
        <f t="shared" si="121"/>
        <v>989.02999999999975</v>
      </c>
      <c r="K1315" s="8">
        <f t="shared" si="122"/>
        <v>0.17407320709155194</v>
      </c>
      <c r="L1315" t="str">
        <f t="shared" si="125"/>
        <v>2024-12</v>
      </c>
      <c r="M1315">
        <f t="shared" si="123"/>
        <v>989.02999999999975</v>
      </c>
    </row>
    <row r="1316" spans="1:13" x14ac:dyDescent="0.25">
      <c r="A1316" s="1">
        <v>45392</v>
      </c>
      <c r="B1316" t="s">
        <v>16</v>
      </c>
      <c r="C1316" t="s">
        <v>15</v>
      </c>
      <c r="D1316" t="s">
        <v>13</v>
      </c>
      <c r="E1316">
        <v>1751.2</v>
      </c>
      <c r="F1316">
        <v>1004.01</v>
      </c>
      <c r="G1316">
        <v>3</v>
      </c>
      <c r="H1316">
        <f t="shared" si="120"/>
        <v>5253.6</v>
      </c>
      <c r="I1316">
        <f t="shared" si="124"/>
        <v>3012.0299999999997</v>
      </c>
      <c r="J1316">
        <f t="shared" si="121"/>
        <v>2241.5700000000006</v>
      </c>
      <c r="K1316" s="8">
        <f t="shared" si="122"/>
        <v>0.42667313841936966</v>
      </c>
      <c r="L1316" t="str">
        <f t="shared" si="125"/>
        <v>2024-04</v>
      </c>
      <c r="M1316">
        <f t="shared" si="123"/>
        <v>2241.5700000000006</v>
      </c>
    </row>
    <row r="1317" spans="1:13" x14ac:dyDescent="0.25">
      <c r="A1317" s="1">
        <v>44720</v>
      </c>
      <c r="B1317" t="s">
        <v>21</v>
      </c>
      <c r="C1317" t="s">
        <v>20</v>
      </c>
      <c r="D1317" t="s">
        <v>9</v>
      </c>
      <c r="E1317">
        <v>1586.43</v>
      </c>
      <c r="F1317">
        <v>848.82</v>
      </c>
      <c r="G1317">
        <v>9</v>
      </c>
      <c r="H1317">
        <f t="shared" si="120"/>
        <v>14277.87</v>
      </c>
      <c r="I1317">
        <f t="shared" si="124"/>
        <v>7639.38</v>
      </c>
      <c r="J1317">
        <f t="shared" si="121"/>
        <v>6638.4900000000007</v>
      </c>
      <c r="K1317" s="8">
        <f t="shared" si="122"/>
        <v>0.4649496038274617</v>
      </c>
      <c r="L1317" t="str">
        <f t="shared" si="125"/>
        <v>2022-06</v>
      </c>
      <c r="M1317">
        <f t="shared" si="123"/>
        <v>6638.4900000000007</v>
      </c>
    </row>
    <row r="1318" spans="1:13" x14ac:dyDescent="0.25">
      <c r="A1318" s="1">
        <v>45304</v>
      </c>
      <c r="B1318" t="s">
        <v>7</v>
      </c>
      <c r="C1318" t="s">
        <v>8</v>
      </c>
      <c r="D1318" t="s">
        <v>13</v>
      </c>
      <c r="E1318">
        <v>795.83</v>
      </c>
      <c r="F1318">
        <v>707.84</v>
      </c>
      <c r="G1318">
        <v>7</v>
      </c>
      <c r="H1318">
        <f t="shared" si="120"/>
        <v>5570.81</v>
      </c>
      <c r="I1318">
        <f t="shared" si="124"/>
        <v>4954.88</v>
      </c>
      <c r="J1318">
        <f t="shared" si="121"/>
        <v>615.93000000000029</v>
      </c>
      <c r="K1318" s="8">
        <f t="shared" si="122"/>
        <v>0.11056381387984876</v>
      </c>
      <c r="L1318" t="str">
        <f t="shared" si="125"/>
        <v>2024-01</v>
      </c>
      <c r="M1318">
        <f t="shared" si="123"/>
        <v>615.93000000000029</v>
      </c>
    </row>
    <row r="1319" spans="1:13" x14ac:dyDescent="0.25">
      <c r="A1319" s="1">
        <v>45242</v>
      </c>
      <c r="B1319" t="s">
        <v>19</v>
      </c>
      <c r="C1319" t="s">
        <v>20</v>
      </c>
      <c r="D1319" t="s">
        <v>9</v>
      </c>
      <c r="E1319">
        <v>588.55999999999995</v>
      </c>
      <c r="F1319">
        <v>460.34</v>
      </c>
      <c r="G1319">
        <v>10</v>
      </c>
      <c r="H1319">
        <f t="shared" si="120"/>
        <v>5885.5999999999995</v>
      </c>
      <c r="I1319">
        <f t="shared" si="124"/>
        <v>4603.3999999999996</v>
      </c>
      <c r="J1319">
        <f t="shared" si="121"/>
        <v>1282.1999999999998</v>
      </c>
      <c r="K1319" s="8">
        <f t="shared" si="122"/>
        <v>0.21785374473290742</v>
      </c>
      <c r="L1319" t="str">
        <f t="shared" si="125"/>
        <v>2023-11</v>
      </c>
      <c r="M1319">
        <f t="shared" si="123"/>
        <v>1282.1999999999998</v>
      </c>
    </row>
    <row r="1320" spans="1:13" x14ac:dyDescent="0.25">
      <c r="A1320" s="1">
        <v>44627</v>
      </c>
      <c r="B1320" t="s">
        <v>12</v>
      </c>
      <c r="C1320" t="s">
        <v>8</v>
      </c>
      <c r="D1320" t="s">
        <v>18</v>
      </c>
      <c r="E1320">
        <v>1033.74</v>
      </c>
      <c r="F1320">
        <v>545.76</v>
      </c>
      <c r="G1320">
        <v>2</v>
      </c>
      <c r="H1320">
        <f t="shared" si="120"/>
        <v>2067.48</v>
      </c>
      <c r="I1320">
        <f t="shared" si="124"/>
        <v>1091.52</v>
      </c>
      <c r="J1320">
        <f t="shared" si="121"/>
        <v>975.96</v>
      </c>
      <c r="K1320" s="8">
        <f t="shared" si="122"/>
        <v>0.47205293400661674</v>
      </c>
      <c r="L1320" t="str">
        <f t="shared" si="125"/>
        <v>2022-03</v>
      </c>
      <c r="M1320">
        <f t="shared" si="123"/>
        <v>975.96</v>
      </c>
    </row>
    <row r="1321" spans="1:13" x14ac:dyDescent="0.25">
      <c r="A1321" s="1">
        <v>45415</v>
      </c>
      <c r="B1321" t="s">
        <v>10</v>
      </c>
      <c r="C1321" t="s">
        <v>11</v>
      </c>
      <c r="D1321" t="s">
        <v>9</v>
      </c>
      <c r="E1321">
        <v>1325.4</v>
      </c>
      <c r="F1321">
        <v>1103.7</v>
      </c>
      <c r="G1321">
        <v>1</v>
      </c>
      <c r="H1321">
        <f t="shared" si="120"/>
        <v>1325.4</v>
      </c>
      <c r="I1321">
        <f t="shared" si="124"/>
        <v>1103.7</v>
      </c>
      <c r="J1321">
        <f t="shared" si="121"/>
        <v>221.70000000000005</v>
      </c>
      <c r="K1321" s="8">
        <f t="shared" si="122"/>
        <v>0.16727025803531012</v>
      </c>
      <c r="L1321" t="str">
        <f t="shared" si="125"/>
        <v>2024-05</v>
      </c>
      <c r="M1321">
        <f t="shared" si="123"/>
        <v>221.70000000000005</v>
      </c>
    </row>
    <row r="1322" spans="1:13" x14ac:dyDescent="0.25">
      <c r="A1322" s="1">
        <v>45084</v>
      </c>
      <c r="B1322" t="s">
        <v>10</v>
      </c>
      <c r="C1322" t="s">
        <v>11</v>
      </c>
      <c r="D1322" t="s">
        <v>17</v>
      </c>
      <c r="E1322">
        <v>731.06</v>
      </c>
      <c r="F1322">
        <v>611.14</v>
      </c>
      <c r="G1322">
        <v>2</v>
      </c>
      <c r="H1322">
        <f t="shared" si="120"/>
        <v>1462.12</v>
      </c>
      <c r="I1322">
        <f t="shared" si="124"/>
        <v>1222.28</v>
      </c>
      <c r="J1322">
        <f t="shared" si="121"/>
        <v>239.83999999999992</v>
      </c>
      <c r="K1322" s="8">
        <f t="shared" si="122"/>
        <v>0.16403578365660818</v>
      </c>
      <c r="L1322" t="str">
        <f t="shared" si="125"/>
        <v>2023-06</v>
      </c>
      <c r="M1322">
        <f t="shared" si="123"/>
        <v>239.83999999999992</v>
      </c>
    </row>
    <row r="1323" spans="1:13" x14ac:dyDescent="0.25">
      <c r="A1323" s="1">
        <v>45629</v>
      </c>
      <c r="B1323" t="s">
        <v>7</v>
      </c>
      <c r="C1323" t="s">
        <v>8</v>
      </c>
      <c r="D1323" t="s">
        <v>13</v>
      </c>
      <c r="E1323">
        <v>534.1</v>
      </c>
      <c r="F1323">
        <v>478.24</v>
      </c>
      <c r="G1323">
        <v>3</v>
      </c>
      <c r="H1323">
        <f t="shared" si="120"/>
        <v>1602.3000000000002</v>
      </c>
      <c r="I1323">
        <f t="shared" si="124"/>
        <v>1434.72</v>
      </c>
      <c r="J1323">
        <f t="shared" si="121"/>
        <v>167.58000000000015</v>
      </c>
      <c r="K1323" s="8">
        <f t="shared" si="122"/>
        <v>0.10458715596330284</v>
      </c>
      <c r="L1323" t="str">
        <f t="shared" si="125"/>
        <v>2024-12</v>
      </c>
      <c r="M1323">
        <f t="shared" si="123"/>
        <v>167.58000000000015</v>
      </c>
    </row>
    <row r="1324" spans="1:13" x14ac:dyDescent="0.25">
      <c r="A1324" s="1">
        <v>45029</v>
      </c>
      <c r="B1324" t="s">
        <v>22</v>
      </c>
      <c r="C1324" t="s">
        <v>8</v>
      </c>
      <c r="D1324" t="s">
        <v>9</v>
      </c>
      <c r="E1324">
        <v>220.67</v>
      </c>
      <c r="F1324">
        <v>156.79</v>
      </c>
      <c r="G1324">
        <v>2</v>
      </c>
      <c r="H1324">
        <f t="shared" si="120"/>
        <v>441.34</v>
      </c>
      <c r="I1324">
        <f t="shared" si="124"/>
        <v>313.58</v>
      </c>
      <c r="J1324">
        <f t="shared" si="121"/>
        <v>127.75999999999999</v>
      </c>
      <c r="K1324" s="8">
        <f t="shared" si="122"/>
        <v>0.28948203199347444</v>
      </c>
      <c r="L1324" t="str">
        <f t="shared" si="125"/>
        <v>2023-04</v>
      </c>
      <c r="M1324">
        <f t="shared" si="123"/>
        <v>127.75999999999999</v>
      </c>
    </row>
    <row r="1325" spans="1:13" x14ac:dyDescent="0.25">
      <c r="A1325" s="1">
        <v>44806</v>
      </c>
      <c r="B1325" t="s">
        <v>23</v>
      </c>
      <c r="C1325" t="s">
        <v>11</v>
      </c>
      <c r="D1325" t="s">
        <v>9</v>
      </c>
      <c r="E1325">
        <v>747.26</v>
      </c>
      <c r="F1325">
        <v>404.16</v>
      </c>
      <c r="G1325">
        <v>10</v>
      </c>
      <c r="H1325">
        <f t="shared" si="120"/>
        <v>7472.6</v>
      </c>
      <c r="I1325">
        <f t="shared" si="124"/>
        <v>4041.6000000000004</v>
      </c>
      <c r="J1325">
        <f t="shared" si="121"/>
        <v>3431</v>
      </c>
      <c r="K1325" s="8">
        <f t="shared" si="122"/>
        <v>0.45914407301340898</v>
      </c>
      <c r="L1325" t="str">
        <f t="shared" si="125"/>
        <v>2022-09</v>
      </c>
      <c r="M1325">
        <f t="shared" si="123"/>
        <v>3431</v>
      </c>
    </row>
    <row r="1326" spans="1:13" x14ac:dyDescent="0.25">
      <c r="A1326" s="1">
        <v>45486</v>
      </c>
      <c r="B1326" t="s">
        <v>10</v>
      </c>
      <c r="C1326" t="s">
        <v>11</v>
      </c>
      <c r="D1326" t="s">
        <v>9</v>
      </c>
      <c r="E1326">
        <v>1784.13</v>
      </c>
      <c r="F1326">
        <v>1242.8</v>
      </c>
      <c r="G1326">
        <v>3</v>
      </c>
      <c r="H1326">
        <f t="shared" si="120"/>
        <v>5352.39</v>
      </c>
      <c r="I1326">
        <f t="shared" si="124"/>
        <v>3728.3999999999996</v>
      </c>
      <c r="J1326">
        <f t="shared" si="121"/>
        <v>1623.9900000000007</v>
      </c>
      <c r="K1326" s="8">
        <f t="shared" si="122"/>
        <v>0.30341398889094418</v>
      </c>
      <c r="L1326" t="str">
        <f t="shared" si="125"/>
        <v>2024-07</v>
      </c>
      <c r="M1326">
        <f t="shared" si="123"/>
        <v>1623.9900000000007</v>
      </c>
    </row>
    <row r="1327" spans="1:13" x14ac:dyDescent="0.25">
      <c r="A1327" s="1">
        <v>44563</v>
      </c>
      <c r="B1327" t="s">
        <v>22</v>
      </c>
      <c r="C1327" t="s">
        <v>8</v>
      </c>
      <c r="D1327" t="s">
        <v>13</v>
      </c>
      <c r="E1327">
        <v>1724.56</v>
      </c>
      <c r="F1327">
        <v>1230.97</v>
      </c>
      <c r="G1327">
        <v>6</v>
      </c>
      <c r="H1327">
        <f t="shared" si="120"/>
        <v>10347.36</v>
      </c>
      <c r="I1327">
        <f t="shared" si="124"/>
        <v>7385.82</v>
      </c>
      <c r="J1327">
        <f t="shared" si="121"/>
        <v>2961.5400000000009</v>
      </c>
      <c r="K1327" s="8">
        <f t="shared" si="122"/>
        <v>0.28621213526928613</v>
      </c>
      <c r="L1327" t="str">
        <f t="shared" si="125"/>
        <v>2022-01</v>
      </c>
      <c r="M1327">
        <f t="shared" si="123"/>
        <v>2961.5400000000009</v>
      </c>
    </row>
    <row r="1328" spans="1:13" x14ac:dyDescent="0.25">
      <c r="A1328" s="1">
        <v>44701</v>
      </c>
      <c r="B1328" t="s">
        <v>23</v>
      </c>
      <c r="C1328" t="s">
        <v>11</v>
      </c>
      <c r="D1328" t="s">
        <v>18</v>
      </c>
      <c r="E1328">
        <v>1802.3</v>
      </c>
      <c r="F1328">
        <v>1195.3900000000001</v>
      </c>
      <c r="G1328">
        <v>5</v>
      </c>
      <c r="H1328">
        <f t="shared" si="120"/>
        <v>9011.5</v>
      </c>
      <c r="I1328">
        <f t="shared" si="124"/>
        <v>5976.9500000000007</v>
      </c>
      <c r="J1328">
        <f t="shared" si="121"/>
        <v>3034.5499999999993</v>
      </c>
      <c r="K1328" s="8">
        <f t="shared" si="122"/>
        <v>0.33674194085335396</v>
      </c>
      <c r="L1328" t="str">
        <f t="shared" si="125"/>
        <v>2022-05</v>
      </c>
      <c r="M1328">
        <f t="shared" si="123"/>
        <v>3034.5499999999993</v>
      </c>
    </row>
    <row r="1329" spans="1:13" x14ac:dyDescent="0.25">
      <c r="A1329" s="1">
        <v>45637</v>
      </c>
      <c r="B1329" t="s">
        <v>7</v>
      </c>
      <c r="C1329" t="s">
        <v>8</v>
      </c>
      <c r="D1329" t="s">
        <v>18</v>
      </c>
      <c r="E1329">
        <v>1266.9100000000001</v>
      </c>
      <c r="F1329">
        <v>691.71</v>
      </c>
      <c r="G1329">
        <v>7</v>
      </c>
      <c r="H1329">
        <f t="shared" si="120"/>
        <v>8868.3700000000008</v>
      </c>
      <c r="I1329">
        <f t="shared" si="124"/>
        <v>4841.97</v>
      </c>
      <c r="J1329">
        <f t="shared" si="121"/>
        <v>4026.4000000000005</v>
      </c>
      <c r="K1329" s="8">
        <f t="shared" si="122"/>
        <v>0.45401804390209249</v>
      </c>
      <c r="L1329" t="str">
        <f t="shared" si="125"/>
        <v>2024-12</v>
      </c>
      <c r="M1329">
        <f t="shared" si="123"/>
        <v>4026.4000000000005</v>
      </c>
    </row>
    <row r="1330" spans="1:13" x14ac:dyDescent="0.25">
      <c r="A1330" s="1">
        <v>45260</v>
      </c>
      <c r="B1330" t="s">
        <v>16</v>
      </c>
      <c r="C1330" t="s">
        <v>15</v>
      </c>
      <c r="D1330" t="s">
        <v>17</v>
      </c>
      <c r="E1330">
        <v>1814.87</v>
      </c>
      <c r="F1330">
        <v>1241.6400000000001</v>
      </c>
      <c r="G1330">
        <v>7</v>
      </c>
      <c r="H1330">
        <f t="shared" si="120"/>
        <v>12704.09</v>
      </c>
      <c r="I1330">
        <f t="shared" si="124"/>
        <v>8691.4800000000014</v>
      </c>
      <c r="J1330">
        <f t="shared" si="121"/>
        <v>4012.6099999999988</v>
      </c>
      <c r="K1330" s="8">
        <f t="shared" si="122"/>
        <v>0.31585182409759366</v>
      </c>
      <c r="L1330" t="str">
        <f t="shared" si="125"/>
        <v>2023-11</v>
      </c>
      <c r="M1330">
        <f t="shared" si="123"/>
        <v>4012.6099999999988</v>
      </c>
    </row>
    <row r="1331" spans="1:13" x14ac:dyDescent="0.25">
      <c r="A1331" s="1">
        <v>44774</v>
      </c>
      <c r="B1331" t="s">
        <v>14</v>
      </c>
      <c r="C1331" t="s">
        <v>15</v>
      </c>
      <c r="D1331" t="s">
        <v>13</v>
      </c>
      <c r="E1331">
        <v>1555.93</v>
      </c>
      <c r="F1331">
        <v>1111.3900000000001</v>
      </c>
      <c r="G1331">
        <v>2</v>
      </c>
      <c r="H1331">
        <f t="shared" si="120"/>
        <v>3111.86</v>
      </c>
      <c r="I1331">
        <f t="shared" si="124"/>
        <v>2222.7800000000002</v>
      </c>
      <c r="J1331">
        <f t="shared" si="121"/>
        <v>889.07999999999993</v>
      </c>
      <c r="K1331" s="8">
        <f t="shared" si="122"/>
        <v>0.28570694054359769</v>
      </c>
      <c r="L1331" t="str">
        <f t="shared" si="125"/>
        <v>2022-08</v>
      </c>
      <c r="M1331">
        <f t="shared" si="123"/>
        <v>889.07999999999993</v>
      </c>
    </row>
    <row r="1332" spans="1:13" x14ac:dyDescent="0.25">
      <c r="A1332" s="1">
        <v>45349</v>
      </c>
      <c r="B1332" t="s">
        <v>22</v>
      </c>
      <c r="C1332" t="s">
        <v>8</v>
      </c>
      <c r="D1332" t="s">
        <v>17</v>
      </c>
      <c r="E1332">
        <v>1202.3900000000001</v>
      </c>
      <c r="F1332">
        <v>978.34</v>
      </c>
      <c r="G1332">
        <v>5</v>
      </c>
      <c r="H1332">
        <f t="shared" si="120"/>
        <v>6011.9500000000007</v>
      </c>
      <c r="I1332">
        <f t="shared" si="124"/>
        <v>4891.7</v>
      </c>
      <c r="J1332">
        <f t="shared" si="121"/>
        <v>1120.2500000000009</v>
      </c>
      <c r="K1332" s="8">
        <f t="shared" si="122"/>
        <v>0.18633721171999115</v>
      </c>
      <c r="L1332" t="str">
        <f t="shared" si="125"/>
        <v>2024-02</v>
      </c>
      <c r="M1332">
        <f t="shared" si="123"/>
        <v>1120.2500000000009</v>
      </c>
    </row>
    <row r="1333" spans="1:13" x14ac:dyDescent="0.25">
      <c r="A1333" s="1">
        <v>45368</v>
      </c>
      <c r="B1333" t="s">
        <v>16</v>
      </c>
      <c r="C1333" t="s">
        <v>15</v>
      </c>
      <c r="D1333" t="s">
        <v>9</v>
      </c>
      <c r="E1333">
        <v>445.74</v>
      </c>
      <c r="F1333">
        <v>341.37</v>
      </c>
      <c r="G1333">
        <v>7</v>
      </c>
      <c r="H1333">
        <f t="shared" si="120"/>
        <v>3120.1800000000003</v>
      </c>
      <c r="I1333">
        <f t="shared" si="124"/>
        <v>2389.59</v>
      </c>
      <c r="J1333">
        <f t="shared" si="121"/>
        <v>730.59000000000015</v>
      </c>
      <c r="K1333" s="8">
        <f t="shared" si="122"/>
        <v>0.23414995288733345</v>
      </c>
      <c r="L1333" t="str">
        <f t="shared" si="125"/>
        <v>2024-03</v>
      </c>
      <c r="M1333">
        <f t="shared" si="123"/>
        <v>730.59000000000015</v>
      </c>
    </row>
    <row r="1334" spans="1:13" x14ac:dyDescent="0.25">
      <c r="A1334" s="1">
        <v>44745</v>
      </c>
      <c r="B1334" t="s">
        <v>25</v>
      </c>
      <c r="C1334" t="s">
        <v>15</v>
      </c>
      <c r="D1334" t="s">
        <v>17</v>
      </c>
      <c r="E1334">
        <v>1081.19</v>
      </c>
      <c r="F1334">
        <v>888.62</v>
      </c>
      <c r="G1334">
        <v>2</v>
      </c>
      <c r="H1334">
        <f t="shared" si="120"/>
        <v>2162.38</v>
      </c>
      <c r="I1334">
        <f t="shared" si="124"/>
        <v>1777.24</v>
      </c>
      <c r="J1334">
        <f t="shared" si="121"/>
        <v>385.1400000000001</v>
      </c>
      <c r="K1334" s="8">
        <f t="shared" si="122"/>
        <v>0.17810930548747217</v>
      </c>
      <c r="L1334" t="str">
        <f t="shared" si="125"/>
        <v>2022-07</v>
      </c>
      <c r="M1334">
        <f t="shared" si="123"/>
        <v>385.1400000000001</v>
      </c>
    </row>
    <row r="1335" spans="1:13" x14ac:dyDescent="0.25">
      <c r="A1335" s="1">
        <v>45149</v>
      </c>
      <c r="B1335" t="s">
        <v>12</v>
      </c>
      <c r="C1335" t="s">
        <v>8</v>
      </c>
      <c r="D1335" t="s">
        <v>17</v>
      </c>
      <c r="E1335">
        <v>1534.14</v>
      </c>
      <c r="F1335">
        <v>1334.36</v>
      </c>
      <c r="G1335">
        <v>7</v>
      </c>
      <c r="H1335">
        <f t="shared" si="120"/>
        <v>10738.980000000001</v>
      </c>
      <c r="I1335">
        <f t="shared" si="124"/>
        <v>9340.5199999999986</v>
      </c>
      <c r="J1335">
        <f t="shared" si="121"/>
        <v>1398.4600000000028</v>
      </c>
      <c r="K1335" s="8">
        <f t="shared" si="122"/>
        <v>0.13022279583349652</v>
      </c>
      <c r="L1335" t="str">
        <f t="shared" si="125"/>
        <v>2023-08</v>
      </c>
      <c r="M1335">
        <f t="shared" si="123"/>
        <v>1398.4600000000028</v>
      </c>
    </row>
    <row r="1336" spans="1:13" x14ac:dyDescent="0.25">
      <c r="A1336" s="1">
        <v>44970</v>
      </c>
      <c r="B1336" t="s">
        <v>22</v>
      </c>
      <c r="C1336" t="s">
        <v>8</v>
      </c>
      <c r="D1336" t="s">
        <v>9</v>
      </c>
      <c r="E1336">
        <v>1420.22</v>
      </c>
      <c r="F1336">
        <v>1013.24</v>
      </c>
      <c r="G1336">
        <v>8</v>
      </c>
      <c r="H1336">
        <f t="shared" si="120"/>
        <v>11361.76</v>
      </c>
      <c r="I1336">
        <f t="shared" si="124"/>
        <v>8105.92</v>
      </c>
      <c r="J1336">
        <f t="shared" si="121"/>
        <v>3255.84</v>
      </c>
      <c r="K1336" s="8">
        <f t="shared" si="122"/>
        <v>0.28656123699145203</v>
      </c>
      <c r="L1336" t="str">
        <f t="shared" si="125"/>
        <v>2023-02</v>
      </c>
      <c r="M1336">
        <f t="shared" si="123"/>
        <v>3255.84</v>
      </c>
    </row>
    <row r="1337" spans="1:13" x14ac:dyDescent="0.25">
      <c r="A1337" s="1">
        <v>44962</v>
      </c>
      <c r="B1337" t="s">
        <v>10</v>
      </c>
      <c r="C1337" t="s">
        <v>11</v>
      </c>
      <c r="D1337" t="s">
        <v>18</v>
      </c>
      <c r="E1337">
        <v>567.22</v>
      </c>
      <c r="F1337">
        <v>375.58</v>
      </c>
      <c r="G1337">
        <v>6</v>
      </c>
      <c r="H1337">
        <f t="shared" si="120"/>
        <v>3403.32</v>
      </c>
      <c r="I1337">
        <f t="shared" si="124"/>
        <v>2253.48</v>
      </c>
      <c r="J1337">
        <f t="shared" si="121"/>
        <v>1149.8400000000001</v>
      </c>
      <c r="K1337" s="8">
        <f t="shared" si="122"/>
        <v>0.33785832657522658</v>
      </c>
      <c r="L1337" t="str">
        <f t="shared" si="125"/>
        <v>2023-02</v>
      </c>
      <c r="M1337">
        <f t="shared" si="123"/>
        <v>1149.8400000000001</v>
      </c>
    </row>
    <row r="1338" spans="1:13" x14ac:dyDescent="0.25">
      <c r="A1338" s="1">
        <v>45070</v>
      </c>
      <c r="B1338" t="s">
        <v>22</v>
      </c>
      <c r="C1338" t="s">
        <v>8</v>
      </c>
      <c r="D1338" t="s">
        <v>17</v>
      </c>
      <c r="E1338">
        <v>430.89</v>
      </c>
      <c r="F1338">
        <v>257.77999999999997</v>
      </c>
      <c r="G1338">
        <v>8</v>
      </c>
      <c r="H1338">
        <f t="shared" si="120"/>
        <v>3447.12</v>
      </c>
      <c r="I1338">
        <f t="shared" si="124"/>
        <v>2062.2399999999998</v>
      </c>
      <c r="J1338">
        <f t="shared" si="121"/>
        <v>1384.88</v>
      </c>
      <c r="K1338" s="8">
        <f t="shared" si="122"/>
        <v>0.4017498665552694</v>
      </c>
      <c r="L1338" t="str">
        <f t="shared" si="125"/>
        <v>2023-05</v>
      </c>
      <c r="M1338">
        <f t="shared" si="123"/>
        <v>1384.88</v>
      </c>
    </row>
    <row r="1339" spans="1:13" x14ac:dyDescent="0.25">
      <c r="A1339" s="1">
        <v>45175</v>
      </c>
      <c r="B1339" t="s">
        <v>14</v>
      </c>
      <c r="C1339" t="s">
        <v>15</v>
      </c>
      <c r="D1339" t="s">
        <v>17</v>
      </c>
      <c r="E1339">
        <v>97.69</v>
      </c>
      <c r="F1339">
        <v>50.29</v>
      </c>
      <c r="G1339">
        <v>2</v>
      </c>
      <c r="H1339">
        <f t="shared" si="120"/>
        <v>195.38</v>
      </c>
      <c r="I1339">
        <f t="shared" si="124"/>
        <v>100.58</v>
      </c>
      <c r="J1339">
        <f t="shared" si="121"/>
        <v>94.8</v>
      </c>
      <c r="K1339" s="8">
        <f t="shared" si="122"/>
        <v>0.48520831200737025</v>
      </c>
      <c r="L1339" t="str">
        <f t="shared" si="125"/>
        <v>2023-09</v>
      </c>
      <c r="M1339">
        <f t="shared" si="123"/>
        <v>94.8</v>
      </c>
    </row>
    <row r="1340" spans="1:13" x14ac:dyDescent="0.25">
      <c r="A1340" s="1">
        <v>45063</v>
      </c>
      <c r="B1340" t="s">
        <v>7</v>
      </c>
      <c r="C1340" t="s">
        <v>8</v>
      </c>
      <c r="D1340" t="s">
        <v>13</v>
      </c>
      <c r="E1340">
        <v>611.16999999999996</v>
      </c>
      <c r="F1340">
        <v>450.25</v>
      </c>
      <c r="G1340">
        <v>2</v>
      </c>
      <c r="H1340">
        <f t="shared" si="120"/>
        <v>1222.3399999999999</v>
      </c>
      <c r="I1340">
        <f t="shared" si="124"/>
        <v>900.5</v>
      </c>
      <c r="J1340">
        <f t="shared" si="121"/>
        <v>321.83999999999992</v>
      </c>
      <c r="K1340" s="8">
        <f t="shared" si="122"/>
        <v>0.26329826398547046</v>
      </c>
      <c r="L1340" t="str">
        <f t="shared" si="125"/>
        <v>2023-05</v>
      </c>
      <c r="M1340">
        <f t="shared" si="123"/>
        <v>321.83999999999992</v>
      </c>
    </row>
    <row r="1341" spans="1:13" x14ac:dyDescent="0.25">
      <c r="A1341" s="1">
        <v>44898</v>
      </c>
      <c r="B1341" t="s">
        <v>23</v>
      </c>
      <c r="C1341" t="s">
        <v>11</v>
      </c>
      <c r="D1341" t="s">
        <v>17</v>
      </c>
      <c r="E1341">
        <v>155.08000000000001</v>
      </c>
      <c r="F1341">
        <v>97.09</v>
      </c>
      <c r="G1341">
        <v>3</v>
      </c>
      <c r="H1341">
        <f t="shared" si="120"/>
        <v>465.24</v>
      </c>
      <c r="I1341">
        <f t="shared" si="124"/>
        <v>291.27</v>
      </c>
      <c r="J1341">
        <f t="shared" si="121"/>
        <v>173.97000000000003</v>
      </c>
      <c r="K1341" s="8">
        <f t="shared" si="122"/>
        <v>0.37393603301521799</v>
      </c>
      <c r="L1341" t="str">
        <f t="shared" si="125"/>
        <v>2022-12</v>
      </c>
      <c r="M1341">
        <f t="shared" si="123"/>
        <v>173.97000000000003</v>
      </c>
    </row>
    <row r="1342" spans="1:13" x14ac:dyDescent="0.25">
      <c r="A1342" s="1">
        <v>44578</v>
      </c>
      <c r="B1342" t="s">
        <v>22</v>
      </c>
      <c r="C1342" t="s">
        <v>8</v>
      </c>
      <c r="D1342" t="s">
        <v>17</v>
      </c>
      <c r="E1342">
        <v>1876.34</v>
      </c>
      <c r="F1342">
        <v>1205.51</v>
      </c>
      <c r="G1342">
        <v>8</v>
      </c>
      <c r="H1342">
        <f t="shared" si="120"/>
        <v>15010.72</v>
      </c>
      <c r="I1342">
        <f t="shared" si="124"/>
        <v>9644.08</v>
      </c>
      <c r="J1342">
        <f t="shared" si="121"/>
        <v>5366.6399999999994</v>
      </c>
      <c r="K1342" s="8">
        <f t="shared" si="122"/>
        <v>0.35752049202170177</v>
      </c>
      <c r="L1342" t="str">
        <f t="shared" si="125"/>
        <v>2022-01</v>
      </c>
      <c r="M1342">
        <f t="shared" si="123"/>
        <v>5366.6399999999994</v>
      </c>
    </row>
    <row r="1343" spans="1:13" x14ac:dyDescent="0.25">
      <c r="A1343" s="1">
        <v>45470</v>
      </c>
      <c r="B1343" t="s">
        <v>16</v>
      </c>
      <c r="C1343" t="s">
        <v>15</v>
      </c>
      <c r="D1343" t="s">
        <v>17</v>
      </c>
      <c r="E1343">
        <v>64.150000000000006</v>
      </c>
      <c r="F1343">
        <v>47.63</v>
      </c>
      <c r="G1343">
        <v>7</v>
      </c>
      <c r="H1343">
        <f t="shared" si="120"/>
        <v>449.05000000000007</v>
      </c>
      <c r="I1343">
        <f t="shared" si="124"/>
        <v>333.41</v>
      </c>
      <c r="J1343">
        <f t="shared" si="121"/>
        <v>115.64000000000004</v>
      </c>
      <c r="K1343" s="8">
        <f t="shared" si="122"/>
        <v>0.2575214341387374</v>
      </c>
      <c r="L1343" t="str">
        <f t="shared" si="125"/>
        <v>2024-06</v>
      </c>
      <c r="M1343">
        <f t="shared" si="123"/>
        <v>115.64000000000004</v>
      </c>
    </row>
    <row r="1344" spans="1:13" x14ac:dyDescent="0.25">
      <c r="A1344" s="1">
        <v>45576</v>
      </c>
      <c r="B1344" t="s">
        <v>10</v>
      </c>
      <c r="C1344" t="s">
        <v>11</v>
      </c>
      <c r="D1344" t="s">
        <v>9</v>
      </c>
      <c r="E1344">
        <v>1666.69</v>
      </c>
      <c r="F1344">
        <v>1084.42</v>
      </c>
      <c r="G1344">
        <v>6</v>
      </c>
      <c r="H1344">
        <f t="shared" si="120"/>
        <v>10000.14</v>
      </c>
      <c r="I1344">
        <f t="shared" si="124"/>
        <v>6506.52</v>
      </c>
      <c r="J1344">
        <f t="shared" si="121"/>
        <v>3493.619999999999</v>
      </c>
      <c r="K1344" s="8">
        <f t="shared" si="122"/>
        <v>0.3493571090004739</v>
      </c>
      <c r="L1344" t="str">
        <f t="shared" si="125"/>
        <v>2024-10</v>
      </c>
      <c r="M1344">
        <f t="shared" si="123"/>
        <v>3493.619999999999</v>
      </c>
    </row>
    <row r="1345" spans="1:13" x14ac:dyDescent="0.25">
      <c r="A1345" s="1">
        <v>44955</v>
      </c>
      <c r="B1345" t="s">
        <v>23</v>
      </c>
      <c r="C1345" t="s">
        <v>11</v>
      </c>
      <c r="D1345" t="s">
        <v>9</v>
      </c>
      <c r="E1345">
        <v>1884.65</v>
      </c>
      <c r="F1345">
        <v>1562.73</v>
      </c>
      <c r="G1345">
        <v>4</v>
      </c>
      <c r="H1345">
        <f t="shared" si="120"/>
        <v>7538.6</v>
      </c>
      <c r="I1345">
        <f t="shared" si="124"/>
        <v>6250.92</v>
      </c>
      <c r="J1345">
        <f t="shared" si="121"/>
        <v>1287.6800000000003</v>
      </c>
      <c r="K1345" s="8">
        <f t="shared" si="122"/>
        <v>0.17081155652243124</v>
      </c>
      <c r="L1345" t="str">
        <f t="shared" si="125"/>
        <v>2023-01</v>
      </c>
      <c r="M1345">
        <f t="shared" si="123"/>
        <v>1287.6800000000003</v>
      </c>
    </row>
    <row r="1346" spans="1:13" x14ac:dyDescent="0.25">
      <c r="A1346" s="1">
        <v>45621</v>
      </c>
      <c r="B1346" t="s">
        <v>14</v>
      </c>
      <c r="C1346" t="s">
        <v>15</v>
      </c>
      <c r="D1346" t="s">
        <v>13</v>
      </c>
      <c r="E1346">
        <v>602.08000000000004</v>
      </c>
      <c r="F1346">
        <v>339.51</v>
      </c>
      <c r="G1346">
        <v>5</v>
      </c>
      <c r="H1346">
        <f t="shared" si="120"/>
        <v>3010.4</v>
      </c>
      <c r="I1346">
        <f t="shared" si="124"/>
        <v>1697.55</v>
      </c>
      <c r="J1346">
        <f t="shared" si="121"/>
        <v>1312.8500000000001</v>
      </c>
      <c r="K1346" s="8">
        <f t="shared" si="122"/>
        <v>0.43610483656656923</v>
      </c>
      <c r="L1346" t="str">
        <f t="shared" si="125"/>
        <v>2024-11</v>
      </c>
      <c r="M1346">
        <f t="shared" si="123"/>
        <v>1312.8500000000001</v>
      </c>
    </row>
    <row r="1347" spans="1:13" x14ac:dyDescent="0.25">
      <c r="A1347" s="1">
        <v>44779</v>
      </c>
      <c r="B1347" t="s">
        <v>25</v>
      </c>
      <c r="C1347" t="s">
        <v>15</v>
      </c>
      <c r="D1347" t="s">
        <v>18</v>
      </c>
      <c r="E1347">
        <v>230.48</v>
      </c>
      <c r="F1347">
        <v>171.61</v>
      </c>
      <c r="G1347">
        <v>8</v>
      </c>
      <c r="H1347">
        <f t="shared" ref="H1347:H1410" si="126">E1347*G1347</f>
        <v>1843.84</v>
      </c>
      <c r="I1347">
        <f t="shared" si="124"/>
        <v>1372.88</v>
      </c>
      <c r="J1347">
        <f t="shared" ref="J1347:J1410" si="127">H1347-I1347</f>
        <v>470.95999999999981</v>
      </c>
      <c r="K1347" s="8">
        <f t="shared" ref="K1347:K1410" si="128">(H1347-I1347)/H1347</f>
        <v>0.25542346407497385</v>
      </c>
      <c r="L1347" t="str">
        <f t="shared" si="125"/>
        <v>2022-08</v>
      </c>
      <c r="M1347">
        <f t="shared" ref="M1347:M1410" si="129">H1347-I1347</f>
        <v>470.95999999999981</v>
      </c>
    </row>
    <row r="1348" spans="1:13" x14ac:dyDescent="0.25">
      <c r="A1348" s="1">
        <v>45551</v>
      </c>
      <c r="B1348" t="s">
        <v>19</v>
      </c>
      <c r="C1348" t="s">
        <v>20</v>
      </c>
      <c r="D1348" t="s">
        <v>18</v>
      </c>
      <c r="E1348">
        <v>562.14</v>
      </c>
      <c r="F1348">
        <v>338.33</v>
      </c>
      <c r="G1348">
        <v>3</v>
      </c>
      <c r="H1348">
        <f t="shared" si="126"/>
        <v>1686.42</v>
      </c>
      <c r="I1348">
        <f t="shared" ref="I1348:I1411" si="130">F1348*G1348</f>
        <v>1014.99</v>
      </c>
      <c r="J1348">
        <f t="shared" si="127"/>
        <v>671.43000000000006</v>
      </c>
      <c r="K1348" s="8">
        <f t="shared" si="128"/>
        <v>0.39813925356672719</v>
      </c>
      <c r="L1348" t="str">
        <f t="shared" ref="L1348:L1411" si="131">TEXT(A1348,"rrrr-mm")</f>
        <v>2024-09</v>
      </c>
      <c r="M1348">
        <f t="shared" si="129"/>
        <v>671.43000000000006</v>
      </c>
    </row>
    <row r="1349" spans="1:13" x14ac:dyDescent="0.25">
      <c r="A1349" s="1">
        <v>44896</v>
      </c>
      <c r="B1349" t="s">
        <v>19</v>
      </c>
      <c r="C1349" t="s">
        <v>20</v>
      </c>
      <c r="D1349" t="s">
        <v>17</v>
      </c>
      <c r="E1349">
        <v>21.08</v>
      </c>
      <c r="F1349">
        <v>15.58</v>
      </c>
      <c r="G1349">
        <v>6</v>
      </c>
      <c r="H1349">
        <f t="shared" si="126"/>
        <v>126.47999999999999</v>
      </c>
      <c r="I1349">
        <f t="shared" si="130"/>
        <v>93.48</v>
      </c>
      <c r="J1349">
        <f t="shared" si="127"/>
        <v>32.999999999999986</v>
      </c>
      <c r="K1349" s="8">
        <f t="shared" si="128"/>
        <v>0.26091081593927884</v>
      </c>
      <c r="L1349" t="str">
        <f t="shared" si="131"/>
        <v>2022-12</v>
      </c>
      <c r="M1349">
        <f t="shared" si="129"/>
        <v>32.999999999999986</v>
      </c>
    </row>
    <row r="1350" spans="1:13" x14ac:dyDescent="0.25">
      <c r="A1350" s="1">
        <v>45362</v>
      </c>
      <c r="B1350" t="s">
        <v>7</v>
      </c>
      <c r="C1350" t="s">
        <v>8</v>
      </c>
      <c r="D1350" t="s">
        <v>18</v>
      </c>
      <c r="E1350">
        <v>1412.23</v>
      </c>
      <c r="F1350">
        <v>1194.3499999999999</v>
      </c>
      <c r="G1350">
        <v>8</v>
      </c>
      <c r="H1350">
        <f t="shared" si="126"/>
        <v>11297.84</v>
      </c>
      <c r="I1350">
        <f t="shared" si="130"/>
        <v>9554.7999999999993</v>
      </c>
      <c r="J1350">
        <f t="shared" si="127"/>
        <v>1743.0400000000009</v>
      </c>
      <c r="K1350" s="8">
        <f t="shared" si="128"/>
        <v>0.15428081828030851</v>
      </c>
      <c r="L1350" t="str">
        <f t="shared" si="131"/>
        <v>2024-03</v>
      </c>
      <c r="M1350">
        <f t="shared" si="129"/>
        <v>1743.0400000000009</v>
      </c>
    </row>
    <row r="1351" spans="1:13" x14ac:dyDescent="0.25">
      <c r="A1351" s="1">
        <v>45532</v>
      </c>
      <c r="B1351" t="s">
        <v>21</v>
      </c>
      <c r="C1351" t="s">
        <v>20</v>
      </c>
      <c r="D1351" t="s">
        <v>17</v>
      </c>
      <c r="E1351">
        <v>1789.14</v>
      </c>
      <c r="F1351">
        <v>1024.52</v>
      </c>
      <c r="G1351">
        <v>2</v>
      </c>
      <c r="H1351">
        <f t="shared" si="126"/>
        <v>3578.28</v>
      </c>
      <c r="I1351">
        <f t="shared" si="130"/>
        <v>2049.04</v>
      </c>
      <c r="J1351">
        <f t="shared" si="127"/>
        <v>1529.2400000000002</v>
      </c>
      <c r="K1351" s="8">
        <f t="shared" si="128"/>
        <v>0.42736733849782582</v>
      </c>
      <c r="L1351" t="str">
        <f t="shared" si="131"/>
        <v>2024-08</v>
      </c>
      <c r="M1351">
        <f t="shared" si="129"/>
        <v>1529.2400000000002</v>
      </c>
    </row>
    <row r="1352" spans="1:13" x14ac:dyDescent="0.25">
      <c r="A1352" s="1">
        <v>45290</v>
      </c>
      <c r="B1352" t="s">
        <v>16</v>
      </c>
      <c r="C1352" t="s">
        <v>15</v>
      </c>
      <c r="D1352" t="s">
        <v>17</v>
      </c>
      <c r="E1352">
        <v>100.11</v>
      </c>
      <c r="F1352">
        <v>80.11</v>
      </c>
      <c r="G1352">
        <v>4</v>
      </c>
      <c r="H1352">
        <f t="shared" si="126"/>
        <v>400.44</v>
      </c>
      <c r="I1352">
        <f t="shared" si="130"/>
        <v>320.44</v>
      </c>
      <c r="J1352">
        <f t="shared" si="127"/>
        <v>80</v>
      </c>
      <c r="K1352" s="8">
        <f t="shared" si="128"/>
        <v>0.19978024173409251</v>
      </c>
      <c r="L1352" t="str">
        <f t="shared" si="131"/>
        <v>2023-12</v>
      </c>
      <c r="M1352">
        <f t="shared" si="129"/>
        <v>80</v>
      </c>
    </row>
    <row r="1353" spans="1:13" x14ac:dyDescent="0.25">
      <c r="A1353" s="1">
        <v>45210</v>
      </c>
      <c r="B1353" t="s">
        <v>23</v>
      </c>
      <c r="C1353" t="s">
        <v>11</v>
      </c>
      <c r="D1353" t="s">
        <v>9</v>
      </c>
      <c r="E1353">
        <v>1581.96</v>
      </c>
      <c r="F1353">
        <v>1257.95</v>
      </c>
      <c r="G1353">
        <v>8</v>
      </c>
      <c r="H1353">
        <f t="shared" si="126"/>
        <v>12655.68</v>
      </c>
      <c r="I1353">
        <f t="shared" si="130"/>
        <v>10063.6</v>
      </c>
      <c r="J1353">
        <f t="shared" si="127"/>
        <v>2592.08</v>
      </c>
      <c r="K1353" s="8">
        <f t="shared" si="128"/>
        <v>0.20481554527295254</v>
      </c>
      <c r="L1353" t="str">
        <f t="shared" si="131"/>
        <v>2023-10</v>
      </c>
      <c r="M1353">
        <f t="shared" si="129"/>
        <v>2592.08</v>
      </c>
    </row>
    <row r="1354" spans="1:13" x14ac:dyDescent="0.25">
      <c r="A1354" s="1">
        <v>45331</v>
      </c>
      <c r="B1354" t="s">
        <v>25</v>
      </c>
      <c r="C1354" t="s">
        <v>15</v>
      </c>
      <c r="D1354" t="s">
        <v>9</v>
      </c>
      <c r="E1354">
        <v>356.79</v>
      </c>
      <c r="F1354">
        <v>294.25</v>
      </c>
      <c r="G1354">
        <v>8</v>
      </c>
      <c r="H1354">
        <f t="shared" si="126"/>
        <v>2854.32</v>
      </c>
      <c r="I1354">
        <f t="shared" si="130"/>
        <v>2354</v>
      </c>
      <c r="J1354">
        <f t="shared" si="127"/>
        <v>500.32000000000016</v>
      </c>
      <c r="K1354" s="8">
        <f t="shared" si="128"/>
        <v>0.17528518175957852</v>
      </c>
      <c r="L1354" t="str">
        <f t="shared" si="131"/>
        <v>2024-02</v>
      </c>
      <c r="M1354">
        <f t="shared" si="129"/>
        <v>500.32000000000016</v>
      </c>
    </row>
    <row r="1355" spans="1:13" x14ac:dyDescent="0.25">
      <c r="A1355" s="1">
        <v>45330</v>
      </c>
      <c r="B1355" t="s">
        <v>23</v>
      </c>
      <c r="C1355" t="s">
        <v>11</v>
      </c>
      <c r="D1355" t="s">
        <v>17</v>
      </c>
      <c r="E1355">
        <v>969.2</v>
      </c>
      <c r="F1355">
        <v>823.03</v>
      </c>
      <c r="G1355">
        <v>7</v>
      </c>
      <c r="H1355">
        <f t="shared" si="126"/>
        <v>6784.4000000000005</v>
      </c>
      <c r="I1355">
        <f t="shared" si="130"/>
        <v>5761.21</v>
      </c>
      <c r="J1355">
        <f t="shared" si="127"/>
        <v>1023.1900000000005</v>
      </c>
      <c r="K1355" s="8">
        <f t="shared" si="128"/>
        <v>0.15081510524143629</v>
      </c>
      <c r="L1355" t="str">
        <f t="shared" si="131"/>
        <v>2024-02</v>
      </c>
      <c r="M1355">
        <f t="shared" si="129"/>
        <v>1023.1900000000005</v>
      </c>
    </row>
    <row r="1356" spans="1:13" x14ac:dyDescent="0.25">
      <c r="A1356" s="1">
        <v>45268</v>
      </c>
      <c r="B1356" t="s">
        <v>10</v>
      </c>
      <c r="C1356" t="s">
        <v>11</v>
      </c>
      <c r="D1356" t="s">
        <v>17</v>
      </c>
      <c r="E1356">
        <v>146.97999999999999</v>
      </c>
      <c r="F1356">
        <v>83.29</v>
      </c>
      <c r="G1356">
        <v>10</v>
      </c>
      <c r="H1356">
        <f t="shared" si="126"/>
        <v>1469.8</v>
      </c>
      <c r="I1356">
        <f t="shared" si="130"/>
        <v>832.90000000000009</v>
      </c>
      <c r="J1356">
        <f t="shared" si="127"/>
        <v>636.89999999999986</v>
      </c>
      <c r="K1356" s="8">
        <f t="shared" si="128"/>
        <v>0.43332426180432704</v>
      </c>
      <c r="L1356" t="str">
        <f t="shared" si="131"/>
        <v>2023-12</v>
      </c>
      <c r="M1356">
        <f t="shared" si="129"/>
        <v>636.89999999999986</v>
      </c>
    </row>
    <row r="1357" spans="1:13" x14ac:dyDescent="0.25">
      <c r="A1357" s="1">
        <v>45070</v>
      </c>
      <c r="B1357" t="s">
        <v>16</v>
      </c>
      <c r="C1357" t="s">
        <v>15</v>
      </c>
      <c r="D1357" t="s">
        <v>13</v>
      </c>
      <c r="E1357">
        <v>1311.81</v>
      </c>
      <c r="F1357">
        <v>1125.1199999999999</v>
      </c>
      <c r="G1357">
        <v>3</v>
      </c>
      <c r="H1357">
        <f t="shared" si="126"/>
        <v>3935.43</v>
      </c>
      <c r="I1357">
        <f t="shared" si="130"/>
        <v>3375.3599999999997</v>
      </c>
      <c r="J1357">
        <f t="shared" si="127"/>
        <v>560.07000000000016</v>
      </c>
      <c r="K1357" s="8">
        <f t="shared" si="128"/>
        <v>0.1423148169323302</v>
      </c>
      <c r="L1357" t="str">
        <f t="shared" si="131"/>
        <v>2023-05</v>
      </c>
      <c r="M1357">
        <f t="shared" si="129"/>
        <v>560.07000000000016</v>
      </c>
    </row>
    <row r="1358" spans="1:13" x14ac:dyDescent="0.25">
      <c r="A1358" s="1">
        <v>45051</v>
      </c>
      <c r="B1358" t="s">
        <v>16</v>
      </c>
      <c r="C1358" t="s">
        <v>15</v>
      </c>
      <c r="D1358" t="s">
        <v>9</v>
      </c>
      <c r="E1358">
        <v>56.05</v>
      </c>
      <c r="F1358">
        <v>46.58</v>
      </c>
      <c r="G1358">
        <v>3</v>
      </c>
      <c r="H1358">
        <f t="shared" si="126"/>
        <v>168.14999999999998</v>
      </c>
      <c r="I1358">
        <f t="shared" si="130"/>
        <v>139.74</v>
      </c>
      <c r="J1358">
        <f t="shared" si="127"/>
        <v>28.409999999999968</v>
      </c>
      <c r="K1358" s="8">
        <f t="shared" si="128"/>
        <v>0.16895628902765372</v>
      </c>
      <c r="L1358" t="str">
        <f t="shared" si="131"/>
        <v>2023-05</v>
      </c>
      <c r="M1358">
        <f t="shared" si="129"/>
        <v>28.409999999999968</v>
      </c>
    </row>
    <row r="1359" spans="1:13" x14ac:dyDescent="0.25">
      <c r="A1359" s="1">
        <v>44732</v>
      </c>
      <c r="B1359" t="s">
        <v>10</v>
      </c>
      <c r="C1359" t="s">
        <v>11</v>
      </c>
      <c r="D1359" t="s">
        <v>13</v>
      </c>
      <c r="E1359">
        <v>1365.33</v>
      </c>
      <c r="F1359">
        <v>1127.52</v>
      </c>
      <c r="G1359">
        <v>1</v>
      </c>
      <c r="H1359">
        <f t="shared" si="126"/>
        <v>1365.33</v>
      </c>
      <c r="I1359">
        <f t="shared" si="130"/>
        <v>1127.52</v>
      </c>
      <c r="J1359">
        <f t="shared" si="127"/>
        <v>237.80999999999995</v>
      </c>
      <c r="K1359" s="8">
        <f t="shared" si="128"/>
        <v>0.17417767133220538</v>
      </c>
      <c r="L1359" t="str">
        <f t="shared" si="131"/>
        <v>2022-06</v>
      </c>
      <c r="M1359">
        <f t="shared" si="129"/>
        <v>237.80999999999995</v>
      </c>
    </row>
    <row r="1360" spans="1:13" x14ac:dyDescent="0.25">
      <c r="A1360" s="1">
        <v>45642</v>
      </c>
      <c r="B1360" t="s">
        <v>21</v>
      </c>
      <c r="C1360" t="s">
        <v>20</v>
      </c>
      <c r="D1360" t="s">
        <v>9</v>
      </c>
      <c r="E1360">
        <v>1263.7</v>
      </c>
      <c r="F1360">
        <v>761.47</v>
      </c>
      <c r="G1360">
        <v>6</v>
      </c>
      <c r="H1360">
        <f t="shared" si="126"/>
        <v>7582.2000000000007</v>
      </c>
      <c r="I1360">
        <f t="shared" si="130"/>
        <v>4568.82</v>
      </c>
      <c r="J1360">
        <f t="shared" si="127"/>
        <v>3013.380000000001</v>
      </c>
      <c r="K1360" s="8">
        <f t="shared" si="128"/>
        <v>0.397428187069716</v>
      </c>
      <c r="L1360" t="str">
        <f t="shared" si="131"/>
        <v>2024-12</v>
      </c>
      <c r="M1360">
        <f t="shared" si="129"/>
        <v>3013.380000000001</v>
      </c>
    </row>
    <row r="1361" spans="1:13" x14ac:dyDescent="0.25">
      <c r="A1361" s="1">
        <v>45252</v>
      </c>
      <c r="B1361" t="s">
        <v>22</v>
      </c>
      <c r="C1361" t="s">
        <v>8</v>
      </c>
      <c r="D1361" t="s">
        <v>9</v>
      </c>
      <c r="E1361">
        <v>1884.14</v>
      </c>
      <c r="F1361">
        <v>1556.86</v>
      </c>
      <c r="G1361">
        <v>2</v>
      </c>
      <c r="H1361">
        <f t="shared" si="126"/>
        <v>3768.28</v>
      </c>
      <c r="I1361">
        <f t="shared" si="130"/>
        <v>3113.72</v>
      </c>
      <c r="J1361">
        <f t="shared" si="127"/>
        <v>654.5600000000004</v>
      </c>
      <c r="K1361" s="8">
        <f t="shared" si="128"/>
        <v>0.17370259110257208</v>
      </c>
      <c r="L1361" t="str">
        <f t="shared" si="131"/>
        <v>2023-11</v>
      </c>
      <c r="M1361">
        <f t="shared" si="129"/>
        <v>654.5600000000004</v>
      </c>
    </row>
    <row r="1362" spans="1:13" x14ac:dyDescent="0.25">
      <c r="A1362" s="1">
        <v>45006</v>
      </c>
      <c r="B1362" t="s">
        <v>10</v>
      </c>
      <c r="C1362" t="s">
        <v>11</v>
      </c>
      <c r="D1362" t="s">
        <v>9</v>
      </c>
      <c r="E1362">
        <v>622.52</v>
      </c>
      <c r="F1362">
        <v>397.39</v>
      </c>
      <c r="G1362">
        <v>2</v>
      </c>
      <c r="H1362">
        <f t="shared" si="126"/>
        <v>1245.04</v>
      </c>
      <c r="I1362">
        <f t="shared" si="130"/>
        <v>794.78</v>
      </c>
      <c r="J1362">
        <f t="shared" si="127"/>
        <v>450.26</v>
      </c>
      <c r="K1362" s="8">
        <f t="shared" si="128"/>
        <v>0.3616429994217053</v>
      </c>
      <c r="L1362" t="str">
        <f t="shared" si="131"/>
        <v>2023-03</v>
      </c>
      <c r="M1362">
        <f t="shared" si="129"/>
        <v>450.26</v>
      </c>
    </row>
    <row r="1363" spans="1:13" x14ac:dyDescent="0.25">
      <c r="A1363" s="1">
        <v>45434</v>
      </c>
      <c r="B1363" t="s">
        <v>12</v>
      </c>
      <c r="C1363" t="s">
        <v>8</v>
      </c>
      <c r="D1363" t="s">
        <v>13</v>
      </c>
      <c r="E1363">
        <v>1583.13</v>
      </c>
      <c r="F1363">
        <v>1009.16</v>
      </c>
      <c r="G1363">
        <v>7</v>
      </c>
      <c r="H1363">
        <f t="shared" si="126"/>
        <v>11081.91</v>
      </c>
      <c r="I1363">
        <f t="shared" si="130"/>
        <v>7064.12</v>
      </c>
      <c r="J1363">
        <f t="shared" si="127"/>
        <v>4017.79</v>
      </c>
      <c r="K1363" s="8">
        <f t="shared" si="128"/>
        <v>0.36255392797811931</v>
      </c>
      <c r="L1363" t="str">
        <f t="shared" si="131"/>
        <v>2024-05</v>
      </c>
      <c r="M1363">
        <f t="shared" si="129"/>
        <v>4017.79</v>
      </c>
    </row>
    <row r="1364" spans="1:13" x14ac:dyDescent="0.25">
      <c r="A1364" s="1">
        <v>44977</v>
      </c>
      <c r="B1364" t="s">
        <v>23</v>
      </c>
      <c r="C1364" t="s">
        <v>11</v>
      </c>
      <c r="D1364" t="s">
        <v>13</v>
      </c>
      <c r="E1364">
        <v>1328.52</v>
      </c>
      <c r="F1364">
        <v>760.62</v>
      </c>
      <c r="G1364">
        <v>5</v>
      </c>
      <c r="H1364">
        <f t="shared" si="126"/>
        <v>6642.6</v>
      </c>
      <c r="I1364">
        <f t="shared" si="130"/>
        <v>3803.1</v>
      </c>
      <c r="J1364">
        <f t="shared" si="127"/>
        <v>2839.5000000000005</v>
      </c>
      <c r="K1364" s="8">
        <f t="shared" si="128"/>
        <v>0.42746816005780874</v>
      </c>
      <c r="L1364" t="str">
        <f t="shared" si="131"/>
        <v>2023-02</v>
      </c>
      <c r="M1364">
        <f t="shared" si="129"/>
        <v>2839.5000000000005</v>
      </c>
    </row>
    <row r="1365" spans="1:13" x14ac:dyDescent="0.25">
      <c r="A1365" s="1">
        <v>45415</v>
      </c>
      <c r="B1365" t="s">
        <v>21</v>
      </c>
      <c r="C1365" t="s">
        <v>20</v>
      </c>
      <c r="D1365" t="s">
        <v>18</v>
      </c>
      <c r="E1365">
        <v>364.54</v>
      </c>
      <c r="F1365">
        <v>250.33</v>
      </c>
      <c r="G1365">
        <v>1</v>
      </c>
      <c r="H1365">
        <f t="shared" si="126"/>
        <v>364.54</v>
      </c>
      <c r="I1365">
        <f t="shared" si="130"/>
        <v>250.33</v>
      </c>
      <c r="J1365">
        <f t="shared" si="127"/>
        <v>114.21000000000001</v>
      </c>
      <c r="K1365" s="8">
        <f t="shared" si="128"/>
        <v>0.31329895210402153</v>
      </c>
      <c r="L1365" t="str">
        <f t="shared" si="131"/>
        <v>2024-05</v>
      </c>
      <c r="M1365">
        <f t="shared" si="129"/>
        <v>114.21000000000001</v>
      </c>
    </row>
    <row r="1366" spans="1:13" x14ac:dyDescent="0.25">
      <c r="A1366" s="1">
        <v>44956</v>
      </c>
      <c r="B1366" t="s">
        <v>25</v>
      </c>
      <c r="C1366" t="s">
        <v>15</v>
      </c>
      <c r="D1366" t="s">
        <v>9</v>
      </c>
      <c r="E1366">
        <v>1635.87</v>
      </c>
      <c r="F1366">
        <v>978.34</v>
      </c>
      <c r="G1366">
        <v>7</v>
      </c>
      <c r="H1366">
        <f t="shared" si="126"/>
        <v>11451.09</v>
      </c>
      <c r="I1366">
        <f t="shared" si="130"/>
        <v>6848.38</v>
      </c>
      <c r="J1366">
        <f t="shared" si="127"/>
        <v>4602.71</v>
      </c>
      <c r="K1366" s="8">
        <f t="shared" si="128"/>
        <v>0.40194514234016149</v>
      </c>
      <c r="L1366" t="str">
        <f t="shared" si="131"/>
        <v>2023-01</v>
      </c>
      <c r="M1366">
        <f t="shared" si="129"/>
        <v>4602.71</v>
      </c>
    </row>
    <row r="1367" spans="1:13" x14ac:dyDescent="0.25">
      <c r="A1367" s="1">
        <v>45275</v>
      </c>
      <c r="B1367" t="s">
        <v>16</v>
      </c>
      <c r="C1367" t="s">
        <v>15</v>
      </c>
      <c r="D1367" t="s">
        <v>13</v>
      </c>
      <c r="E1367">
        <v>923.88</v>
      </c>
      <c r="F1367">
        <v>583.82000000000005</v>
      </c>
      <c r="G1367">
        <v>10</v>
      </c>
      <c r="H1367">
        <f t="shared" si="126"/>
        <v>9238.7999999999993</v>
      </c>
      <c r="I1367">
        <f t="shared" si="130"/>
        <v>5838.2000000000007</v>
      </c>
      <c r="J1367">
        <f t="shared" si="127"/>
        <v>3400.5999999999985</v>
      </c>
      <c r="K1367" s="8">
        <f t="shared" si="128"/>
        <v>0.36807810538165114</v>
      </c>
      <c r="L1367" t="str">
        <f t="shared" si="131"/>
        <v>2023-12</v>
      </c>
      <c r="M1367">
        <f t="shared" si="129"/>
        <v>3400.5999999999985</v>
      </c>
    </row>
    <row r="1368" spans="1:13" x14ac:dyDescent="0.25">
      <c r="A1368" s="1">
        <v>45217</v>
      </c>
      <c r="B1368" t="s">
        <v>23</v>
      </c>
      <c r="C1368" t="s">
        <v>11</v>
      </c>
      <c r="D1368" t="s">
        <v>18</v>
      </c>
      <c r="E1368">
        <v>1407.97</v>
      </c>
      <c r="F1368">
        <v>787.37</v>
      </c>
      <c r="G1368">
        <v>2</v>
      </c>
      <c r="H1368">
        <f t="shared" si="126"/>
        <v>2815.94</v>
      </c>
      <c r="I1368">
        <f t="shared" si="130"/>
        <v>1574.74</v>
      </c>
      <c r="J1368">
        <f t="shared" si="127"/>
        <v>1241.2</v>
      </c>
      <c r="K1368" s="8">
        <f t="shared" si="128"/>
        <v>0.44077643699794739</v>
      </c>
      <c r="L1368" t="str">
        <f t="shared" si="131"/>
        <v>2023-10</v>
      </c>
      <c r="M1368">
        <f t="shared" si="129"/>
        <v>1241.2</v>
      </c>
    </row>
    <row r="1369" spans="1:13" x14ac:dyDescent="0.25">
      <c r="A1369" s="1">
        <v>45445</v>
      </c>
      <c r="B1369" t="s">
        <v>21</v>
      </c>
      <c r="C1369" t="s">
        <v>20</v>
      </c>
      <c r="D1369" t="s">
        <v>18</v>
      </c>
      <c r="E1369">
        <v>1996.06</v>
      </c>
      <c r="F1369">
        <v>1588.37</v>
      </c>
      <c r="G1369">
        <v>6</v>
      </c>
      <c r="H1369">
        <f t="shared" si="126"/>
        <v>11976.36</v>
      </c>
      <c r="I1369">
        <f t="shared" si="130"/>
        <v>9530.2199999999993</v>
      </c>
      <c r="J1369">
        <f t="shared" si="127"/>
        <v>2446.1400000000012</v>
      </c>
      <c r="K1369" s="8">
        <f t="shared" si="128"/>
        <v>0.2042473673136079</v>
      </c>
      <c r="L1369" t="str">
        <f t="shared" si="131"/>
        <v>2024-06</v>
      </c>
      <c r="M1369">
        <f t="shared" si="129"/>
        <v>2446.1400000000012</v>
      </c>
    </row>
    <row r="1370" spans="1:13" x14ac:dyDescent="0.25">
      <c r="A1370" s="1">
        <v>45561</v>
      </c>
      <c r="B1370" t="s">
        <v>25</v>
      </c>
      <c r="C1370" t="s">
        <v>15</v>
      </c>
      <c r="D1370" t="s">
        <v>13</v>
      </c>
      <c r="E1370">
        <v>1005.39</v>
      </c>
      <c r="F1370">
        <v>608.57000000000005</v>
      </c>
      <c r="G1370">
        <v>6</v>
      </c>
      <c r="H1370">
        <f t="shared" si="126"/>
        <v>6032.34</v>
      </c>
      <c r="I1370">
        <f t="shared" si="130"/>
        <v>3651.42</v>
      </c>
      <c r="J1370">
        <f t="shared" si="127"/>
        <v>2380.92</v>
      </c>
      <c r="K1370" s="8">
        <f t="shared" si="128"/>
        <v>0.39469260684908342</v>
      </c>
      <c r="L1370" t="str">
        <f t="shared" si="131"/>
        <v>2024-09</v>
      </c>
      <c r="M1370">
        <f t="shared" si="129"/>
        <v>2380.92</v>
      </c>
    </row>
    <row r="1371" spans="1:13" x14ac:dyDescent="0.25">
      <c r="A1371" s="1">
        <v>45600</v>
      </c>
      <c r="B1371" t="s">
        <v>25</v>
      </c>
      <c r="C1371" t="s">
        <v>15</v>
      </c>
      <c r="D1371" t="s">
        <v>13</v>
      </c>
      <c r="E1371">
        <v>36.619999999999997</v>
      </c>
      <c r="F1371">
        <v>32.22</v>
      </c>
      <c r="G1371">
        <v>2</v>
      </c>
      <c r="H1371">
        <f t="shared" si="126"/>
        <v>73.239999999999995</v>
      </c>
      <c r="I1371">
        <f t="shared" si="130"/>
        <v>64.44</v>
      </c>
      <c r="J1371">
        <f t="shared" si="127"/>
        <v>8.7999999999999972</v>
      </c>
      <c r="K1371" s="8">
        <f t="shared" si="128"/>
        <v>0.12015292190060073</v>
      </c>
      <c r="L1371" t="str">
        <f t="shared" si="131"/>
        <v>2024-11</v>
      </c>
      <c r="M1371">
        <f t="shared" si="129"/>
        <v>8.7999999999999972</v>
      </c>
    </row>
    <row r="1372" spans="1:13" x14ac:dyDescent="0.25">
      <c r="A1372" s="1">
        <v>45304</v>
      </c>
      <c r="B1372" t="s">
        <v>10</v>
      </c>
      <c r="C1372" t="s">
        <v>11</v>
      </c>
      <c r="D1372" t="s">
        <v>18</v>
      </c>
      <c r="E1372">
        <v>733.99</v>
      </c>
      <c r="F1372">
        <v>575.16999999999996</v>
      </c>
      <c r="G1372">
        <v>1</v>
      </c>
      <c r="H1372">
        <f t="shared" si="126"/>
        <v>733.99</v>
      </c>
      <c r="I1372">
        <f t="shared" si="130"/>
        <v>575.16999999999996</v>
      </c>
      <c r="J1372">
        <f t="shared" si="127"/>
        <v>158.82000000000005</v>
      </c>
      <c r="K1372" s="8">
        <f t="shared" si="128"/>
        <v>0.21637896974073223</v>
      </c>
      <c r="L1372" t="str">
        <f t="shared" si="131"/>
        <v>2024-01</v>
      </c>
      <c r="M1372">
        <f t="shared" si="129"/>
        <v>158.82000000000005</v>
      </c>
    </row>
    <row r="1373" spans="1:13" x14ac:dyDescent="0.25">
      <c r="A1373" s="1">
        <v>44662</v>
      </c>
      <c r="B1373" t="s">
        <v>22</v>
      </c>
      <c r="C1373" t="s">
        <v>8</v>
      </c>
      <c r="D1373" t="s">
        <v>13</v>
      </c>
      <c r="E1373">
        <v>1438.98</v>
      </c>
      <c r="F1373">
        <v>771.82</v>
      </c>
      <c r="G1373">
        <v>6</v>
      </c>
      <c r="H1373">
        <f t="shared" si="126"/>
        <v>8633.880000000001</v>
      </c>
      <c r="I1373">
        <f t="shared" si="130"/>
        <v>4630.92</v>
      </c>
      <c r="J1373">
        <f t="shared" si="127"/>
        <v>4002.9600000000009</v>
      </c>
      <c r="K1373" s="8">
        <f t="shared" si="128"/>
        <v>0.4636339629459757</v>
      </c>
      <c r="L1373" t="str">
        <f t="shared" si="131"/>
        <v>2022-04</v>
      </c>
      <c r="M1373">
        <f t="shared" si="129"/>
        <v>4002.9600000000009</v>
      </c>
    </row>
    <row r="1374" spans="1:13" x14ac:dyDescent="0.25">
      <c r="A1374" s="1">
        <v>44876</v>
      </c>
      <c r="B1374" t="s">
        <v>22</v>
      </c>
      <c r="C1374" t="s">
        <v>8</v>
      </c>
      <c r="D1374" t="s">
        <v>18</v>
      </c>
      <c r="E1374">
        <v>279.12</v>
      </c>
      <c r="F1374">
        <v>142.25</v>
      </c>
      <c r="G1374">
        <v>9</v>
      </c>
      <c r="H1374">
        <f t="shared" si="126"/>
        <v>2512.08</v>
      </c>
      <c r="I1374">
        <f t="shared" si="130"/>
        <v>1280.25</v>
      </c>
      <c r="J1374">
        <f t="shared" si="127"/>
        <v>1231.83</v>
      </c>
      <c r="K1374" s="8">
        <f t="shared" si="128"/>
        <v>0.49036256807108053</v>
      </c>
      <c r="L1374" t="str">
        <f t="shared" si="131"/>
        <v>2022-11</v>
      </c>
      <c r="M1374">
        <f t="shared" si="129"/>
        <v>1231.83</v>
      </c>
    </row>
    <row r="1375" spans="1:13" x14ac:dyDescent="0.25">
      <c r="A1375" s="1">
        <v>44857</v>
      </c>
      <c r="B1375" t="s">
        <v>19</v>
      </c>
      <c r="C1375" t="s">
        <v>20</v>
      </c>
      <c r="D1375" t="s">
        <v>17</v>
      </c>
      <c r="E1375">
        <v>260.48</v>
      </c>
      <c r="F1375">
        <v>167.55</v>
      </c>
      <c r="G1375">
        <v>8</v>
      </c>
      <c r="H1375">
        <f t="shared" si="126"/>
        <v>2083.84</v>
      </c>
      <c r="I1375">
        <f t="shared" si="130"/>
        <v>1340.4</v>
      </c>
      <c r="J1375">
        <f t="shared" si="127"/>
        <v>743.44</v>
      </c>
      <c r="K1375" s="8">
        <f t="shared" si="128"/>
        <v>0.35676443488943488</v>
      </c>
      <c r="L1375" t="str">
        <f t="shared" si="131"/>
        <v>2022-10</v>
      </c>
      <c r="M1375">
        <f t="shared" si="129"/>
        <v>743.44</v>
      </c>
    </row>
    <row r="1376" spans="1:13" x14ac:dyDescent="0.25">
      <c r="A1376" s="1">
        <v>45274</v>
      </c>
      <c r="B1376" t="s">
        <v>16</v>
      </c>
      <c r="C1376" t="s">
        <v>15</v>
      </c>
      <c r="D1376" t="s">
        <v>17</v>
      </c>
      <c r="E1376">
        <v>972.02</v>
      </c>
      <c r="F1376">
        <v>672.93</v>
      </c>
      <c r="G1376">
        <v>9</v>
      </c>
      <c r="H1376">
        <f t="shared" si="126"/>
        <v>8748.18</v>
      </c>
      <c r="I1376">
        <f t="shared" si="130"/>
        <v>6056.37</v>
      </c>
      <c r="J1376">
        <f t="shared" si="127"/>
        <v>2691.8100000000004</v>
      </c>
      <c r="K1376" s="8">
        <f t="shared" si="128"/>
        <v>0.30769943005287959</v>
      </c>
      <c r="L1376" t="str">
        <f t="shared" si="131"/>
        <v>2023-12</v>
      </c>
      <c r="M1376">
        <f t="shared" si="129"/>
        <v>2691.8100000000004</v>
      </c>
    </row>
    <row r="1377" spans="1:13" x14ac:dyDescent="0.25">
      <c r="A1377" s="1">
        <v>44838</v>
      </c>
      <c r="B1377" t="s">
        <v>22</v>
      </c>
      <c r="C1377" t="s">
        <v>8</v>
      </c>
      <c r="D1377" t="s">
        <v>9</v>
      </c>
      <c r="E1377">
        <v>1325.8</v>
      </c>
      <c r="F1377">
        <v>1027.05</v>
      </c>
      <c r="G1377">
        <v>1</v>
      </c>
      <c r="H1377">
        <f t="shared" si="126"/>
        <v>1325.8</v>
      </c>
      <c r="I1377">
        <f t="shared" si="130"/>
        <v>1027.05</v>
      </c>
      <c r="J1377">
        <f t="shared" si="127"/>
        <v>298.75</v>
      </c>
      <c r="K1377" s="8">
        <f t="shared" si="128"/>
        <v>0.22533564640217227</v>
      </c>
      <c r="L1377" t="str">
        <f t="shared" si="131"/>
        <v>2022-10</v>
      </c>
      <c r="M1377">
        <f t="shared" si="129"/>
        <v>298.75</v>
      </c>
    </row>
    <row r="1378" spans="1:13" x14ac:dyDescent="0.25">
      <c r="A1378" s="1">
        <v>45078</v>
      </c>
      <c r="B1378" t="s">
        <v>16</v>
      </c>
      <c r="C1378" t="s">
        <v>15</v>
      </c>
      <c r="D1378" t="s">
        <v>9</v>
      </c>
      <c r="E1378">
        <v>670.34</v>
      </c>
      <c r="F1378">
        <v>526.79</v>
      </c>
      <c r="G1378">
        <v>7</v>
      </c>
      <c r="H1378">
        <f t="shared" si="126"/>
        <v>4692.38</v>
      </c>
      <c r="I1378">
        <f t="shared" si="130"/>
        <v>3687.5299999999997</v>
      </c>
      <c r="J1378">
        <f t="shared" si="127"/>
        <v>1004.8500000000004</v>
      </c>
      <c r="K1378" s="8">
        <f t="shared" si="128"/>
        <v>0.21414506071545791</v>
      </c>
      <c r="L1378" t="str">
        <f t="shared" si="131"/>
        <v>2023-06</v>
      </c>
      <c r="M1378">
        <f t="shared" si="129"/>
        <v>1004.8500000000004</v>
      </c>
    </row>
    <row r="1379" spans="1:13" x14ac:dyDescent="0.25">
      <c r="A1379" s="1">
        <v>45288</v>
      </c>
      <c r="B1379" t="s">
        <v>22</v>
      </c>
      <c r="C1379" t="s">
        <v>8</v>
      </c>
      <c r="D1379" t="s">
        <v>9</v>
      </c>
      <c r="E1379">
        <v>871.65</v>
      </c>
      <c r="F1379">
        <v>672.46</v>
      </c>
      <c r="G1379">
        <v>10</v>
      </c>
      <c r="H1379">
        <f t="shared" si="126"/>
        <v>8716.5</v>
      </c>
      <c r="I1379">
        <f t="shared" si="130"/>
        <v>6724.6</v>
      </c>
      <c r="J1379">
        <f t="shared" si="127"/>
        <v>1991.8999999999996</v>
      </c>
      <c r="K1379" s="8">
        <f t="shared" si="128"/>
        <v>0.22852062180921237</v>
      </c>
      <c r="L1379" t="str">
        <f t="shared" si="131"/>
        <v>2023-12</v>
      </c>
      <c r="M1379">
        <f t="shared" si="129"/>
        <v>1991.8999999999996</v>
      </c>
    </row>
    <row r="1380" spans="1:13" x14ac:dyDescent="0.25">
      <c r="A1380" s="1">
        <v>45085</v>
      </c>
      <c r="B1380" t="s">
        <v>14</v>
      </c>
      <c r="C1380" t="s">
        <v>15</v>
      </c>
      <c r="D1380" t="s">
        <v>17</v>
      </c>
      <c r="E1380">
        <v>1846.57</v>
      </c>
      <c r="F1380">
        <v>1056.54</v>
      </c>
      <c r="G1380">
        <v>4</v>
      </c>
      <c r="H1380">
        <f t="shared" si="126"/>
        <v>7386.28</v>
      </c>
      <c r="I1380">
        <f t="shared" si="130"/>
        <v>4226.16</v>
      </c>
      <c r="J1380">
        <f t="shared" si="127"/>
        <v>3160.12</v>
      </c>
      <c r="K1380" s="8">
        <f t="shared" si="128"/>
        <v>0.42783647519454987</v>
      </c>
      <c r="L1380" t="str">
        <f t="shared" si="131"/>
        <v>2023-06</v>
      </c>
      <c r="M1380">
        <f t="shared" si="129"/>
        <v>3160.12</v>
      </c>
    </row>
    <row r="1381" spans="1:13" x14ac:dyDescent="0.25">
      <c r="A1381" s="1">
        <v>44842</v>
      </c>
      <c r="B1381" t="s">
        <v>19</v>
      </c>
      <c r="C1381" t="s">
        <v>20</v>
      </c>
      <c r="D1381" t="s">
        <v>17</v>
      </c>
      <c r="E1381">
        <v>1852.67</v>
      </c>
      <c r="F1381">
        <v>1093.5999999999999</v>
      </c>
      <c r="G1381">
        <v>1</v>
      </c>
      <c r="H1381">
        <f t="shared" si="126"/>
        <v>1852.67</v>
      </c>
      <c r="I1381">
        <f t="shared" si="130"/>
        <v>1093.5999999999999</v>
      </c>
      <c r="J1381">
        <f t="shared" si="127"/>
        <v>759.07000000000016</v>
      </c>
      <c r="K1381" s="8">
        <f t="shared" si="128"/>
        <v>0.40971678712344894</v>
      </c>
      <c r="L1381" t="str">
        <f t="shared" si="131"/>
        <v>2022-10</v>
      </c>
      <c r="M1381">
        <f t="shared" si="129"/>
        <v>759.07000000000016</v>
      </c>
    </row>
    <row r="1382" spans="1:13" x14ac:dyDescent="0.25">
      <c r="A1382" s="1">
        <v>44738</v>
      </c>
      <c r="B1382" t="s">
        <v>12</v>
      </c>
      <c r="C1382" t="s">
        <v>8</v>
      </c>
      <c r="D1382" t="s">
        <v>13</v>
      </c>
      <c r="E1382">
        <v>87.06</v>
      </c>
      <c r="F1382">
        <v>49.29</v>
      </c>
      <c r="G1382">
        <v>6</v>
      </c>
      <c r="H1382">
        <f t="shared" si="126"/>
        <v>522.36</v>
      </c>
      <c r="I1382">
        <f t="shared" si="130"/>
        <v>295.74</v>
      </c>
      <c r="J1382">
        <f t="shared" si="127"/>
        <v>226.62</v>
      </c>
      <c r="K1382" s="8">
        <f t="shared" si="128"/>
        <v>0.43383873190902827</v>
      </c>
      <c r="L1382" t="str">
        <f t="shared" si="131"/>
        <v>2022-06</v>
      </c>
      <c r="M1382">
        <f t="shared" si="129"/>
        <v>226.62</v>
      </c>
    </row>
    <row r="1383" spans="1:13" x14ac:dyDescent="0.25">
      <c r="A1383" s="1">
        <v>45234</v>
      </c>
      <c r="B1383" t="s">
        <v>24</v>
      </c>
      <c r="C1383" t="s">
        <v>20</v>
      </c>
      <c r="D1383" t="s">
        <v>17</v>
      </c>
      <c r="E1383">
        <v>1487.59</v>
      </c>
      <c r="F1383">
        <v>795.91</v>
      </c>
      <c r="G1383">
        <v>7</v>
      </c>
      <c r="H1383">
        <f t="shared" si="126"/>
        <v>10413.129999999999</v>
      </c>
      <c r="I1383">
        <f t="shared" si="130"/>
        <v>5571.37</v>
      </c>
      <c r="J1383">
        <f t="shared" si="127"/>
        <v>4841.7599999999993</v>
      </c>
      <c r="K1383" s="8">
        <f t="shared" si="128"/>
        <v>0.46496682553660618</v>
      </c>
      <c r="L1383" t="str">
        <f t="shared" si="131"/>
        <v>2023-11</v>
      </c>
      <c r="M1383">
        <f t="shared" si="129"/>
        <v>4841.7599999999993</v>
      </c>
    </row>
    <row r="1384" spans="1:13" x14ac:dyDescent="0.25">
      <c r="A1384" s="1">
        <v>44697</v>
      </c>
      <c r="B1384" t="s">
        <v>23</v>
      </c>
      <c r="C1384" t="s">
        <v>11</v>
      </c>
      <c r="D1384" t="s">
        <v>13</v>
      </c>
      <c r="E1384">
        <v>610.92999999999995</v>
      </c>
      <c r="F1384">
        <v>367.33</v>
      </c>
      <c r="G1384">
        <v>8</v>
      </c>
      <c r="H1384">
        <f t="shared" si="126"/>
        <v>4887.4399999999996</v>
      </c>
      <c r="I1384">
        <f t="shared" si="130"/>
        <v>2938.64</v>
      </c>
      <c r="J1384">
        <f t="shared" si="127"/>
        <v>1948.7999999999997</v>
      </c>
      <c r="K1384" s="8">
        <f t="shared" si="128"/>
        <v>0.39873635277364017</v>
      </c>
      <c r="L1384" t="str">
        <f t="shared" si="131"/>
        <v>2022-05</v>
      </c>
      <c r="M1384">
        <f t="shared" si="129"/>
        <v>1948.7999999999997</v>
      </c>
    </row>
    <row r="1385" spans="1:13" x14ac:dyDescent="0.25">
      <c r="A1385" s="1">
        <v>45604</v>
      </c>
      <c r="B1385" t="s">
        <v>24</v>
      </c>
      <c r="C1385" t="s">
        <v>20</v>
      </c>
      <c r="D1385" t="s">
        <v>17</v>
      </c>
      <c r="E1385">
        <v>1568.61</v>
      </c>
      <c r="F1385">
        <v>1186.31</v>
      </c>
      <c r="G1385">
        <v>7</v>
      </c>
      <c r="H1385">
        <f t="shared" si="126"/>
        <v>10980.269999999999</v>
      </c>
      <c r="I1385">
        <f t="shared" si="130"/>
        <v>8304.17</v>
      </c>
      <c r="J1385">
        <f t="shared" si="127"/>
        <v>2676.0999999999985</v>
      </c>
      <c r="K1385" s="8">
        <f t="shared" si="128"/>
        <v>0.24371896137344518</v>
      </c>
      <c r="L1385" t="str">
        <f t="shared" si="131"/>
        <v>2024-11</v>
      </c>
      <c r="M1385">
        <f t="shared" si="129"/>
        <v>2676.0999999999985</v>
      </c>
    </row>
    <row r="1386" spans="1:13" x14ac:dyDescent="0.25">
      <c r="A1386" s="1">
        <v>44772</v>
      </c>
      <c r="B1386" t="s">
        <v>14</v>
      </c>
      <c r="C1386" t="s">
        <v>15</v>
      </c>
      <c r="D1386" t="s">
        <v>18</v>
      </c>
      <c r="E1386">
        <v>570.44000000000005</v>
      </c>
      <c r="F1386">
        <v>312.64</v>
      </c>
      <c r="G1386">
        <v>9</v>
      </c>
      <c r="H1386">
        <f t="shared" si="126"/>
        <v>5133.9600000000009</v>
      </c>
      <c r="I1386">
        <f t="shared" si="130"/>
        <v>2813.7599999999998</v>
      </c>
      <c r="J1386">
        <f t="shared" si="127"/>
        <v>2320.2000000000012</v>
      </c>
      <c r="K1386" s="8">
        <f t="shared" si="128"/>
        <v>0.45193184208681031</v>
      </c>
      <c r="L1386" t="str">
        <f t="shared" si="131"/>
        <v>2022-07</v>
      </c>
      <c r="M1386">
        <f t="shared" si="129"/>
        <v>2320.2000000000012</v>
      </c>
    </row>
    <row r="1387" spans="1:13" x14ac:dyDescent="0.25">
      <c r="A1387" s="1">
        <v>45314</v>
      </c>
      <c r="B1387" t="s">
        <v>24</v>
      </c>
      <c r="C1387" t="s">
        <v>20</v>
      </c>
      <c r="D1387" t="s">
        <v>17</v>
      </c>
      <c r="E1387">
        <v>1393.04</v>
      </c>
      <c r="F1387">
        <v>856.05</v>
      </c>
      <c r="G1387">
        <v>4</v>
      </c>
      <c r="H1387">
        <f t="shared" si="126"/>
        <v>5572.16</v>
      </c>
      <c r="I1387">
        <f t="shared" si="130"/>
        <v>3424.2</v>
      </c>
      <c r="J1387">
        <f t="shared" si="127"/>
        <v>2147.96</v>
      </c>
      <c r="K1387" s="8">
        <f t="shared" si="128"/>
        <v>0.38548067535749153</v>
      </c>
      <c r="L1387" t="str">
        <f t="shared" si="131"/>
        <v>2024-01</v>
      </c>
      <c r="M1387">
        <f t="shared" si="129"/>
        <v>2147.96</v>
      </c>
    </row>
    <row r="1388" spans="1:13" x14ac:dyDescent="0.25">
      <c r="A1388" s="1">
        <v>45033</v>
      </c>
      <c r="B1388" t="s">
        <v>19</v>
      </c>
      <c r="C1388" t="s">
        <v>20</v>
      </c>
      <c r="D1388" t="s">
        <v>13</v>
      </c>
      <c r="E1388">
        <v>1999.31</v>
      </c>
      <c r="F1388">
        <v>1726.35</v>
      </c>
      <c r="G1388">
        <v>5</v>
      </c>
      <c r="H1388">
        <f t="shared" si="126"/>
        <v>9996.5499999999993</v>
      </c>
      <c r="I1388">
        <f t="shared" si="130"/>
        <v>8631.75</v>
      </c>
      <c r="J1388">
        <f t="shared" si="127"/>
        <v>1364.7999999999993</v>
      </c>
      <c r="K1388" s="8">
        <f t="shared" si="128"/>
        <v>0.13652710185013822</v>
      </c>
      <c r="L1388" t="str">
        <f t="shared" si="131"/>
        <v>2023-04</v>
      </c>
      <c r="M1388">
        <f t="shared" si="129"/>
        <v>1364.7999999999993</v>
      </c>
    </row>
    <row r="1389" spans="1:13" x14ac:dyDescent="0.25">
      <c r="A1389" s="1">
        <v>45507</v>
      </c>
      <c r="B1389" t="s">
        <v>24</v>
      </c>
      <c r="C1389" t="s">
        <v>20</v>
      </c>
      <c r="D1389" t="s">
        <v>18</v>
      </c>
      <c r="E1389">
        <v>1815.24</v>
      </c>
      <c r="F1389">
        <v>908.95</v>
      </c>
      <c r="G1389">
        <v>4</v>
      </c>
      <c r="H1389">
        <f t="shared" si="126"/>
        <v>7260.96</v>
      </c>
      <c r="I1389">
        <f t="shared" si="130"/>
        <v>3635.8</v>
      </c>
      <c r="J1389">
        <f t="shared" si="127"/>
        <v>3625.16</v>
      </c>
      <c r="K1389" s="8">
        <f t="shared" si="128"/>
        <v>0.49926731451488504</v>
      </c>
      <c r="L1389" t="str">
        <f t="shared" si="131"/>
        <v>2024-08</v>
      </c>
      <c r="M1389">
        <f t="shared" si="129"/>
        <v>3625.16</v>
      </c>
    </row>
    <row r="1390" spans="1:13" x14ac:dyDescent="0.25">
      <c r="A1390" s="1">
        <v>44693</v>
      </c>
      <c r="B1390" t="s">
        <v>10</v>
      </c>
      <c r="C1390" t="s">
        <v>11</v>
      </c>
      <c r="D1390" t="s">
        <v>13</v>
      </c>
      <c r="E1390">
        <v>209.95</v>
      </c>
      <c r="F1390">
        <v>165.01</v>
      </c>
      <c r="G1390">
        <v>6</v>
      </c>
      <c r="H1390">
        <f t="shared" si="126"/>
        <v>1259.6999999999998</v>
      </c>
      <c r="I1390">
        <f t="shared" si="130"/>
        <v>990.06</v>
      </c>
      <c r="J1390">
        <f t="shared" si="127"/>
        <v>269.63999999999987</v>
      </c>
      <c r="K1390" s="8">
        <f t="shared" si="128"/>
        <v>0.21405096451536074</v>
      </c>
      <c r="L1390" t="str">
        <f t="shared" si="131"/>
        <v>2022-05</v>
      </c>
      <c r="M1390">
        <f t="shared" si="129"/>
        <v>269.63999999999987</v>
      </c>
    </row>
    <row r="1391" spans="1:13" x14ac:dyDescent="0.25">
      <c r="A1391" s="1">
        <v>45052</v>
      </c>
      <c r="B1391" t="s">
        <v>25</v>
      </c>
      <c r="C1391" t="s">
        <v>15</v>
      </c>
      <c r="D1391" t="s">
        <v>9</v>
      </c>
      <c r="E1391">
        <v>597.20000000000005</v>
      </c>
      <c r="F1391">
        <v>437.79</v>
      </c>
      <c r="G1391">
        <v>1</v>
      </c>
      <c r="H1391">
        <f t="shared" si="126"/>
        <v>597.20000000000005</v>
      </c>
      <c r="I1391">
        <f t="shared" si="130"/>
        <v>437.79</v>
      </c>
      <c r="J1391">
        <f t="shared" si="127"/>
        <v>159.41000000000003</v>
      </c>
      <c r="K1391" s="8">
        <f t="shared" si="128"/>
        <v>0.26692900200937714</v>
      </c>
      <c r="L1391" t="str">
        <f t="shared" si="131"/>
        <v>2023-05</v>
      </c>
      <c r="M1391">
        <f t="shared" si="129"/>
        <v>159.41000000000003</v>
      </c>
    </row>
    <row r="1392" spans="1:13" x14ac:dyDescent="0.25">
      <c r="A1392" s="1">
        <v>44636</v>
      </c>
      <c r="B1392" t="s">
        <v>19</v>
      </c>
      <c r="C1392" t="s">
        <v>20</v>
      </c>
      <c r="D1392" t="s">
        <v>13</v>
      </c>
      <c r="E1392">
        <v>782.14</v>
      </c>
      <c r="F1392">
        <v>489.77</v>
      </c>
      <c r="G1392">
        <v>2</v>
      </c>
      <c r="H1392">
        <f t="shared" si="126"/>
        <v>1564.28</v>
      </c>
      <c r="I1392">
        <f t="shared" si="130"/>
        <v>979.54</v>
      </c>
      <c r="J1392">
        <f t="shared" si="127"/>
        <v>584.74</v>
      </c>
      <c r="K1392" s="8">
        <f t="shared" si="128"/>
        <v>0.37380775820185647</v>
      </c>
      <c r="L1392" t="str">
        <f t="shared" si="131"/>
        <v>2022-03</v>
      </c>
      <c r="M1392">
        <f t="shared" si="129"/>
        <v>584.74</v>
      </c>
    </row>
    <row r="1393" spans="1:13" x14ac:dyDescent="0.25">
      <c r="A1393" s="1">
        <v>45405</v>
      </c>
      <c r="B1393" t="s">
        <v>10</v>
      </c>
      <c r="C1393" t="s">
        <v>11</v>
      </c>
      <c r="D1393" t="s">
        <v>9</v>
      </c>
      <c r="E1393">
        <v>1183.45</v>
      </c>
      <c r="F1393">
        <v>858.15</v>
      </c>
      <c r="G1393">
        <v>2</v>
      </c>
      <c r="H1393">
        <f t="shared" si="126"/>
        <v>2366.9</v>
      </c>
      <c r="I1393">
        <f t="shared" si="130"/>
        <v>1716.3</v>
      </c>
      <c r="J1393">
        <f t="shared" si="127"/>
        <v>650.60000000000014</v>
      </c>
      <c r="K1393" s="8">
        <f t="shared" si="128"/>
        <v>0.27487430816680053</v>
      </c>
      <c r="L1393" t="str">
        <f t="shared" si="131"/>
        <v>2024-04</v>
      </c>
      <c r="M1393">
        <f t="shared" si="129"/>
        <v>650.60000000000014</v>
      </c>
    </row>
    <row r="1394" spans="1:13" x14ac:dyDescent="0.25">
      <c r="A1394" s="1">
        <v>45253</v>
      </c>
      <c r="B1394" t="s">
        <v>25</v>
      </c>
      <c r="C1394" t="s">
        <v>15</v>
      </c>
      <c r="D1394" t="s">
        <v>18</v>
      </c>
      <c r="E1394">
        <v>223.95</v>
      </c>
      <c r="F1394">
        <v>129.56</v>
      </c>
      <c r="G1394">
        <v>1</v>
      </c>
      <c r="H1394">
        <f t="shared" si="126"/>
        <v>223.95</v>
      </c>
      <c r="I1394">
        <f t="shared" si="130"/>
        <v>129.56</v>
      </c>
      <c r="J1394">
        <f t="shared" si="127"/>
        <v>94.389999999999986</v>
      </c>
      <c r="K1394" s="8">
        <f t="shared" si="128"/>
        <v>0.42147800848403655</v>
      </c>
      <c r="L1394" t="str">
        <f t="shared" si="131"/>
        <v>2023-11</v>
      </c>
      <c r="M1394">
        <f t="shared" si="129"/>
        <v>94.389999999999986</v>
      </c>
    </row>
    <row r="1395" spans="1:13" x14ac:dyDescent="0.25">
      <c r="A1395" s="1">
        <v>45073</v>
      </c>
      <c r="B1395" t="s">
        <v>19</v>
      </c>
      <c r="C1395" t="s">
        <v>20</v>
      </c>
      <c r="D1395" t="s">
        <v>18</v>
      </c>
      <c r="E1395">
        <v>1961.31</v>
      </c>
      <c r="F1395">
        <v>1425.04</v>
      </c>
      <c r="G1395">
        <v>4</v>
      </c>
      <c r="H1395">
        <f t="shared" si="126"/>
        <v>7845.24</v>
      </c>
      <c r="I1395">
        <f t="shared" si="130"/>
        <v>5700.16</v>
      </c>
      <c r="J1395">
        <f t="shared" si="127"/>
        <v>2145.08</v>
      </c>
      <c r="K1395" s="8">
        <f t="shared" si="128"/>
        <v>0.27342439491972204</v>
      </c>
      <c r="L1395" t="str">
        <f t="shared" si="131"/>
        <v>2023-05</v>
      </c>
      <c r="M1395">
        <f t="shared" si="129"/>
        <v>2145.08</v>
      </c>
    </row>
    <row r="1396" spans="1:13" x14ac:dyDescent="0.25">
      <c r="A1396" s="1">
        <v>45303</v>
      </c>
      <c r="B1396" t="s">
        <v>19</v>
      </c>
      <c r="C1396" t="s">
        <v>20</v>
      </c>
      <c r="D1396" t="s">
        <v>13</v>
      </c>
      <c r="E1396">
        <v>352.81</v>
      </c>
      <c r="F1396">
        <v>243.31</v>
      </c>
      <c r="G1396">
        <v>10</v>
      </c>
      <c r="H1396">
        <f t="shared" si="126"/>
        <v>3528.1</v>
      </c>
      <c r="I1396">
        <f t="shared" si="130"/>
        <v>2433.1</v>
      </c>
      <c r="J1396">
        <f t="shared" si="127"/>
        <v>1095</v>
      </c>
      <c r="K1396" s="8">
        <f t="shared" si="128"/>
        <v>0.31036535245599617</v>
      </c>
      <c r="L1396" t="str">
        <f t="shared" si="131"/>
        <v>2024-01</v>
      </c>
      <c r="M1396">
        <f t="shared" si="129"/>
        <v>1095</v>
      </c>
    </row>
    <row r="1397" spans="1:13" x14ac:dyDescent="0.25">
      <c r="A1397" s="1">
        <v>45231</v>
      </c>
      <c r="B1397" t="s">
        <v>14</v>
      </c>
      <c r="C1397" t="s">
        <v>15</v>
      </c>
      <c r="D1397" t="s">
        <v>13</v>
      </c>
      <c r="E1397">
        <v>1580.01</v>
      </c>
      <c r="F1397">
        <v>1179.3499999999999</v>
      </c>
      <c r="G1397">
        <v>2</v>
      </c>
      <c r="H1397">
        <f t="shared" si="126"/>
        <v>3160.02</v>
      </c>
      <c r="I1397">
        <f t="shared" si="130"/>
        <v>2358.6999999999998</v>
      </c>
      <c r="J1397">
        <f t="shared" si="127"/>
        <v>801.32000000000016</v>
      </c>
      <c r="K1397" s="8">
        <f t="shared" si="128"/>
        <v>0.25358067354004094</v>
      </c>
      <c r="L1397" t="str">
        <f t="shared" si="131"/>
        <v>2023-11</v>
      </c>
      <c r="M1397">
        <f t="shared" si="129"/>
        <v>801.32000000000016</v>
      </c>
    </row>
    <row r="1398" spans="1:13" x14ac:dyDescent="0.25">
      <c r="A1398" s="1">
        <v>45637</v>
      </c>
      <c r="B1398" t="s">
        <v>10</v>
      </c>
      <c r="C1398" t="s">
        <v>11</v>
      </c>
      <c r="D1398" t="s">
        <v>9</v>
      </c>
      <c r="E1398">
        <v>1909.89</v>
      </c>
      <c r="F1398">
        <v>1398.86</v>
      </c>
      <c r="G1398">
        <v>4</v>
      </c>
      <c r="H1398">
        <f t="shared" si="126"/>
        <v>7639.56</v>
      </c>
      <c r="I1398">
        <f t="shared" si="130"/>
        <v>5595.44</v>
      </c>
      <c r="J1398">
        <f t="shared" si="127"/>
        <v>2044.1200000000008</v>
      </c>
      <c r="K1398" s="8">
        <f t="shared" si="128"/>
        <v>0.26757038363465968</v>
      </c>
      <c r="L1398" t="str">
        <f t="shared" si="131"/>
        <v>2024-12</v>
      </c>
      <c r="M1398">
        <f t="shared" si="129"/>
        <v>2044.1200000000008</v>
      </c>
    </row>
    <row r="1399" spans="1:13" x14ac:dyDescent="0.25">
      <c r="A1399" s="1">
        <v>44817</v>
      </c>
      <c r="B1399" t="s">
        <v>24</v>
      </c>
      <c r="C1399" t="s">
        <v>20</v>
      </c>
      <c r="D1399" t="s">
        <v>17</v>
      </c>
      <c r="E1399">
        <v>382.38</v>
      </c>
      <c r="F1399">
        <v>200.63</v>
      </c>
      <c r="G1399">
        <v>10</v>
      </c>
      <c r="H1399">
        <f t="shared" si="126"/>
        <v>3823.8</v>
      </c>
      <c r="I1399">
        <f t="shared" si="130"/>
        <v>2006.3</v>
      </c>
      <c r="J1399">
        <f t="shared" si="127"/>
        <v>1817.5000000000002</v>
      </c>
      <c r="K1399" s="8">
        <f t="shared" si="128"/>
        <v>0.47531251634499716</v>
      </c>
      <c r="L1399" t="str">
        <f t="shared" si="131"/>
        <v>2022-09</v>
      </c>
      <c r="M1399">
        <f t="shared" si="129"/>
        <v>1817.5000000000002</v>
      </c>
    </row>
    <row r="1400" spans="1:13" x14ac:dyDescent="0.25">
      <c r="A1400" s="1">
        <v>44698</v>
      </c>
      <c r="B1400" t="s">
        <v>21</v>
      </c>
      <c r="C1400" t="s">
        <v>20</v>
      </c>
      <c r="D1400" t="s">
        <v>9</v>
      </c>
      <c r="E1400">
        <v>300.76</v>
      </c>
      <c r="F1400">
        <v>241.33</v>
      </c>
      <c r="G1400">
        <v>6</v>
      </c>
      <c r="H1400">
        <f t="shared" si="126"/>
        <v>1804.56</v>
      </c>
      <c r="I1400">
        <f t="shared" si="130"/>
        <v>1447.98</v>
      </c>
      <c r="J1400">
        <f t="shared" si="127"/>
        <v>356.57999999999993</v>
      </c>
      <c r="K1400" s="8">
        <f t="shared" si="128"/>
        <v>0.19759941481579993</v>
      </c>
      <c r="L1400" t="str">
        <f t="shared" si="131"/>
        <v>2022-05</v>
      </c>
      <c r="M1400">
        <f t="shared" si="129"/>
        <v>356.57999999999993</v>
      </c>
    </row>
    <row r="1401" spans="1:13" x14ac:dyDescent="0.25">
      <c r="A1401" s="1">
        <v>45127</v>
      </c>
      <c r="B1401" t="s">
        <v>25</v>
      </c>
      <c r="C1401" t="s">
        <v>15</v>
      </c>
      <c r="D1401" t="s">
        <v>18</v>
      </c>
      <c r="E1401">
        <v>624.39</v>
      </c>
      <c r="F1401">
        <v>387.52</v>
      </c>
      <c r="G1401">
        <v>9</v>
      </c>
      <c r="H1401">
        <f t="shared" si="126"/>
        <v>5619.51</v>
      </c>
      <c r="I1401">
        <f t="shared" si="130"/>
        <v>3487.68</v>
      </c>
      <c r="J1401">
        <f t="shared" si="127"/>
        <v>2131.8300000000004</v>
      </c>
      <c r="K1401" s="8">
        <f t="shared" si="128"/>
        <v>0.37936225756338193</v>
      </c>
      <c r="L1401" t="str">
        <f t="shared" si="131"/>
        <v>2023-07</v>
      </c>
      <c r="M1401">
        <f t="shared" si="129"/>
        <v>2131.8300000000004</v>
      </c>
    </row>
    <row r="1402" spans="1:13" x14ac:dyDescent="0.25">
      <c r="A1402" s="1">
        <v>45595</v>
      </c>
      <c r="B1402" t="s">
        <v>24</v>
      </c>
      <c r="C1402" t="s">
        <v>20</v>
      </c>
      <c r="D1402" t="s">
        <v>9</v>
      </c>
      <c r="E1402">
        <v>155.63</v>
      </c>
      <c r="F1402">
        <v>134.94</v>
      </c>
      <c r="G1402">
        <v>8</v>
      </c>
      <c r="H1402">
        <f t="shared" si="126"/>
        <v>1245.04</v>
      </c>
      <c r="I1402">
        <f t="shared" si="130"/>
        <v>1079.52</v>
      </c>
      <c r="J1402">
        <f t="shared" si="127"/>
        <v>165.51999999999998</v>
      </c>
      <c r="K1402" s="8">
        <f t="shared" si="128"/>
        <v>0.13294351988691125</v>
      </c>
      <c r="L1402" t="str">
        <f t="shared" si="131"/>
        <v>2024-10</v>
      </c>
      <c r="M1402">
        <f t="shared" si="129"/>
        <v>165.51999999999998</v>
      </c>
    </row>
    <row r="1403" spans="1:13" x14ac:dyDescent="0.25">
      <c r="A1403" s="1">
        <v>44612</v>
      </c>
      <c r="B1403" t="s">
        <v>12</v>
      </c>
      <c r="C1403" t="s">
        <v>8</v>
      </c>
      <c r="D1403" t="s">
        <v>18</v>
      </c>
      <c r="E1403">
        <v>506.62</v>
      </c>
      <c r="F1403">
        <v>422.97</v>
      </c>
      <c r="G1403">
        <v>2</v>
      </c>
      <c r="H1403">
        <f t="shared" si="126"/>
        <v>1013.24</v>
      </c>
      <c r="I1403">
        <f t="shared" si="130"/>
        <v>845.94</v>
      </c>
      <c r="J1403">
        <f t="shared" si="127"/>
        <v>167.29999999999995</v>
      </c>
      <c r="K1403" s="8">
        <f t="shared" si="128"/>
        <v>0.16511389206900631</v>
      </c>
      <c r="L1403" t="str">
        <f t="shared" si="131"/>
        <v>2022-02</v>
      </c>
      <c r="M1403">
        <f t="shared" si="129"/>
        <v>167.29999999999995</v>
      </c>
    </row>
    <row r="1404" spans="1:13" x14ac:dyDescent="0.25">
      <c r="A1404" s="1">
        <v>45385</v>
      </c>
      <c r="B1404" t="s">
        <v>23</v>
      </c>
      <c r="C1404" t="s">
        <v>11</v>
      </c>
      <c r="D1404" t="s">
        <v>17</v>
      </c>
      <c r="E1404">
        <v>403.35</v>
      </c>
      <c r="F1404">
        <v>306.74</v>
      </c>
      <c r="G1404">
        <v>1</v>
      </c>
      <c r="H1404">
        <f t="shared" si="126"/>
        <v>403.35</v>
      </c>
      <c r="I1404">
        <f t="shared" si="130"/>
        <v>306.74</v>
      </c>
      <c r="J1404">
        <f t="shared" si="127"/>
        <v>96.610000000000014</v>
      </c>
      <c r="K1404" s="8">
        <f t="shared" si="128"/>
        <v>0.2395190281393331</v>
      </c>
      <c r="L1404" t="str">
        <f t="shared" si="131"/>
        <v>2024-04</v>
      </c>
      <c r="M1404">
        <f t="shared" si="129"/>
        <v>96.610000000000014</v>
      </c>
    </row>
    <row r="1405" spans="1:13" x14ac:dyDescent="0.25">
      <c r="A1405" s="1">
        <v>45420</v>
      </c>
      <c r="B1405" t="s">
        <v>16</v>
      </c>
      <c r="C1405" t="s">
        <v>15</v>
      </c>
      <c r="D1405" t="s">
        <v>18</v>
      </c>
      <c r="E1405">
        <v>1033.49</v>
      </c>
      <c r="F1405">
        <v>621.91</v>
      </c>
      <c r="G1405">
        <v>9</v>
      </c>
      <c r="H1405">
        <f t="shared" si="126"/>
        <v>9301.41</v>
      </c>
      <c r="I1405">
        <f t="shared" si="130"/>
        <v>5597.19</v>
      </c>
      <c r="J1405">
        <f t="shared" si="127"/>
        <v>3704.2200000000003</v>
      </c>
      <c r="K1405" s="8">
        <f t="shared" si="128"/>
        <v>0.39824284705222113</v>
      </c>
      <c r="L1405" t="str">
        <f t="shared" si="131"/>
        <v>2024-05</v>
      </c>
      <c r="M1405">
        <f t="shared" si="129"/>
        <v>3704.2200000000003</v>
      </c>
    </row>
    <row r="1406" spans="1:13" x14ac:dyDescent="0.25">
      <c r="A1406" s="1">
        <v>45370</v>
      </c>
      <c r="B1406" t="s">
        <v>10</v>
      </c>
      <c r="C1406" t="s">
        <v>11</v>
      </c>
      <c r="D1406" t="s">
        <v>18</v>
      </c>
      <c r="E1406">
        <v>768.62</v>
      </c>
      <c r="F1406">
        <v>633.67999999999995</v>
      </c>
      <c r="G1406">
        <v>4</v>
      </c>
      <c r="H1406">
        <f t="shared" si="126"/>
        <v>3074.48</v>
      </c>
      <c r="I1406">
        <f t="shared" si="130"/>
        <v>2534.7199999999998</v>
      </c>
      <c r="J1406">
        <f t="shared" si="127"/>
        <v>539.76000000000022</v>
      </c>
      <c r="K1406" s="8">
        <f t="shared" si="128"/>
        <v>0.17556139574822416</v>
      </c>
      <c r="L1406" t="str">
        <f t="shared" si="131"/>
        <v>2024-03</v>
      </c>
      <c r="M1406">
        <f t="shared" si="129"/>
        <v>539.76000000000022</v>
      </c>
    </row>
    <row r="1407" spans="1:13" x14ac:dyDescent="0.25">
      <c r="A1407" s="1">
        <v>45063</v>
      </c>
      <c r="B1407" t="s">
        <v>16</v>
      </c>
      <c r="C1407" t="s">
        <v>15</v>
      </c>
      <c r="D1407" t="s">
        <v>9</v>
      </c>
      <c r="E1407">
        <v>1673.59</v>
      </c>
      <c r="F1407">
        <v>1396.39</v>
      </c>
      <c r="G1407">
        <v>7</v>
      </c>
      <c r="H1407">
        <f t="shared" si="126"/>
        <v>11715.13</v>
      </c>
      <c r="I1407">
        <f t="shared" si="130"/>
        <v>9774.7300000000014</v>
      </c>
      <c r="J1407">
        <f t="shared" si="127"/>
        <v>1940.3999999999978</v>
      </c>
      <c r="K1407" s="8">
        <f t="shared" si="128"/>
        <v>0.16563196481814524</v>
      </c>
      <c r="L1407" t="str">
        <f t="shared" si="131"/>
        <v>2023-05</v>
      </c>
      <c r="M1407">
        <f t="shared" si="129"/>
        <v>1940.3999999999978</v>
      </c>
    </row>
    <row r="1408" spans="1:13" x14ac:dyDescent="0.25">
      <c r="A1408" s="1">
        <v>45195</v>
      </c>
      <c r="B1408" t="s">
        <v>22</v>
      </c>
      <c r="C1408" t="s">
        <v>8</v>
      </c>
      <c r="D1408" t="s">
        <v>18</v>
      </c>
      <c r="E1408">
        <v>1740.4</v>
      </c>
      <c r="F1408">
        <v>1184.8599999999999</v>
      </c>
      <c r="G1408">
        <v>8</v>
      </c>
      <c r="H1408">
        <f t="shared" si="126"/>
        <v>13923.2</v>
      </c>
      <c r="I1408">
        <f t="shared" si="130"/>
        <v>9478.8799999999992</v>
      </c>
      <c r="J1408">
        <f t="shared" si="127"/>
        <v>4444.3200000000015</v>
      </c>
      <c r="K1408" s="8">
        <f t="shared" si="128"/>
        <v>0.31920248218800285</v>
      </c>
      <c r="L1408" t="str">
        <f t="shared" si="131"/>
        <v>2023-09</v>
      </c>
      <c r="M1408">
        <f t="shared" si="129"/>
        <v>4444.3200000000015</v>
      </c>
    </row>
    <row r="1409" spans="1:13" x14ac:dyDescent="0.25">
      <c r="A1409" s="1">
        <v>44597</v>
      </c>
      <c r="B1409" t="s">
        <v>24</v>
      </c>
      <c r="C1409" t="s">
        <v>20</v>
      </c>
      <c r="D1409" t="s">
        <v>13</v>
      </c>
      <c r="E1409">
        <v>882.57</v>
      </c>
      <c r="F1409">
        <v>698.7</v>
      </c>
      <c r="G1409">
        <v>3</v>
      </c>
      <c r="H1409">
        <f t="shared" si="126"/>
        <v>2647.71</v>
      </c>
      <c r="I1409">
        <f t="shared" si="130"/>
        <v>2096.1000000000004</v>
      </c>
      <c r="J1409">
        <f t="shared" si="127"/>
        <v>551.60999999999967</v>
      </c>
      <c r="K1409" s="8">
        <f t="shared" si="128"/>
        <v>0.20833474965158558</v>
      </c>
      <c r="L1409" t="str">
        <f t="shared" si="131"/>
        <v>2022-02</v>
      </c>
      <c r="M1409">
        <f t="shared" si="129"/>
        <v>551.60999999999967</v>
      </c>
    </row>
    <row r="1410" spans="1:13" x14ac:dyDescent="0.25">
      <c r="A1410" s="1">
        <v>44777</v>
      </c>
      <c r="B1410" t="s">
        <v>22</v>
      </c>
      <c r="C1410" t="s">
        <v>8</v>
      </c>
      <c r="D1410" t="s">
        <v>18</v>
      </c>
      <c r="E1410">
        <v>802.16</v>
      </c>
      <c r="F1410">
        <v>490.1</v>
      </c>
      <c r="G1410">
        <v>5</v>
      </c>
      <c r="H1410">
        <f t="shared" si="126"/>
        <v>4010.7999999999997</v>
      </c>
      <c r="I1410">
        <f t="shared" si="130"/>
        <v>2450.5</v>
      </c>
      <c r="J1410">
        <f t="shared" si="127"/>
        <v>1560.2999999999997</v>
      </c>
      <c r="K1410" s="8">
        <f t="shared" si="128"/>
        <v>0.38902463348957811</v>
      </c>
      <c r="L1410" t="str">
        <f t="shared" si="131"/>
        <v>2022-08</v>
      </c>
      <c r="M1410">
        <f t="shared" si="129"/>
        <v>1560.2999999999997</v>
      </c>
    </row>
    <row r="1411" spans="1:13" x14ac:dyDescent="0.25">
      <c r="A1411" s="1">
        <v>44699</v>
      </c>
      <c r="B1411" t="s">
        <v>10</v>
      </c>
      <c r="C1411" t="s">
        <v>11</v>
      </c>
      <c r="D1411" t="s">
        <v>13</v>
      </c>
      <c r="E1411">
        <v>1744.14</v>
      </c>
      <c r="F1411">
        <v>1492.96</v>
      </c>
      <c r="G1411">
        <v>6</v>
      </c>
      <c r="H1411">
        <f t="shared" ref="H1411:H1474" si="132">E1411*G1411</f>
        <v>10464.84</v>
      </c>
      <c r="I1411">
        <f t="shared" si="130"/>
        <v>8957.76</v>
      </c>
      <c r="J1411">
        <f t="shared" ref="J1411:J1474" si="133">H1411-I1411</f>
        <v>1507.08</v>
      </c>
      <c r="K1411" s="8">
        <f t="shared" ref="K1411:K1474" si="134">(H1411-I1411)/H1411</f>
        <v>0.14401366862751844</v>
      </c>
      <c r="L1411" t="str">
        <f t="shared" si="131"/>
        <v>2022-05</v>
      </c>
      <c r="M1411">
        <f t="shared" ref="M1411:M1474" si="135">H1411-I1411</f>
        <v>1507.08</v>
      </c>
    </row>
    <row r="1412" spans="1:13" x14ac:dyDescent="0.25">
      <c r="A1412" s="1">
        <v>45523</v>
      </c>
      <c r="B1412" t="s">
        <v>21</v>
      </c>
      <c r="C1412" t="s">
        <v>20</v>
      </c>
      <c r="D1412" t="s">
        <v>18</v>
      </c>
      <c r="E1412">
        <v>992.75</v>
      </c>
      <c r="F1412">
        <v>687.88</v>
      </c>
      <c r="G1412">
        <v>8</v>
      </c>
      <c r="H1412">
        <f t="shared" si="132"/>
        <v>7942</v>
      </c>
      <c r="I1412">
        <f t="shared" ref="I1412:I1475" si="136">F1412*G1412</f>
        <v>5503.04</v>
      </c>
      <c r="J1412">
        <f t="shared" si="133"/>
        <v>2438.96</v>
      </c>
      <c r="K1412" s="8">
        <f t="shared" si="134"/>
        <v>0.3070964492571141</v>
      </c>
      <c r="L1412" t="str">
        <f t="shared" ref="L1412:L1475" si="137">TEXT(A1412,"rrrr-mm")</f>
        <v>2024-08</v>
      </c>
      <c r="M1412">
        <f t="shared" si="135"/>
        <v>2438.96</v>
      </c>
    </row>
    <row r="1413" spans="1:13" x14ac:dyDescent="0.25">
      <c r="A1413" s="1">
        <v>45637</v>
      </c>
      <c r="B1413" t="s">
        <v>16</v>
      </c>
      <c r="C1413" t="s">
        <v>15</v>
      </c>
      <c r="D1413" t="s">
        <v>17</v>
      </c>
      <c r="E1413">
        <v>1136.8</v>
      </c>
      <c r="F1413">
        <v>790.86</v>
      </c>
      <c r="G1413">
        <v>4</v>
      </c>
      <c r="H1413">
        <f t="shared" si="132"/>
        <v>4547.2</v>
      </c>
      <c r="I1413">
        <f t="shared" si="136"/>
        <v>3163.44</v>
      </c>
      <c r="J1413">
        <f t="shared" si="133"/>
        <v>1383.7599999999998</v>
      </c>
      <c r="K1413" s="8">
        <f t="shared" si="134"/>
        <v>0.30431034482758618</v>
      </c>
      <c r="L1413" t="str">
        <f t="shared" si="137"/>
        <v>2024-12</v>
      </c>
      <c r="M1413">
        <f t="shared" si="135"/>
        <v>1383.7599999999998</v>
      </c>
    </row>
    <row r="1414" spans="1:13" x14ac:dyDescent="0.25">
      <c r="A1414" s="1">
        <v>45268</v>
      </c>
      <c r="B1414" t="s">
        <v>19</v>
      </c>
      <c r="C1414" t="s">
        <v>20</v>
      </c>
      <c r="D1414" t="s">
        <v>13</v>
      </c>
      <c r="E1414">
        <v>303.69</v>
      </c>
      <c r="F1414">
        <v>241.09</v>
      </c>
      <c r="G1414">
        <v>8</v>
      </c>
      <c r="H1414">
        <f t="shared" si="132"/>
        <v>2429.52</v>
      </c>
      <c r="I1414">
        <f t="shared" si="136"/>
        <v>1928.72</v>
      </c>
      <c r="J1414">
        <f t="shared" si="133"/>
        <v>500.79999999999995</v>
      </c>
      <c r="K1414" s="8">
        <f t="shared" si="134"/>
        <v>0.20613125226382165</v>
      </c>
      <c r="L1414" t="str">
        <f t="shared" si="137"/>
        <v>2023-12</v>
      </c>
      <c r="M1414">
        <f t="shared" si="135"/>
        <v>500.79999999999995</v>
      </c>
    </row>
    <row r="1415" spans="1:13" x14ac:dyDescent="0.25">
      <c r="A1415" s="1">
        <v>45170</v>
      </c>
      <c r="B1415" t="s">
        <v>16</v>
      </c>
      <c r="C1415" t="s">
        <v>15</v>
      </c>
      <c r="D1415" t="s">
        <v>18</v>
      </c>
      <c r="E1415">
        <v>881.58</v>
      </c>
      <c r="F1415">
        <v>560.09</v>
      </c>
      <c r="G1415">
        <v>10</v>
      </c>
      <c r="H1415">
        <f t="shared" si="132"/>
        <v>8815.8000000000011</v>
      </c>
      <c r="I1415">
        <f t="shared" si="136"/>
        <v>5600.9000000000005</v>
      </c>
      <c r="J1415">
        <f t="shared" si="133"/>
        <v>3214.9000000000005</v>
      </c>
      <c r="K1415" s="8">
        <f t="shared" si="134"/>
        <v>0.36467478844801382</v>
      </c>
      <c r="L1415" t="str">
        <f t="shared" si="137"/>
        <v>2023-09</v>
      </c>
      <c r="M1415">
        <f t="shared" si="135"/>
        <v>3214.9000000000005</v>
      </c>
    </row>
    <row r="1416" spans="1:13" x14ac:dyDescent="0.25">
      <c r="A1416" s="1">
        <v>45294</v>
      </c>
      <c r="B1416" t="s">
        <v>23</v>
      </c>
      <c r="C1416" t="s">
        <v>11</v>
      </c>
      <c r="D1416" t="s">
        <v>18</v>
      </c>
      <c r="E1416">
        <v>586.94000000000005</v>
      </c>
      <c r="F1416">
        <v>436.33</v>
      </c>
      <c r="G1416">
        <v>1</v>
      </c>
      <c r="H1416">
        <f t="shared" si="132"/>
        <v>586.94000000000005</v>
      </c>
      <c r="I1416">
        <f t="shared" si="136"/>
        <v>436.33</v>
      </c>
      <c r="J1416">
        <f t="shared" si="133"/>
        <v>150.61000000000007</v>
      </c>
      <c r="K1416" s="8">
        <f t="shared" si="134"/>
        <v>0.25660203768698686</v>
      </c>
      <c r="L1416" t="str">
        <f t="shared" si="137"/>
        <v>2024-01</v>
      </c>
      <c r="M1416">
        <f t="shared" si="135"/>
        <v>150.61000000000007</v>
      </c>
    </row>
    <row r="1417" spans="1:13" x14ac:dyDescent="0.25">
      <c r="A1417" s="1">
        <v>45191</v>
      </c>
      <c r="B1417" t="s">
        <v>16</v>
      </c>
      <c r="C1417" t="s">
        <v>15</v>
      </c>
      <c r="D1417" t="s">
        <v>18</v>
      </c>
      <c r="E1417">
        <v>52.76</v>
      </c>
      <c r="F1417">
        <v>31.58</v>
      </c>
      <c r="G1417">
        <v>6</v>
      </c>
      <c r="H1417">
        <f t="shared" si="132"/>
        <v>316.56</v>
      </c>
      <c r="I1417">
        <f t="shared" si="136"/>
        <v>189.48</v>
      </c>
      <c r="J1417">
        <f t="shared" si="133"/>
        <v>127.08000000000001</v>
      </c>
      <c r="K1417" s="8">
        <f t="shared" si="134"/>
        <v>0.40144048521607284</v>
      </c>
      <c r="L1417" t="str">
        <f t="shared" si="137"/>
        <v>2023-09</v>
      </c>
      <c r="M1417">
        <f t="shared" si="135"/>
        <v>127.08000000000001</v>
      </c>
    </row>
    <row r="1418" spans="1:13" x14ac:dyDescent="0.25">
      <c r="A1418" s="1">
        <v>45053</v>
      </c>
      <c r="B1418" t="s">
        <v>16</v>
      </c>
      <c r="C1418" t="s">
        <v>15</v>
      </c>
      <c r="D1418" t="s">
        <v>17</v>
      </c>
      <c r="E1418">
        <v>1539.44</v>
      </c>
      <c r="F1418">
        <v>1208.1199999999999</v>
      </c>
      <c r="G1418">
        <v>4</v>
      </c>
      <c r="H1418">
        <f t="shared" si="132"/>
        <v>6157.76</v>
      </c>
      <c r="I1418">
        <f t="shared" si="136"/>
        <v>4832.4799999999996</v>
      </c>
      <c r="J1418">
        <f t="shared" si="133"/>
        <v>1325.2800000000007</v>
      </c>
      <c r="K1418" s="8">
        <f t="shared" si="134"/>
        <v>0.215221119368082</v>
      </c>
      <c r="L1418" t="str">
        <f t="shared" si="137"/>
        <v>2023-05</v>
      </c>
      <c r="M1418">
        <f t="shared" si="135"/>
        <v>1325.2800000000007</v>
      </c>
    </row>
    <row r="1419" spans="1:13" x14ac:dyDescent="0.25">
      <c r="A1419" s="1">
        <v>45636</v>
      </c>
      <c r="B1419" t="s">
        <v>21</v>
      </c>
      <c r="C1419" t="s">
        <v>20</v>
      </c>
      <c r="D1419" t="s">
        <v>13</v>
      </c>
      <c r="E1419">
        <v>1066.5899999999999</v>
      </c>
      <c r="F1419">
        <v>549.62</v>
      </c>
      <c r="G1419">
        <v>3</v>
      </c>
      <c r="H1419">
        <f t="shared" si="132"/>
        <v>3199.7699999999995</v>
      </c>
      <c r="I1419">
        <f t="shared" si="136"/>
        <v>1648.8600000000001</v>
      </c>
      <c r="J1419">
        <f t="shared" si="133"/>
        <v>1550.9099999999994</v>
      </c>
      <c r="K1419" s="8">
        <f t="shared" si="134"/>
        <v>0.48469421239651589</v>
      </c>
      <c r="L1419" t="str">
        <f t="shared" si="137"/>
        <v>2024-12</v>
      </c>
      <c r="M1419">
        <f t="shared" si="135"/>
        <v>1550.9099999999994</v>
      </c>
    </row>
    <row r="1420" spans="1:13" x14ac:dyDescent="0.25">
      <c r="A1420" s="1">
        <v>44771</v>
      </c>
      <c r="B1420" t="s">
        <v>22</v>
      </c>
      <c r="C1420" t="s">
        <v>8</v>
      </c>
      <c r="D1420" t="s">
        <v>9</v>
      </c>
      <c r="E1420">
        <v>1712.39</v>
      </c>
      <c r="F1420">
        <v>989.18</v>
      </c>
      <c r="G1420">
        <v>2</v>
      </c>
      <c r="H1420">
        <f t="shared" si="132"/>
        <v>3424.78</v>
      </c>
      <c r="I1420">
        <f t="shared" si="136"/>
        <v>1978.36</v>
      </c>
      <c r="J1420">
        <f t="shared" si="133"/>
        <v>1446.4200000000003</v>
      </c>
      <c r="K1420" s="8">
        <f t="shared" si="134"/>
        <v>0.42233953713815198</v>
      </c>
      <c r="L1420" t="str">
        <f t="shared" si="137"/>
        <v>2022-07</v>
      </c>
      <c r="M1420">
        <f t="shared" si="135"/>
        <v>1446.4200000000003</v>
      </c>
    </row>
    <row r="1421" spans="1:13" x14ac:dyDescent="0.25">
      <c r="A1421" s="1">
        <v>45112</v>
      </c>
      <c r="B1421" t="s">
        <v>22</v>
      </c>
      <c r="C1421" t="s">
        <v>8</v>
      </c>
      <c r="D1421" t="s">
        <v>13</v>
      </c>
      <c r="E1421">
        <v>497.18</v>
      </c>
      <c r="F1421">
        <v>293.36</v>
      </c>
      <c r="G1421">
        <v>2</v>
      </c>
      <c r="H1421">
        <f t="shared" si="132"/>
        <v>994.36</v>
      </c>
      <c r="I1421">
        <f t="shared" si="136"/>
        <v>586.72</v>
      </c>
      <c r="J1421">
        <f t="shared" si="133"/>
        <v>407.64</v>
      </c>
      <c r="K1421" s="8">
        <f t="shared" si="134"/>
        <v>0.40995213001327485</v>
      </c>
      <c r="L1421" t="str">
        <f t="shared" si="137"/>
        <v>2023-07</v>
      </c>
      <c r="M1421">
        <f t="shared" si="135"/>
        <v>407.64</v>
      </c>
    </row>
    <row r="1422" spans="1:13" x14ac:dyDescent="0.25">
      <c r="A1422" s="1">
        <v>44978</v>
      </c>
      <c r="B1422" t="s">
        <v>25</v>
      </c>
      <c r="C1422" t="s">
        <v>15</v>
      </c>
      <c r="D1422" t="s">
        <v>9</v>
      </c>
      <c r="E1422">
        <v>1632.12</v>
      </c>
      <c r="F1422">
        <v>1201.31</v>
      </c>
      <c r="G1422">
        <v>10</v>
      </c>
      <c r="H1422">
        <f t="shared" si="132"/>
        <v>16321.199999999999</v>
      </c>
      <c r="I1422">
        <f t="shared" si="136"/>
        <v>12013.099999999999</v>
      </c>
      <c r="J1422">
        <f t="shared" si="133"/>
        <v>4308.1000000000004</v>
      </c>
      <c r="K1422" s="8">
        <f t="shared" si="134"/>
        <v>0.26395730706075538</v>
      </c>
      <c r="L1422" t="str">
        <f t="shared" si="137"/>
        <v>2023-02</v>
      </c>
      <c r="M1422">
        <f t="shared" si="135"/>
        <v>4308.1000000000004</v>
      </c>
    </row>
    <row r="1423" spans="1:13" x14ac:dyDescent="0.25">
      <c r="A1423" s="1">
        <v>44754</v>
      </c>
      <c r="B1423" t="s">
        <v>12</v>
      </c>
      <c r="C1423" t="s">
        <v>8</v>
      </c>
      <c r="D1423" t="s">
        <v>18</v>
      </c>
      <c r="E1423">
        <v>777.35</v>
      </c>
      <c r="F1423">
        <v>538.97</v>
      </c>
      <c r="G1423">
        <v>1</v>
      </c>
      <c r="H1423">
        <f t="shared" si="132"/>
        <v>777.35</v>
      </c>
      <c r="I1423">
        <f t="shared" si="136"/>
        <v>538.97</v>
      </c>
      <c r="J1423">
        <f t="shared" si="133"/>
        <v>238.38</v>
      </c>
      <c r="K1423" s="8">
        <f t="shared" si="134"/>
        <v>0.30665723290667007</v>
      </c>
      <c r="L1423" t="str">
        <f t="shared" si="137"/>
        <v>2022-07</v>
      </c>
      <c r="M1423">
        <f t="shared" si="135"/>
        <v>238.38</v>
      </c>
    </row>
    <row r="1424" spans="1:13" x14ac:dyDescent="0.25">
      <c r="A1424" s="1">
        <v>45173</v>
      </c>
      <c r="B1424" t="s">
        <v>14</v>
      </c>
      <c r="C1424" t="s">
        <v>15</v>
      </c>
      <c r="D1424" t="s">
        <v>17</v>
      </c>
      <c r="E1424">
        <v>377.94</v>
      </c>
      <c r="F1424">
        <v>203.57</v>
      </c>
      <c r="G1424">
        <v>2</v>
      </c>
      <c r="H1424">
        <f t="shared" si="132"/>
        <v>755.88</v>
      </c>
      <c r="I1424">
        <f t="shared" si="136"/>
        <v>407.14</v>
      </c>
      <c r="J1424">
        <f t="shared" si="133"/>
        <v>348.74</v>
      </c>
      <c r="K1424" s="8">
        <f t="shared" si="134"/>
        <v>0.4613695295549558</v>
      </c>
      <c r="L1424" t="str">
        <f t="shared" si="137"/>
        <v>2023-09</v>
      </c>
      <c r="M1424">
        <f t="shared" si="135"/>
        <v>348.74</v>
      </c>
    </row>
    <row r="1425" spans="1:13" x14ac:dyDescent="0.25">
      <c r="A1425" s="1">
        <v>44566</v>
      </c>
      <c r="B1425" t="s">
        <v>16</v>
      </c>
      <c r="C1425" t="s">
        <v>15</v>
      </c>
      <c r="D1425" t="s">
        <v>13</v>
      </c>
      <c r="E1425">
        <v>1415.29</v>
      </c>
      <c r="F1425">
        <v>1159.69</v>
      </c>
      <c r="G1425">
        <v>2</v>
      </c>
      <c r="H1425">
        <f t="shared" si="132"/>
        <v>2830.58</v>
      </c>
      <c r="I1425">
        <f t="shared" si="136"/>
        <v>2319.38</v>
      </c>
      <c r="J1425">
        <f t="shared" si="133"/>
        <v>511.19999999999982</v>
      </c>
      <c r="K1425" s="8">
        <f t="shared" si="134"/>
        <v>0.18059902917423279</v>
      </c>
      <c r="L1425" t="str">
        <f t="shared" si="137"/>
        <v>2022-01</v>
      </c>
      <c r="M1425">
        <f t="shared" si="135"/>
        <v>511.19999999999982</v>
      </c>
    </row>
    <row r="1426" spans="1:13" x14ac:dyDescent="0.25">
      <c r="A1426" s="1">
        <v>45567</v>
      </c>
      <c r="B1426" t="s">
        <v>16</v>
      </c>
      <c r="C1426" t="s">
        <v>15</v>
      </c>
      <c r="D1426" t="s">
        <v>9</v>
      </c>
      <c r="E1426">
        <v>531.96</v>
      </c>
      <c r="F1426">
        <v>285.26</v>
      </c>
      <c r="G1426">
        <v>6</v>
      </c>
      <c r="H1426">
        <f t="shared" si="132"/>
        <v>3191.76</v>
      </c>
      <c r="I1426">
        <f t="shared" si="136"/>
        <v>1711.56</v>
      </c>
      <c r="J1426">
        <f t="shared" si="133"/>
        <v>1480.2000000000003</v>
      </c>
      <c r="K1426" s="8">
        <f t="shared" si="134"/>
        <v>0.46375667343409283</v>
      </c>
      <c r="L1426" t="str">
        <f t="shared" si="137"/>
        <v>2024-10</v>
      </c>
      <c r="M1426">
        <f t="shared" si="135"/>
        <v>1480.2000000000003</v>
      </c>
    </row>
    <row r="1427" spans="1:13" x14ac:dyDescent="0.25">
      <c r="A1427" s="1">
        <v>45454</v>
      </c>
      <c r="B1427" t="s">
        <v>23</v>
      </c>
      <c r="C1427" t="s">
        <v>11</v>
      </c>
      <c r="D1427" t="s">
        <v>17</v>
      </c>
      <c r="E1427">
        <v>1931.88</v>
      </c>
      <c r="F1427">
        <v>1440.66</v>
      </c>
      <c r="G1427">
        <v>6</v>
      </c>
      <c r="H1427">
        <f t="shared" si="132"/>
        <v>11591.28</v>
      </c>
      <c r="I1427">
        <f t="shared" si="136"/>
        <v>8643.9600000000009</v>
      </c>
      <c r="J1427">
        <f t="shared" si="133"/>
        <v>2947.3199999999997</v>
      </c>
      <c r="K1427" s="8">
        <f t="shared" si="134"/>
        <v>0.25427045158084349</v>
      </c>
      <c r="L1427" t="str">
        <f t="shared" si="137"/>
        <v>2024-06</v>
      </c>
      <c r="M1427">
        <f t="shared" si="135"/>
        <v>2947.3199999999997</v>
      </c>
    </row>
    <row r="1428" spans="1:13" x14ac:dyDescent="0.25">
      <c r="A1428" s="1">
        <v>45017</v>
      </c>
      <c r="B1428" t="s">
        <v>23</v>
      </c>
      <c r="C1428" t="s">
        <v>11</v>
      </c>
      <c r="D1428" t="s">
        <v>18</v>
      </c>
      <c r="E1428">
        <v>1333.47</v>
      </c>
      <c r="F1428">
        <v>803.54</v>
      </c>
      <c r="G1428">
        <v>7</v>
      </c>
      <c r="H1428">
        <f t="shared" si="132"/>
        <v>9334.2900000000009</v>
      </c>
      <c r="I1428">
        <f t="shared" si="136"/>
        <v>5624.78</v>
      </c>
      <c r="J1428">
        <f t="shared" si="133"/>
        <v>3709.5100000000011</v>
      </c>
      <c r="K1428" s="8">
        <f t="shared" si="134"/>
        <v>0.39740676580650491</v>
      </c>
      <c r="L1428" t="str">
        <f t="shared" si="137"/>
        <v>2023-04</v>
      </c>
      <c r="M1428">
        <f t="shared" si="135"/>
        <v>3709.5100000000011</v>
      </c>
    </row>
    <row r="1429" spans="1:13" x14ac:dyDescent="0.25">
      <c r="A1429" s="1">
        <v>45129</v>
      </c>
      <c r="B1429" t="s">
        <v>12</v>
      </c>
      <c r="C1429" t="s">
        <v>8</v>
      </c>
      <c r="D1429" t="s">
        <v>9</v>
      </c>
      <c r="E1429">
        <v>1869.74</v>
      </c>
      <c r="F1429">
        <v>970.72</v>
      </c>
      <c r="G1429">
        <v>4</v>
      </c>
      <c r="H1429">
        <f t="shared" si="132"/>
        <v>7478.96</v>
      </c>
      <c r="I1429">
        <f t="shared" si="136"/>
        <v>3882.88</v>
      </c>
      <c r="J1429">
        <f t="shared" si="133"/>
        <v>3596.08</v>
      </c>
      <c r="K1429" s="8">
        <f t="shared" si="134"/>
        <v>0.48082621113095936</v>
      </c>
      <c r="L1429" t="str">
        <f t="shared" si="137"/>
        <v>2023-07</v>
      </c>
      <c r="M1429">
        <f t="shared" si="135"/>
        <v>3596.08</v>
      </c>
    </row>
    <row r="1430" spans="1:13" x14ac:dyDescent="0.25">
      <c r="A1430" s="1">
        <v>45626</v>
      </c>
      <c r="B1430" t="s">
        <v>25</v>
      </c>
      <c r="C1430" t="s">
        <v>15</v>
      </c>
      <c r="D1430" t="s">
        <v>13</v>
      </c>
      <c r="E1430">
        <v>203.3</v>
      </c>
      <c r="F1430">
        <v>169.81</v>
      </c>
      <c r="G1430">
        <v>7</v>
      </c>
      <c r="H1430">
        <f t="shared" si="132"/>
        <v>1423.1000000000001</v>
      </c>
      <c r="I1430">
        <f t="shared" si="136"/>
        <v>1188.67</v>
      </c>
      <c r="J1430">
        <f t="shared" si="133"/>
        <v>234.43000000000006</v>
      </c>
      <c r="K1430" s="8">
        <f t="shared" si="134"/>
        <v>0.16473192326610922</v>
      </c>
      <c r="L1430" t="str">
        <f t="shared" si="137"/>
        <v>2024-11</v>
      </c>
      <c r="M1430">
        <f t="shared" si="135"/>
        <v>234.43000000000006</v>
      </c>
    </row>
    <row r="1431" spans="1:13" x14ac:dyDescent="0.25">
      <c r="A1431" s="1">
        <v>45433</v>
      </c>
      <c r="B1431" t="s">
        <v>7</v>
      </c>
      <c r="C1431" t="s">
        <v>8</v>
      </c>
      <c r="D1431" t="s">
        <v>9</v>
      </c>
      <c r="E1431">
        <v>1684.05</v>
      </c>
      <c r="F1431">
        <v>1278.53</v>
      </c>
      <c r="G1431">
        <v>7</v>
      </c>
      <c r="H1431">
        <f t="shared" si="132"/>
        <v>11788.35</v>
      </c>
      <c r="I1431">
        <f t="shared" si="136"/>
        <v>8949.7099999999991</v>
      </c>
      <c r="J1431">
        <f t="shared" si="133"/>
        <v>2838.6400000000012</v>
      </c>
      <c r="K1431" s="8">
        <f t="shared" si="134"/>
        <v>0.24080045129301397</v>
      </c>
      <c r="L1431" t="str">
        <f t="shared" si="137"/>
        <v>2024-05</v>
      </c>
      <c r="M1431">
        <f t="shared" si="135"/>
        <v>2838.6400000000012</v>
      </c>
    </row>
    <row r="1432" spans="1:13" x14ac:dyDescent="0.25">
      <c r="A1432" s="1">
        <v>45129</v>
      </c>
      <c r="B1432" t="s">
        <v>10</v>
      </c>
      <c r="C1432" t="s">
        <v>11</v>
      </c>
      <c r="D1432" t="s">
        <v>18</v>
      </c>
      <c r="E1432">
        <v>858.75</v>
      </c>
      <c r="F1432">
        <v>698.56</v>
      </c>
      <c r="G1432">
        <v>3</v>
      </c>
      <c r="H1432">
        <f t="shared" si="132"/>
        <v>2576.25</v>
      </c>
      <c r="I1432">
        <f t="shared" si="136"/>
        <v>2095.6799999999998</v>
      </c>
      <c r="J1432">
        <f t="shared" si="133"/>
        <v>480.57000000000016</v>
      </c>
      <c r="K1432" s="8">
        <f t="shared" si="134"/>
        <v>0.18653857350800587</v>
      </c>
      <c r="L1432" t="str">
        <f t="shared" si="137"/>
        <v>2023-07</v>
      </c>
      <c r="M1432">
        <f t="shared" si="135"/>
        <v>480.57000000000016</v>
      </c>
    </row>
    <row r="1433" spans="1:13" x14ac:dyDescent="0.25">
      <c r="A1433" s="1">
        <v>45215</v>
      </c>
      <c r="B1433" t="s">
        <v>14</v>
      </c>
      <c r="C1433" t="s">
        <v>15</v>
      </c>
      <c r="D1433" t="s">
        <v>9</v>
      </c>
      <c r="E1433">
        <v>1375.45</v>
      </c>
      <c r="F1433">
        <v>1090.3900000000001</v>
      </c>
      <c r="G1433">
        <v>3</v>
      </c>
      <c r="H1433">
        <f t="shared" si="132"/>
        <v>4126.3500000000004</v>
      </c>
      <c r="I1433">
        <f t="shared" si="136"/>
        <v>3271.17</v>
      </c>
      <c r="J1433">
        <f t="shared" si="133"/>
        <v>855.18000000000029</v>
      </c>
      <c r="K1433" s="8">
        <f t="shared" si="134"/>
        <v>0.20724853684248795</v>
      </c>
      <c r="L1433" t="str">
        <f t="shared" si="137"/>
        <v>2023-10</v>
      </c>
      <c r="M1433">
        <f t="shared" si="135"/>
        <v>855.18000000000029</v>
      </c>
    </row>
    <row r="1434" spans="1:13" x14ac:dyDescent="0.25">
      <c r="A1434" s="1">
        <v>44853</v>
      </c>
      <c r="B1434" t="s">
        <v>16</v>
      </c>
      <c r="C1434" t="s">
        <v>15</v>
      </c>
      <c r="D1434" t="s">
        <v>18</v>
      </c>
      <c r="E1434">
        <v>457.03</v>
      </c>
      <c r="F1434">
        <v>368.31</v>
      </c>
      <c r="G1434">
        <v>3</v>
      </c>
      <c r="H1434">
        <f t="shared" si="132"/>
        <v>1371.09</v>
      </c>
      <c r="I1434">
        <f t="shared" si="136"/>
        <v>1104.93</v>
      </c>
      <c r="J1434">
        <f t="shared" si="133"/>
        <v>266.15999999999985</v>
      </c>
      <c r="K1434" s="8">
        <f t="shared" si="134"/>
        <v>0.19412292409688633</v>
      </c>
      <c r="L1434" t="str">
        <f t="shared" si="137"/>
        <v>2022-10</v>
      </c>
      <c r="M1434">
        <f t="shared" si="135"/>
        <v>266.15999999999985</v>
      </c>
    </row>
    <row r="1435" spans="1:13" x14ac:dyDescent="0.25">
      <c r="A1435" s="1">
        <v>44973</v>
      </c>
      <c r="B1435" t="s">
        <v>23</v>
      </c>
      <c r="C1435" t="s">
        <v>11</v>
      </c>
      <c r="D1435" t="s">
        <v>9</v>
      </c>
      <c r="E1435">
        <v>499.11</v>
      </c>
      <c r="F1435">
        <v>414.02</v>
      </c>
      <c r="G1435">
        <v>10</v>
      </c>
      <c r="H1435">
        <f t="shared" si="132"/>
        <v>4991.1000000000004</v>
      </c>
      <c r="I1435">
        <f t="shared" si="136"/>
        <v>4140.2</v>
      </c>
      <c r="J1435">
        <f t="shared" si="133"/>
        <v>850.90000000000055</v>
      </c>
      <c r="K1435" s="8">
        <f t="shared" si="134"/>
        <v>0.17048346055979655</v>
      </c>
      <c r="L1435" t="str">
        <f t="shared" si="137"/>
        <v>2023-02</v>
      </c>
      <c r="M1435">
        <f t="shared" si="135"/>
        <v>850.90000000000055</v>
      </c>
    </row>
    <row r="1436" spans="1:13" x14ac:dyDescent="0.25">
      <c r="A1436" s="1">
        <v>45506</v>
      </c>
      <c r="B1436" t="s">
        <v>10</v>
      </c>
      <c r="C1436" t="s">
        <v>11</v>
      </c>
      <c r="D1436" t="s">
        <v>18</v>
      </c>
      <c r="E1436">
        <v>1396.51</v>
      </c>
      <c r="F1436">
        <v>1053.72</v>
      </c>
      <c r="G1436">
        <v>9</v>
      </c>
      <c r="H1436">
        <f t="shared" si="132"/>
        <v>12568.59</v>
      </c>
      <c r="I1436">
        <f t="shared" si="136"/>
        <v>9483.48</v>
      </c>
      <c r="J1436">
        <f t="shared" si="133"/>
        <v>3085.1100000000006</v>
      </c>
      <c r="K1436" s="8">
        <f t="shared" si="134"/>
        <v>0.2454619014543398</v>
      </c>
      <c r="L1436" t="str">
        <f t="shared" si="137"/>
        <v>2024-08</v>
      </c>
      <c r="M1436">
        <f t="shared" si="135"/>
        <v>3085.1100000000006</v>
      </c>
    </row>
    <row r="1437" spans="1:13" x14ac:dyDescent="0.25">
      <c r="A1437" s="1">
        <v>45589</v>
      </c>
      <c r="B1437" t="s">
        <v>14</v>
      </c>
      <c r="C1437" t="s">
        <v>15</v>
      </c>
      <c r="D1437" t="s">
        <v>13</v>
      </c>
      <c r="E1437">
        <v>1563.08</v>
      </c>
      <c r="F1437">
        <v>1284.51</v>
      </c>
      <c r="G1437">
        <v>7</v>
      </c>
      <c r="H1437">
        <f t="shared" si="132"/>
        <v>10941.56</v>
      </c>
      <c r="I1437">
        <f t="shared" si="136"/>
        <v>8991.57</v>
      </c>
      <c r="J1437">
        <f t="shared" si="133"/>
        <v>1949.9899999999998</v>
      </c>
      <c r="K1437" s="8">
        <f t="shared" si="134"/>
        <v>0.17821864523888731</v>
      </c>
      <c r="L1437" t="str">
        <f t="shared" si="137"/>
        <v>2024-10</v>
      </c>
      <c r="M1437">
        <f t="shared" si="135"/>
        <v>1949.9899999999998</v>
      </c>
    </row>
    <row r="1438" spans="1:13" x14ac:dyDescent="0.25">
      <c r="A1438" s="1">
        <v>45407</v>
      </c>
      <c r="B1438" t="s">
        <v>7</v>
      </c>
      <c r="C1438" t="s">
        <v>8</v>
      </c>
      <c r="D1438" t="s">
        <v>18</v>
      </c>
      <c r="E1438">
        <v>958.7</v>
      </c>
      <c r="F1438">
        <v>839.27</v>
      </c>
      <c r="G1438">
        <v>8</v>
      </c>
      <c r="H1438">
        <f t="shared" si="132"/>
        <v>7669.6</v>
      </c>
      <c r="I1438">
        <f t="shared" si="136"/>
        <v>6714.16</v>
      </c>
      <c r="J1438">
        <f t="shared" si="133"/>
        <v>955.44000000000051</v>
      </c>
      <c r="K1438" s="8">
        <f t="shared" si="134"/>
        <v>0.12457494523834366</v>
      </c>
      <c r="L1438" t="str">
        <f t="shared" si="137"/>
        <v>2024-04</v>
      </c>
      <c r="M1438">
        <f t="shared" si="135"/>
        <v>955.44000000000051</v>
      </c>
    </row>
    <row r="1439" spans="1:13" x14ac:dyDescent="0.25">
      <c r="A1439" s="1">
        <v>44890</v>
      </c>
      <c r="B1439" t="s">
        <v>25</v>
      </c>
      <c r="C1439" t="s">
        <v>15</v>
      </c>
      <c r="D1439" t="s">
        <v>9</v>
      </c>
      <c r="E1439">
        <v>415.44</v>
      </c>
      <c r="F1439">
        <v>285.33999999999997</v>
      </c>
      <c r="G1439">
        <v>9</v>
      </c>
      <c r="H1439">
        <f t="shared" si="132"/>
        <v>3738.96</v>
      </c>
      <c r="I1439">
        <f t="shared" si="136"/>
        <v>2568.06</v>
      </c>
      <c r="J1439">
        <f t="shared" si="133"/>
        <v>1170.9000000000001</v>
      </c>
      <c r="K1439" s="8">
        <f t="shared" si="134"/>
        <v>0.31316194877720011</v>
      </c>
      <c r="L1439" t="str">
        <f t="shared" si="137"/>
        <v>2022-11</v>
      </c>
      <c r="M1439">
        <f t="shared" si="135"/>
        <v>1170.9000000000001</v>
      </c>
    </row>
    <row r="1440" spans="1:13" x14ac:dyDescent="0.25">
      <c r="A1440" s="1">
        <v>45159</v>
      </c>
      <c r="B1440" t="s">
        <v>22</v>
      </c>
      <c r="C1440" t="s">
        <v>8</v>
      </c>
      <c r="D1440" t="s">
        <v>18</v>
      </c>
      <c r="E1440">
        <v>1903.89</v>
      </c>
      <c r="F1440">
        <v>1402.61</v>
      </c>
      <c r="G1440">
        <v>9</v>
      </c>
      <c r="H1440">
        <f t="shared" si="132"/>
        <v>17135.010000000002</v>
      </c>
      <c r="I1440">
        <f t="shared" si="136"/>
        <v>12623.49</v>
      </c>
      <c r="J1440">
        <f t="shared" si="133"/>
        <v>4511.5200000000023</v>
      </c>
      <c r="K1440" s="8">
        <f t="shared" si="134"/>
        <v>0.26329252215201521</v>
      </c>
      <c r="L1440" t="str">
        <f t="shared" si="137"/>
        <v>2023-08</v>
      </c>
      <c r="M1440">
        <f t="shared" si="135"/>
        <v>4511.5200000000023</v>
      </c>
    </row>
    <row r="1441" spans="1:13" x14ac:dyDescent="0.25">
      <c r="A1441" s="1">
        <v>45489</v>
      </c>
      <c r="B1441" t="s">
        <v>10</v>
      </c>
      <c r="C1441" t="s">
        <v>11</v>
      </c>
      <c r="D1441" t="s">
        <v>9</v>
      </c>
      <c r="E1441">
        <v>297.68</v>
      </c>
      <c r="F1441">
        <v>215.99</v>
      </c>
      <c r="G1441">
        <v>10</v>
      </c>
      <c r="H1441">
        <f t="shared" si="132"/>
        <v>2976.8</v>
      </c>
      <c r="I1441">
        <f t="shared" si="136"/>
        <v>2159.9</v>
      </c>
      <c r="J1441">
        <f t="shared" si="133"/>
        <v>816.90000000000009</v>
      </c>
      <c r="K1441" s="8">
        <f t="shared" si="134"/>
        <v>0.27442219833378123</v>
      </c>
      <c r="L1441" t="str">
        <f t="shared" si="137"/>
        <v>2024-07</v>
      </c>
      <c r="M1441">
        <f t="shared" si="135"/>
        <v>816.90000000000009</v>
      </c>
    </row>
    <row r="1442" spans="1:13" x14ac:dyDescent="0.25">
      <c r="A1442" s="1">
        <v>45417</v>
      </c>
      <c r="B1442" t="s">
        <v>16</v>
      </c>
      <c r="C1442" t="s">
        <v>15</v>
      </c>
      <c r="D1442" t="s">
        <v>17</v>
      </c>
      <c r="E1442">
        <v>1460.05</v>
      </c>
      <c r="F1442">
        <v>1014.73</v>
      </c>
      <c r="G1442">
        <v>9</v>
      </c>
      <c r="H1442">
        <f t="shared" si="132"/>
        <v>13140.449999999999</v>
      </c>
      <c r="I1442">
        <f t="shared" si="136"/>
        <v>9132.57</v>
      </c>
      <c r="J1442">
        <f t="shared" si="133"/>
        <v>4007.8799999999992</v>
      </c>
      <c r="K1442" s="8">
        <f t="shared" si="134"/>
        <v>0.30500325331324268</v>
      </c>
      <c r="L1442" t="str">
        <f t="shared" si="137"/>
        <v>2024-05</v>
      </c>
      <c r="M1442">
        <f t="shared" si="135"/>
        <v>4007.8799999999992</v>
      </c>
    </row>
    <row r="1443" spans="1:13" x14ac:dyDescent="0.25">
      <c r="A1443" s="1">
        <v>44818</v>
      </c>
      <c r="B1443" t="s">
        <v>19</v>
      </c>
      <c r="C1443" t="s">
        <v>20</v>
      </c>
      <c r="D1443" t="s">
        <v>9</v>
      </c>
      <c r="E1443">
        <v>1819.95</v>
      </c>
      <c r="F1443">
        <v>1502.51</v>
      </c>
      <c r="G1443">
        <v>3</v>
      </c>
      <c r="H1443">
        <f t="shared" si="132"/>
        <v>5459.85</v>
      </c>
      <c r="I1443">
        <f t="shared" si="136"/>
        <v>4507.53</v>
      </c>
      <c r="J1443">
        <f t="shared" si="133"/>
        <v>952.32000000000062</v>
      </c>
      <c r="K1443" s="8">
        <f t="shared" si="134"/>
        <v>0.17442237424105067</v>
      </c>
      <c r="L1443" t="str">
        <f t="shared" si="137"/>
        <v>2022-09</v>
      </c>
      <c r="M1443">
        <f t="shared" si="135"/>
        <v>952.32000000000062</v>
      </c>
    </row>
    <row r="1444" spans="1:13" x14ac:dyDescent="0.25">
      <c r="A1444" s="1">
        <v>45110</v>
      </c>
      <c r="B1444" t="s">
        <v>19</v>
      </c>
      <c r="C1444" t="s">
        <v>20</v>
      </c>
      <c r="D1444" t="s">
        <v>17</v>
      </c>
      <c r="E1444">
        <v>1332.11</v>
      </c>
      <c r="F1444">
        <v>1180.75</v>
      </c>
      <c r="G1444">
        <v>4</v>
      </c>
      <c r="H1444">
        <f t="shared" si="132"/>
        <v>5328.44</v>
      </c>
      <c r="I1444">
        <f t="shared" si="136"/>
        <v>4723</v>
      </c>
      <c r="J1444">
        <f t="shared" si="133"/>
        <v>605.4399999999996</v>
      </c>
      <c r="K1444" s="8">
        <f t="shared" si="134"/>
        <v>0.11362425024960394</v>
      </c>
      <c r="L1444" t="str">
        <f t="shared" si="137"/>
        <v>2023-07</v>
      </c>
      <c r="M1444">
        <f t="shared" si="135"/>
        <v>605.4399999999996</v>
      </c>
    </row>
    <row r="1445" spans="1:13" x14ac:dyDescent="0.25">
      <c r="A1445" s="1">
        <v>44769</v>
      </c>
      <c r="B1445" t="s">
        <v>10</v>
      </c>
      <c r="C1445" t="s">
        <v>11</v>
      </c>
      <c r="D1445" t="s">
        <v>17</v>
      </c>
      <c r="E1445">
        <v>488.27</v>
      </c>
      <c r="F1445">
        <v>318.19</v>
      </c>
      <c r="G1445">
        <v>9</v>
      </c>
      <c r="H1445">
        <f t="shared" si="132"/>
        <v>4394.43</v>
      </c>
      <c r="I1445">
        <f t="shared" si="136"/>
        <v>2863.71</v>
      </c>
      <c r="J1445">
        <f t="shared" si="133"/>
        <v>1530.7200000000003</v>
      </c>
      <c r="K1445" s="8">
        <f t="shared" si="134"/>
        <v>0.34833186556618267</v>
      </c>
      <c r="L1445" t="str">
        <f t="shared" si="137"/>
        <v>2022-07</v>
      </c>
      <c r="M1445">
        <f t="shared" si="135"/>
        <v>1530.7200000000003</v>
      </c>
    </row>
    <row r="1446" spans="1:13" x14ac:dyDescent="0.25">
      <c r="A1446" s="1">
        <v>44771</v>
      </c>
      <c r="B1446" t="s">
        <v>23</v>
      </c>
      <c r="C1446" t="s">
        <v>11</v>
      </c>
      <c r="D1446" t="s">
        <v>9</v>
      </c>
      <c r="E1446">
        <v>1310.05</v>
      </c>
      <c r="F1446">
        <v>675.69</v>
      </c>
      <c r="G1446">
        <v>10</v>
      </c>
      <c r="H1446">
        <f t="shared" si="132"/>
        <v>13100.5</v>
      </c>
      <c r="I1446">
        <f t="shared" si="136"/>
        <v>6756.9000000000005</v>
      </c>
      <c r="J1446">
        <f t="shared" si="133"/>
        <v>6343.5999999999995</v>
      </c>
      <c r="K1446" s="8">
        <f t="shared" si="134"/>
        <v>0.48422579290866757</v>
      </c>
      <c r="L1446" t="str">
        <f t="shared" si="137"/>
        <v>2022-07</v>
      </c>
      <c r="M1446">
        <f t="shared" si="135"/>
        <v>6343.5999999999995</v>
      </c>
    </row>
    <row r="1447" spans="1:13" x14ac:dyDescent="0.25">
      <c r="A1447" s="1">
        <v>44731</v>
      </c>
      <c r="B1447" t="s">
        <v>10</v>
      </c>
      <c r="C1447" t="s">
        <v>11</v>
      </c>
      <c r="D1447" t="s">
        <v>18</v>
      </c>
      <c r="E1447">
        <v>1018.84</v>
      </c>
      <c r="F1447">
        <v>757.45</v>
      </c>
      <c r="G1447">
        <v>10</v>
      </c>
      <c r="H1447">
        <f t="shared" si="132"/>
        <v>10188.4</v>
      </c>
      <c r="I1447">
        <f t="shared" si="136"/>
        <v>7574.5</v>
      </c>
      <c r="J1447">
        <f t="shared" si="133"/>
        <v>2613.8999999999996</v>
      </c>
      <c r="K1447" s="8">
        <f t="shared" si="134"/>
        <v>0.25655647599230497</v>
      </c>
      <c r="L1447" t="str">
        <f t="shared" si="137"/>
        <v>2022-06</v>
      </c>
      <c r="M1447">
        <f t="shared" si="135"/>
        <v>2613.8999999999996</v>
      </c>
    </row>
    <row r="1448" spans="1:13" x14ac:dyDescent="0.25">
      <c r="A1448" s="1">
        <v>45366</v>
      </c>
      <c r="B1448" t="s">
        <v>21</v>
      </c>
      <c r="C1448" t="s">
        <v>20</v>
      </c>
      <c r="D1448" t="s">
        <v>9</v>
      </c>
      <c r="E1448">
        <v>356.56</v>
      </c>
      <c r="F1448">
        <v>186.18</v>
      </c>
      <c r="G1448">
        <v>3</v>
      </c>
      <c r="H1448">
        <f t="shared" si="132"/>
        <v>1069.68</v>
      </c>
      <c r="I1448">
        <f t="shared" si="136"/>
        <v>558.54</v>
      </c>
      <c r="J1448">
        <f t="shared" si="133"/>
        <v>511.1400000000001</v>
      </c>
      <c r="K1448" s="8">
        <f t="shared" si="134"/>
        <v>0.47784384114875483</v>
      </c>
      <c r="L1448" t="str">
        <f t="shared" si="137"/>
        <v>2024-03</v>
      </c>
      <c r="M1448">
        <f t="shared" si="135"/>
        <v>511.1400000000001</v>
      </c>
    </row>
    <row r="1449" spans="1:13" x14ac:dyDescent="0.25">
      <c r="A1449" s="1">
        <v>45240</v>
      </c>
      <c r="B1449" t="s">
        <v>10</v>
      </c>
      <c r="C1449" t="s">
        <v>11</v>
      </c>
      <c r="D1449" t="s">
        <v>13</v>
      </c>
      <c r="E1449">
        <v>1767.29</v>
      </c>
      <c r="F1449">
        <v>1509.51</v>
      </c>
      <c r="G1449">
        <v>3</v>
      </c>
      <c r="H1449">
        <f t="shared" si="132"/>
        <v>5301.87</v>
      </c>
      <c r="I1449">
        <f t="shared" si="136"/>
        <v>4528.53</v>
      </c>
      <c r="J1449">
        <f t="shared" si="133"/>
        <v>773.34000000000015</v>
      </c>
      <c r="K1449" s="8">
        <f t="shared" si="134"/>
        <v>0.14586174312082345</v>
      </c>
      <c r="L1449" t="str">
        <f t="shared" si="137"/>
        <v>2023-11</v>
      </c>
      <c r="M1449">
        <f t="shared" si="135"/>
        <v>773.34000000000015</v>
      </c>
    </row>
    <row r="1450" spans="1:13" x14ac:dyDescent="0.25">
      <c r="A1450" s="1">
        <v>44906</v>
      </c>
      <c r="B1450" t="s">
        <v>14</v>
      </c>
      <c r="C1450" t="s">
        <v>15</v>
      </c>
      <c r="D1450" t="s">
        <v>9</v>
      </c>
      <c r="E1450">
        <v>963.14</v>
      </c>
      <c r="F1450">
        <v>489.27</v>
      </c>
      <c r="G1450">
        <v>2</v>
      </c>
      <c r="H1450">
        <f t="shared" si="132"/>
        <v>1926.28</v>
      </c>
      <c r="I1450">
        <f t="shared" si="136"/>
        <v>978.54</v>
      </c>
      <c r="J1450">
        <f t="shared" si="133"/>
        <v>947.74</v>
      </c>
      <c r="K1450" s="8">
        <f t="shared" si="134"/>
        <v>0.49200531594576075</v>
      </c>
      <c r="L1450" t="str">
        <f t="shared" si="137"/>
        <v>2022-12</v>
      </c>
      <c r="M1450">
        <f t="shared" si="135"/>
        <v>947.74</v>
      </c>
    </row>
    <row r="1451" spans="1:13" x14ac:dyDescent="0.25">
      <c r="A1451" s="1">
        <v>44606</v>
      </c>
      <c r="B1451" t="s">
        <v>24</v>
      </c>
      <c r="C1451" t="s">
        <v>20</v>
      </c>
      <c r="D1451" t="s">
        <v>13</v>
      </c>
      <c r="E1451">
        <v>254.36</v>
      </c>
      <c r="F1451">
        <v>151.08000000000001</v>
      </c>
      <c r="G1451">
        <v>10</v>
      </c>
      <c r="H1451">
        <f t="shared" si="132"/>
        <v>2543.6000000000004</v>
      </c>
      <c r="I1451">
        <f t="shared" si="136"/>
        <v>1510.8000000000002</v>
      </c>
      <c r="J1451">
        <f t="shared" si="133"/>
        <v>1032.8000000000002</v>
      </c>
      <c r="K1451" s="8">
        <f t="shared" si="134"/>
        <v>0.40603868532788173</v>
      </c>
      <c r="L1451" t="str">
        <f t="shared" si="137"/>
        <v>2022-02</v>
      </c>
      <c r="M1451">
        <f t="shared" si="135"/>
        <v>1032.8000000000002</v>
      </c>
    </row>
    <row r="1452" spans="1:13" x14ac:dyDescent="0.25">
      <c r="A1452" s="1">
        <v>44572</v>
      </c>
      <c r="B1452" t="s">
        <v>16</v>
      </c>
      <c r="C1452" t="s">
        <v>15</v>
      </c>
      <c r="D1452" t="s">
        <v>13</v>
      </c>
      <c r="E1452">
        <v>637.39</v>
      </c>
      <c r="F1452">
        <v>449.01</v>
      </c>
      <c r="G1452">
        <v>2</v>
      </c>
      <c r="H1452">
        <f t="shared" si="132"/>
        <v>1274.78</v>
      </c>
      <c r="I1452">
        <f t="shared" si="136"/>
        <v>898.02</v>
      </c>
      <c r="J1452">
        <f t="shared" si="133"/>
        <v>376.76</v>
      </c>
      <c r="K1452" s="8">
        <f t="shared" si="134"/>
        <v>0.29554903591207893</v>
      </c>
      <c r="L1452" t="str">
        <f t="shared" si="137"/>
        <v>2022-01</v>
      </c>
      <c r="M1452">
        <f t="shared" si="135"/>
        <v>376.76</v>
      </c>
    </row>
    <row r="1453" spans="1:13" x14ac:dyDescent="0.25">
      <c r="A1453" s="1">
        <v>45134</v>
      </c>
      <c r="B1453" t="s">
        <v>14</v>
      </c>
      <c r="C1453" t="s">
        <v>15</v>
      </c>
      <c r="D1453" t="s">
        <v>18</v>
      </c>
      <c r="E1453">
        <v>969.67</v>
      </c>
      <c r="F1453">
        <v>511.05</v>
      </c>
      <c r="G1453">
        <v>3</v>
      </c>
      <c r="H1453">
        <f t="shared" si="132"/>
        <v>2909.0099999999998</v>
      </c>
      <c r="I1453">
        <f t="shared" si="136"/>
        <v>1533.15</v>
      </c>
      <c r="J1453">
        <f t="shared" si="133"/>
        <v>1375.8599999999997</v>
      </c>
      <c r="K1453" s="8">
        <f t="shared" si="134"/>
        <v>0.47296502933987844</v>
      </c>
      <c r="L1453" t="str">
        <f t="shared" si="137"/>
        <v>2023-07</v>
      </c>
      <c r="M1453">
        <f t="shared" si="135"/>
        <v>1375.8599999999997</v>
      </c>
    </row>
    <row r="1454" spans="1:13" x14ac:dyDescent="0.25">
      <c r="A1454" s="1">
        <v>45083</v>
      </c>
      <c r="B1454" t="s">
        <v>24</v>
      </c>
      <c r="C1454" t="s">
        <v>20</v>
      </c>
      <c r="D1454" t="s">
        <v>18</v>
      </c>
      <c r="E1454">
        <v>1722.28</v>
      </c>
      <c r="F1454">
        <v>1174.06</v>
      </c>
      <c r="G1454">
        <v>8</v>
      </c>
      <c r="H1454">
        <f t="shared" si="132"/>
        <v>13778.24</v>
      </c>
      <c r="I1454">
        <f t="shared" si="136"/>
        <v>9392.48</v>
      </c>
      <c r="J1454">
        <f t="shared" si="133"/>
        <v>4385.76</v>
      </c>
      <c r="K1454" s="8">
        <f t="shared" si="134"/>
        <v>0.31831061151496853</v>
      </c>
      <c r="L1454" t="str">
        <f t="shared" si="137"/>
        <v>2023-06</v>
      </c>
      <c r="M1454">
        <f t="shared" si="135"/>
        <v>4385.76</v>
      </c>
    </row>
    <row r="1455" spans="1:13" x14ac:dyDescent="0.25">
      <c r="A1455" s="1">
        <v>45353</v>
      </c>
      <c r="B1455" t="s">
        <v>23</v>
      </c>
      <c r="C1455" t="s">
        <v>11</v>
      </c>
      <c r="D1455" t="s">
        <v>17</v>
      </c>
      <c r="E1455">
        <v>787.5</v>
      </c>
      <c r="F1455">
        <v>493.97</v>
      </c>
      <c r="G1455">
        <v>6</v>
      </c>
      <c r="H1455">
        <f t="shared" si="132"/>
        <v>4725</v>
      </c>
      <c r="I1455">
        <f t="shared" si="136"/>
        <v>2963.82</v>
      </c>
      <c r="J1455">
        <f t="shared" si="133"/>
        <v>1761.1799999999998</v>
      </c>
      <c r="K1455" s="8">
        <f t="shared" si="134"/>
        <v>0.37273650793650792</v>
      </c>
      <c r="L1455" t="str">
        <f t="shared" si="137"/>
        <v>2024-03</v>
      </c>
      <c r="M1455">
        <f t="shared" si="135"/>
        <v>1761.1799999999998</v>
      </c>
    </row>
    <row r="1456" spans="1:13" x14ac:dyDescent="0.25">
      <c r="A1456" s="1">
        <v>44861</v>
      </c>
      <c r="B1456" t="s">
        <v>21</v>
      </c>
      <c r="C1456" t="s">
        <v>20</v>
      </c>
      <c r="D1456" t="s">
        <v>17</v>
      </c>
      <c r="E1456">
        <v>1589.2</v>
      </c>
      <c r="F1456">
        <v>1025.2</v>
      </c>
      <c r="G1456">
        <v>10</v>
      </c>
      <c r="H1456">
        <f t="shared" si="132"/>
        <v>15892</v>
      </c>
      <c r="I1456">
        <f t="shared" si="136"/>
        <v>10252</v>
      </c>
      <c r="J1456">
        <f t="shared" si="133"/>
        <v>5640</v>
      </c>
      <c r="K1456" s="8">
        <f t="shared" si="134"/>
        <v>0.3548955449282658</v>
      </c>
      <c r="L1456" t="str">
        <f t="shared" si="137"/>
        <v>2022-10</v>
      </c>
      <c r="M1456">
        <f t="shared" si="135"/>
        <v>5640</v>
      </c>
    </row>
    <row r="1457" spans="1:13" x14ac:dyDescent="0.25">
      <c r="A1457" s="1">
        <v>45442</v>
      </c>
      <c r="B1457" t="s">
        <v>23</v>
      </c>
      <c r="C1457" t="s">
        <v>11</v>
      </c>
      <c r="D1457" t="s">
        <v>17</v>
      </c>
      <c r="E1457">
        <v>467.54</v>
      </c>
      <c r="F1457">
        <v>409.15</v>
      </c>
      <c r="G1457">
        <v>6</v>
      </c>
      <c r="H1457">
        <f t="shared" si="132"/>
        <v>2805.2400000000002</v>
      </c>
      <c r="I1457">
        <f t="shared" si="136"/>
        <v>2454.8999999999996</v>
      </c>
      <c r="J1457">
        <f t="shared" si="133"/>
        <v>350.3400000000006</v>
      </c>
      <c r="K1457" s="8">
        <f t="shared" si="134"/>
        <v>0.12488771014244791</v>
      </c>
      <c r="L1457" t="str">
        <f t="shared" si="137"/>
        <v>2024-05</v>
      </c>
      <c r="M1457">
        <f t="shared" si="135"/>
        <v>350.3400000000006</v>
      </c>
    </row>
    <row r="1458" spans="1:13" x14ac:dyDescent="0.25">
      <c r="A1458" s="1">
        <v>45119</v>
      </c>
      <c r="B1458" t="s">
        <v>24</v>
      </c>
      <c r="C1458" t="s">
        <v>20</v>
      </c>
      <c r="D1458" t="s">
        <v>17</v>
      </c>
      <c r="E1458">
        <v>968.48</v>
      </c>
      <c r="F1458">
        <v>754.5</v>
      </c>
      <c r="G1458">
        <v>5</v>
      </c>
      <c r="H1458">
        <f t="shared" si="132"/>
        <v>4842.3999999999996</v>
      </c>
      <c r="I1458">
        <f t="shared" si="136"/>
        <v>3772.5</v>
      </c>
      <c r="J1458">
        <f t="shared" si="133"/>
        <v>1069.8999999999996</v>
      </c>
      <c r="K1458" s="8">
        <f t="shared" si="134"/>
        <v>0.22094415992070043</v>
      </c>
      <c r="L1458" t="str">
        <f t="shared" si="137"/>
        <v>2023-07</v>
      </c>
      <c r="M1458">
        <f t="shared" si="135"/>
        <v>1069.8999999999996</v>
      </c>
    </row>
    <row r="1459" spans="1:13" x14ac:dyDescent="0.25">
      <c r="A1459" s="1">
        <v>45196</v>
      </c>
      <c r="B1459" t="s">
        <v>16</v>
      </c>
      <c r="C1459" t="s">
        <v>15</v>
      </c>
      <c r="D1459" t="s">
        <v>13</v>
      </c>
      <c r="E1459">
        <v>1681.42</v>
      </c>
      <c r="F1459">
        <v>1111.73</v>
      </c>
      <c r="G1459">
        <v>8</v>
      </c>
      <c r="H1459">
        <f t="shared" si="132"/>
        <v>13451.36</v>
      </c>
      <c r="I1459">
        <f t="shared" si="136"/>
        <v>8893.84</v>
      </c>
      <c r="J1459">
        <f t="shared" si="133"/>
        <v>4557.5200000000004</v>
      </c>
      <c r="K1459" s="8">
        <f t="shared" si="134"/>
        <v>0.33881481129045687</v>
      </c>
      <c r="L1459" t="str">
        <f t="shared" si="137"/>
        <v>2023-09</v>
      </c>
      <c r="M1459">
        <f t="shared" si="135"/>
        <v>4557.5200000000004</v>
      </c>
    </row>
    <row r="1460" spans="1:13" x14ac:dyDescent="0.25">
      <c r="A1460" s="1">
        <v>45121</v>
      </c>
      <c r="B1460" t="s">
        <v>23</v>
      </c>
      <c r="C1460" t="s">
        <v>11</v>
      </c>
      <c r="D1460" t="s">
        <v>18</v>
      </c>
      <c r="E1460">
        <v>757.84</v>
      </c>
      <c r="F1460">
        <v>510.38</v>
      </c>
      <c r="G1460">
        <v>8</v>
      </c>
      <c r="H1460">
        <f t="shared" si="132"/>
        <v>6062.72</v>
      </c>
      <c r="I1460">
        <f t="shared" si="136"/>
        <v>4083.04</v>
      </c>
      <c r="J1460">
        <f t="shared" si="133"/>
        <v>1979.6800000000003</v>
      </c>
      <c r="K1460" s="8">
        <f t="shared" si="134"/>
        <v>0.32653330518315216</v>
      </c>
      <c r="L1460" t="str">
        <f t="shared" si="137"/>
        <v>2023-07</v>
      </c>
      <c r="M1460">
        <f t="shared" si="135"/>
        <v>1979.6800000000003</v>
      </c>
    </row>
    <row r="1461" spans="1:13" x14ac:dyDescent="0.25">
      <c r="A1461" s="1">
        <v>45236</v>
      </c>
      <c r="B1461" t="s">
        <v>25</v>
      </c>
      <c r="C1461" t="s">
        <v>15</v>
      </c>
      <c r="D1461" t="s">
        <v>9</v>
      </c>
      <c r="E1461">
        <v>1528.94</v>
      </c>
      <c r="F1461">
        <v>981.68</v>
      </c>
      <c r="G1461">
        <v>4</v>
      </c>
      <c r="H1461">
        <f t="shared" si="132"/>
        <v>6115.76</v>
      </c>
      <c r="I1461">
        <f t="shared" si="136"/>
        <v>3926.72</v>
      </c>
      <c r="J1461">
        <f t="shared" si="133"/>
        <v>2189.0400000000004</v>
      </c>
      <c r="K1461" s="8">
        <f t="shared" si="134"/>
        <v>0.35793425510484395</v>
      </c>
      <c r="L1461" t="str">
        <f t="shared" si="137"/>
        <v>2023-11</v>
      </c>
      <c r="M1461">
        <f t="shared" si="135"/>
        <v>2189.0400000000004</v>
      </c>
    </row>
    <row r="1462" spans="1:13" x14ac:dyDescent="0.25">
      <c r="A1462" s="1">
        <v>45406</v>
      </c>
      <c r="B1462" t="s">
        <v>10</v>
      </c>
      <c r="C1462" t="s">
        <v>11</v>
      </c>
      <c r="D1462" t="s">
        <v>17</v>
      </c>
      <c r="E1462">
        <v>1571.6</v>
      </c>
      <c r="F1462">
        <v>1279.44</v>
      </c>
      <c r="G1462">
        <v>10</v>
      </c>
      <c r="H1462">
        <f t="shared" si="132"/>
        <v>15716</v>
      </c>
      <c r="I1462">
        <f t="shared" si="136"/>
        <v>12794.400000000001</v>
      </c>
      <c r="J1462">
        <f t="shared" si="133"/>
        <v>2921.5999999999985</v>
      </c>
      <c r="K1462" s="8">
        <f t="shared" si="134"/>
        <v>0.18589972003054203</v>
      </c>
      <c r="L1462" t="str">
        <f t="shared" si="137"/>
        <v>2024-04</v>
      </c>
      <c r="M1462">
        <f t="shared" si="135"/>
        <v>2921.5999999999985</v>
      </c>
    </row>
    <row r="1463" spans="1:13" x14ac:dyDescent="0.25">
      <c r="A1463" s="1">
        <v>45359</v>
      </c>
      <c r="B1463" t="s">
        <v>21</v>
      </c>
      <c r="C1463" t="s">
        <v>20</v>
      </c>
      <c r="D1463" t="s">
        <v>18</v>
      </c>
      <c r="E1463">
        <v>145.33000000000001</v>
      </c>
      <c r="F1463">
        <v>93.01</v>
      </c>
      <c r="G1463">
        <v>3</v>
      </c>
      <c r="H1463">
        <f t="shared" si="132"/>
        <v>435.99</v>
      </c>
      <c r="I1463">
        <f t="shared" si="136"/>
        <v>279.03000000000003</v>
      </c>
      <c r="J1463">
        <f t="shared" si="133"/>
        <v>156.95999999999998</v>
      </c>
      <c r="K1463" s="8">
        <f t="shared" si="134"/>
        <v>0.36000825707011624</v>
      </c>
      <c r="L1463" t="str">
        <f t="shared" si="137"/>
        <v>2024-03</v>
      </c>
      <c r="M1463">
        <f t="shared" si="135"/>
        <v>156.95999999999998</v>
      </c>
    </row>
    <row r="1464" spans="1:13" x14ac:dyDescent="0.25">
      <c r="A1464" s="1">
        <v>45352</v>
      </c>
      <c r="B1464" t="s">
        <v>10</v>
      </c>
      <c r="C1464" t="s">
        <v>11</v>
      </c>
      <c r="D1464" t="s">
        <v>17</v>
      </c>
      <c r="E1464">
        <v>1282.27</v>
      </c>
      <c r="F1464">
        <v>978.24</v>
      </c>
      <c r="G1464">
        <v>5</v>
      </c>
      <c r="H1464">
        <f t="shared" si="132"/>
        <v>6411.35</v>
      </c>
      <c r="I1464">
        <f t="shared" si="136"/>
        <v>4891.2</v>
      </c>
      <c r="J1464">
        <f t="shared" si="133"/>
        <v>1520.1500000000005</v>
      </c>
      <c r="K1464" s="8">
        <f t="shared" si="134"/>
        <v>0.2371029502366897</v>
      </c>
      <c r="L1464" t="str">
        <f t="shared" si="137"/>
        <v>2024-03</v>
      </c>
      <c r="M1464">
        <f t="shared" si="135"/>
        <v>1520.1500000000005</v>
      </c>
    </row>
    <row r="1465" spans="1:13" x14ac:dyDescent="0.25">
      <c r="A1465" s="1">
        <v>45607</v>
      </c>
      <c r="B1465" t="s">
        <v>7</v>
      </c>
      <c r="C1465" t="s">
        <v>8</v>
      </c>
      <c r="D1465" t="s">
        <v>9</v>
      </c>
      <c r="E1465">
        <v>1097.7</v>
      </c>
      <c r="F1465">
        <v>764.36</v>
      </c>
      <c r="G1465">
        <v>6</v>
      </c>
      <c r="H1465">
        <f t="shared" si="132"/>
        <v>6586.2000000000007</v>
      </c>
      <c r="I1465">
        <f t="shared" si="136"/>
        <v>4586.16</v>
      </c>
      <c r="J1465">
        <f t="shared" si="133"/>
        <v>2000.0400000000009</v>
      </c>
      <c r="K1465" s="8">
        <f t="shared" si="134"/>
        <v>0.30367131274483022</v>
      </c>
      <c r="L1465" t="str">
        <f t="shared" si="137"/>
        <v>2024-11</v>
      </c>
      <c r="M1465">
        <f t="shared" si="135"/>
        <v>2000.0400000000009</v>
      </c>
    </row>
    <row r="1466" spans="1:13" x14ac:dyDescent="0.25">
      <c r="A1466" s="1">
        <v>45160</v>
      </c>
      <c r="B1466" t="s">
        <v>7</v>
      </c>
      <c r="C1466" t="s">
        <v>8</v>
      </c>
      <c r="D1466" t="s">
        <v>13</v>
      </c>
      <c r="E1466">
        <v>513.67999999999995</v>
      </c>
      <c r="F1466">
        <v>290.24</v>
      </c>
      <c r="G1466">
        <v>6</v>
      </c>
      <c r="H1466">
        <f t="shared" si="132"/>
        <v>3082.08</v>
      </c>
      <c r="I1466">
        <f t="shared" si="136"/>
        <v>1741.44</v>
      </c>
      <c r="J1466">
        <f t="shared" si="133"/>
        <v>1340.6399999999999</v>
      </c>
      <c r="K1466" s="8">
        <f t="shared" si="134"/>
        <v>0.4349789752375019</v>
      </c>
      <c r="L1466" t="str">
        <f t="shared" si="137"/>
        <v>2023-08</v>
      </c>
      <c r="M1466">
        <f t="shared" si="135"/>
        <v>1340.6399999999999</v>
      </c>
    </row>
    <row r="1467" spans="1:13" x14ac:dyDescent="0.25">
      <c r="A1467" s="1">
        <v>45263</v>
      </c>
      <c r="B1467" t="s">
        <v>22</v>
      </c>
      <c r="C1467" t="s">
        <v>8</v>
      </c>
      <c r="D1467" t="s">
        <v>13</v>
      </c>
      <c r="E1467">
        <v>777.87</v>
      </c>
      <c r="F1467">
        <v>560.77</v>
      </c>
      <c r="G1467">
        <v>8</v>
      </c>
      <c r="H1467">
        <f t="shared" si="132"/>
        <v>6222.96</v>
      </c>
      <c r="I1467">
        <f t="shared" si="136"/>
        <v>4486.16</v>
      </c>
      <c r="J1467">
        <f t="shared" si="133"/>
        <v>1736.8000000000002</v>
      </c>
      <c r="K1467" s="8">
        <f t="shared" si="134"/>
        <v>0.27909547867895668</v>
      </c>
      <c r="L1467" t="str">
        <f t="shared" si="137"/>
        <v>2023-12</v>
      </c>
      <c r="M1467">
        <f t="shared" si="135"/>
        <v>1736.8000000000002</v>
      </c>
    </row>
    <row r="1468" spans="1:13" x14ac:dyDescent="0.25">
      <c r="A1468" s="1">
        <v>44670</v>
      </c>
      <c r="B1468" t="s">
        <v>12</v>
      </c>
      <c r="C1468" t="s">
        <v>8</v>
      </c>
      <c r="D1468" t="s">
        <v>9</v>
      </c>
      <c r="E1468">
        <v>904.89</v>
      </c>
      <c r="F1468">
        <v>765.41</v>
      </c>
      <c r="G1468">
        <v>6</v>
      </c>
      <c r="H1468">
        <f t="shared" si="132"/>
        <v>5429.34</v>
      </c>
      <c r="I1468">
        <f t="shared" si="136"/>
        <v>4592.46</v>
      </c>
      <c r="J1468">
        <f t="shared" si="133"/>
        <v>836.88000000000011</v>
      </c>
      <c r="K1468" s="8">
        <f t="shared" si="134"/>
        <v>0.15414028224425069</v>
      </c>
      <c r="L1468" t="str">
        <f t="shared" si="137"/>
        <v>2022-04</v>
      </c>
      <c r="M1468">
        <f t="shared" si="135"/>
        <v>836.88000000000011</v>
      </c>
    </row>
    <row r="1469" spans="1:13" x14ac:dyDescent="0.25">
      <c r="A1469" s="1">
        <v>44738</v>
      </c>
      <c r="B1469" t="s">
        <v>19</v>
      </c>
      <c r="C1469" t="s">
        <v>20</v>
      </c>
      <c r="D1469" t="s">
        <v>17</v>
      </c>
      <c r="E1469">
        <v>1544.6</v>
      </c>
      <c r="F1469">
        <v>870.44</v>
      </c>
      <c r="G1469">
        <v>7</v>
      </c>
      <c r="H1469">
        <f t="shared" si="132"/>
        <v>10812.199999999999</v>
      </c>
      <c r="I1469">
        <f t="shared" si="136"/>
        <v>6093.08</v>
      </c>
      <c r="J1469">
        <f t="shared" si="133"/>
        <v>4719.119999999999</v>
      </c>
      <c r="K1469" s="8">
        <f t="shared" si="134"/>
        <v>0.43646251456687812</v>
      </c>
      <c r="L1469" t="str">
        <f t="shared" si="137"/>
        <v>2022-06</v>
      </c>
      <c r="M1469">
        <f t="shared" si="135"/>
        <v>4719.119999999999</v>
      </c>
    </row>
    <row r="1470" spans="1:13" x14ac:dyDescent="0.25">
      <c r="A1470" s="1">
        <v>44768</v>
      </c>
      <c r="B1470" t="s">
        <v>25</v>
      </c>
      <c r="C1470" t="s">
        <v>15</v>
      </c>
      <c r="D1470" t="s">
        <v>13</v>
      </c>
      <c r="E1470">
        <v>107.79</v>
      </c>
      <c r="F1470">
        <v>86.03</v>
      </c>
      <c r="G1470">
        <v>5</v>
      </c>
      <c r="H1470">
        <f t="shared" si="132"/>
        <v>538.95000000000005</v>
      </c>
      <c r="I1470">
        <f t="shared" si="136"/>
        <v>430.15</v>
      </c>
      <c r="J1470">
        <f t="shared" si="133"/>
        <v>108.80000000000007</v>
      </c>
      <c r="K1470" s="8">
        <f t="shared" si="134"/>
        <v>0.20187401428703972</v>
      </c>
      <c r="L1470" t="str">
        <f t="shared" si="137"/>
        <v>2022-07</v>
      </c>
      <c r="M1470">
        <f t="shared" si="135"/>
        <v>108.80000000000007</v>
      </c>
    </row>
    <row r="1471" spans="1:13" x14ac:dyDescent="0.25">
      <c r="A1471" s="1">
        <v>45613</v>
      </c>
      <c r="B1471" t="s">
        <v>12</v>
      </c>
      <c r="C1471" t="s">
        <v>8</v>
      </c>
      <c r="D1471" t="s">
        <v>9</v>
      </c>
      <c r="E1471">
        <v>809.62</v>
      </c>
      <c r="F1471">
        <v>585.53</v>
      </c>
      <c r="G1471">
        <v>10</v>
      </c>
      <c r="H1471">
        <f t="shared" si="132"/>
        <v>8096.2</v>
      </c>
      <c r="I1471">
        <f t="shared" si="136"/>
        <v>5855.2999999999993</v>
      </c>
      <c r="J1471">
        <f t="shared" si="133"/>
        <v>2240.9000000000005</v>
      </c>
      <c r="K1471" s="8">
        <f t="shared" si="134"/>
        <v>0.27678417035152303</v>
      </c>
      <c r="L1471" t="str">
        <f t="shared" si="137"/>
        <v>2024-11</v>
      </c>
      <c r="M1471">
        <f t="shared" si="135"/>
        <v>2240.9000000000005</v>
      </c>
    </row>
    <row r="1472" spans="1:13" x14ac:dyDescent="0.25">
      <c r="A1472" s="1">
        <v>44567</v>
      </c>
      <c r="B1472" t="s">
        <v>22</v>
      </c>
      <c r="C1472" t="s">
        <v>8</v>
      </c>
      <c r="D1472" t="s">
        <v>17</v>
      </c>
      <c r="E1472">
        <v>1902.55</v>
      </c>
      <c r="F1472">
        <v>1165.4000000000001</v>
      </c>
      <c r="G1472">
        <v>3</v>
      </c>
      <c r="H1472">
        <f t="shared" si="132"/>
        <v>5707.65</v>
      </c>
      <c r="I1472">
        <f t="shared" si="136"/>
        <v>3496.2000000000003</v>
      </c>
      <c r="J1472">
        <f t="shared" si="133"/>
        <v>2211.4499999999994</v>
      </c>
      <c r="K1472" s="8">
        <f t="shared" si="134"/>
        <v>0.38745368058658108</v>
      </c>
      <c r="L1472" t="str">
        <f t="shared" si="137"/>
        <v>2022-01</v>
      </c>
      <c r="M1472">
        <f t="shared" si="135"/>
        <v>2211.4499999999994</v>
      </c>
    </row>
    <row r="1473" spans="1:13" x14ac:dyDescent="0.25">
      <c r="A1473" s="1">
        <v>44827</v>
      </c>
      <c r="B1473" t="s">
        <v>10</v>
      </c>
      <c r="C1473" t="s">
        <v>11</v>
      </c>
      <c r="D1473" t="s">
        <v>18</v>
      </c>
      <c r="E1473">
        <v>192.32</v>
      </c>
      <c r="F1473">
        <v>160.21</v>
      </c>
      <c r="G1473">
        <v>10</v>
      </c>
      <c r="H1473">
        <f t="shared" si="132"/>
        <v>1923.1999999999998</v>
      </c>
      <c r="I1473">
        <f t="shared" si="136"/>
        <v>1602.1000000000001</v>
      </c>
      <c r="J1473">
        <f t="shared" si="133"/>
        <v>321.09999999999968</v>
      </c>
      <c r="K1473" s="8">
        <f t="shared" si="134"/>
        <v>0.1669613144758734</v>
      </c>
      <c r="L1473" t="str">
        <f t="shared" si="137"/>
        <v>2022-09</v>
      </c>
      <c r="M1473">
        <f t="shared" si="135"/>
        <v>321.09999999999968</v>
      </c>
    </row>
    <row r="1474" spans="1:13" x14ac:dyDescent="0.25">
      <c r="A1474" s="1">
        <v>45387</v>
      </c>
      <c r="B1474" t="s">
        <v>10</v>
      </c>
      <c r="C1474" t="s">
        <v>11</v>
      </c>
      <c r="D1474" t="s">
        <v>18</v>
      </c>
      <c r="E1474">
        <v>1412.38</v>
      </c>
      <c r="F1474">
        <v>765.44</v>
      </c>
      <c r="G1474">
        <v>2</v>
      </c>
      <c r="H1474">
        <f t="shared" si="132"/>
        <v>2824.76</v>
      </c>
      <c r="I1474">
        <f t="shared" si="136"/>
        <v>1530.88</v>
      </c>
      <c r="J1474">
        <f t="shared" si="133"/>
        <v>1293.8800000000001</v>
      </c>
      <c r="K1474" s="8">
        <f t="shared" si="134"/>
        <v>0.45804953341168808</v>
      </c>
      <c r="L1474" t="str">
        <f t="shared" si="137"/>
        <v>2024-04</v>
      </c>
      <c r="M1474">
        <f t="shared" si="135"/>
        <v>1293.8800000000001</v>
      </c>
    </row>
    <row r="1475" spans="1:13" x14ac:dyDescent="0.25">
      <c r="A1475" s="1">
        <v>44634</v>
      </c>
      <c r="B1475" t="s">
        <v>25</v>
      </c>
      <c r="C1475" t="s">
        <v>15</v>
      </c>
      <c r="D1475" t="s">
        <v>17</v>
      </c>
      <c r="E1475">
        <v>1480.72</v>
      </c>
      <c r="F1475">
        <v>741.95</v>
      </c>
      <c r="G1475">
        <v>1</v>
      </c>
      <c r="H1475">
        <f t="shared" ref="H1475:H1538" si="138">E1475*G1475</f>
        <v>1480.72</v>
      </c>
      <c r="I1475">
        <f t="shared" si="136"/>
        <v>741.95</v>
      </c>
      <c r="J1475">
        <f t="shared" ref="J1475:J1538" si="139">H1475-I1475</f>
        <v>738.77</v>
      </c>
      <c r="K1475" s="8">
        <f t="shared" ref="K1475:K1538" si="140">(H1475-I1475)/H1475</f>
        <v>0.49892619806580579</v>
      </c>
      <c r="L1475" t="str">
        <f t="shared" si="137"/>
        <v>2022-03</v>
      </c>
      <c r="M1475">
        <f t="shared" ref="M1475:M1538" si="141">H1475-I1475</f>
        <v>738.77</v>
      </c>
    </row>
    <row r="1476" spans="1:13" x14ac:dyDescent="0.25">
      <c r="A1476" s="1">
        <v>45398</v>
      </c>
      <c r="B1476" t="s">
        <v>21</v>
      </c>
      <c r="C1476" t="s">
        <v>20</v>
      </c>
      <c r="D1476" t="s">
        <v>17</v>
      </c>
      <c r="E1476">
        <v>1357.05</v>
      </c>
      <c r="F1476">
        <v>793.27</v>
      </c>
      <c r="G1476">
        <v>8</v>
      </c>
      <c r="H1476">
        <f t="shared" si="138"/>
        <v>10856.4</v>
      </c>
      <c r="I1476">
        <f t="shared" ref="I1476:I1539" si="142">F1476*G1476</f>
        <v>6346.16</v>
      </c>
      <c r="J1476">
        <f t="shared" si="139"/>
        <v>4510.24</v>
      </c>
      <c r="K1476" s="8">
        <f t="shared" si="140"/>
        <v>0.41544526730776316</v>
      </c>
      <c r="L1476" t="str">
        <f t="shared" ref="L1476:L1539" si="143">TEXT(A1476,"rrrr-mm")</f>
        <v>2024-04</v>
      </c>
      <c r="M1476">
        <f t="shared" si="141"/>
        <v>4510.24</v>
      </c>
    </row>
    <row r="1477" spans="1:13" x14ac:dyDescent="0.25">
      <c r="A1477" s="1">
        <v>45160</v>
      </c>
      <c r="B1477" t="s">
        <v>25</v>
      </c>
      <c r="C1477" t="s">
        <v>15</v>
      </c>
      <c r="D1477" t="s">
        <v>18</v>
      </c>
      <c r="E1477">
        <v>917.65</v>
      </c>
      <c r="F1477">
        <v>479.78</v>
      </c>
      <c r="G1477">
        <v>6</v>
      </c>
      <c r="H1477">
        <f t="shared" si="138"/>
        <v>5505.9</v>
      </c>
      <c r="I1477">
        <f t="shared" si="142"/>
        <v>2878.68</v>
      </c>
      <c r="J1477">
        <f t="shared" si="139"/>
        <v>2627.22</v>
      </c>
      <c r="K1477" s="8">
        <f t="shared" si="140"/>
        <v>0.47716449626764018</v>
      </c>
      <c r="L1477" t="str">
        <f t="shared" si="143"/>
        <v>2023-08</v>
      </c>
      <c r="M1477">
        <f t="shared" si="141"/>
        <v>2627.22</v>
      </c>
    </row>
    <row r="1478" spans="1:13" x14ac:dyDescent="0.25">
      <c r="A1478" s="1">
        <v>45646</v>
      </c>
      <c r="B1478" t="s">
        <v>25</v>
      </c>
      <c r="C1478" t="s">
        <v>15</v>
      </c>
      <c r="D1478" t="s">
        <v>13</v>
      </c>
      <c r="E1478">
        <v>766.3</v>
      </c>
      <c r="F1478">
        <v>639.21</v>
      </c>
      <c r="G1478">
        <v>6</v>
      </c>
      <c r="H1478">
        <f t="shared" si="138"/>
        <v>4597.7999999999993</v>
      </c>
      <c r="I1478">
        <f t="shared" si="142"/>
        <v>3835.26</v>
      </c>
      <c r="J1478">
        <f t="shared" si="139"/>
        <v>762.53999999999905</v>
      </c>
      <c r="K1478" s="8">
        <f t="shared" si="140"/>
        <v>0.16584888424898847</v>
      </c>
      <c r="L1478" t="str">
        <f t="shared" si="143"/>
        <v>2024-12</v>
      </c>
      <c r="M1478">
        <f t="shared" si="141"/>
        <v>762.53999999999905</v>
      </c>
    </row>
    <row r="1479" spans="1:13" x14ac:dyDescent="0.25">
      <c r="A1479" s="1">
        <v>44919</v>
      </c>
      <c r="B1479" t="s">
        <v>25</v>
      </c>
      <c r="C1479" t="s">
        <v>15</v>
      </c>
      <c r="D1479" t="s">
        <v>17</v>
      </c>
      <c r="E1479">
        <v>255.97</v>
      </c>
      <c r="F1479">
        <v>167.42</v>
      </c>
      <c r="G1479">
        <v>7</v>
      </c>
      <c r="H1479">
        <f t="shared" si="138"/>
        <v>1791.79</v>
      </c>
      <c r="I1479">
        <f t="shared" si="142"/>
        <v>1171.9399999999998</v>
      </c>
      <c r="J1479">
        <f t="shared" si="139"/>
        <v>619.85000000000014</v>
      </c>
      <c r="K1479" s="8">
        <f t="shared" si="140"/>
        <v>0.3459389772238935</v>
      </c>
      <c r="L1479" t="str">
        <f t="shared" si="143"/>
        <v>2022-12</v>
      </c>
      <c r="M1479">
        <f t="shared" si="141"/>
        <v>619.85000000000014</v>
      </c>
    </row>
    <row r="1480" spans="1:13" x14ac:dyDescent="0.25">
      <c r="A1480" s="1">
        <v>44947</v>
      </c>
      <c r="B1480" t="s">
        <v>25</v>
      </c>
      <c r="C1480" t="s">
        <v>15</v>
      </c>
      <c r="D1480" t="s">
        <v>13</v>
      </c>
      <c r="E1480">
        <v>340.33</v>
      </c>
      <c r="F1480">
        <v>286.17</v>
      </c>
      <c r="G1480">
        <v>10</v>
      </c>
      <c r="H1480">
        <f t="shared" si="138"/>
        <v>3403.2999999999997</v>
      </c>
      <c r="I1480">
        <f t="shared" si="142"/>
        <v>2861.7000000000003</v>
      </c>
      <c r="J1480">
        <f t="shared" si="139"/>
        <v>541.59999999999945</v>
      </c>
      <c r="K1480" s="8">
        <f t="shared" si="140"/>
        <v>0.15913965856668513</v>
      </c>
      <c r="L1480" t="str">
        <f t="shared" si="143"/>
        <v>2023-01</v>
      </c>
      <c r="M1480">
        <f t="shared" si="141"/>
        <v>541.59999999999945</v>
      </c>
    </row>
    <row r="1481" spans="1:13" x14ac:dyDescent="0.25">
      <c r="A1481" s="1">
        <v>45604</v>
      </c>
      <c r="B1481" t="s">
        <v>12</v>
      </c>
      <c r="C1481" t="s">
        <v>8</v>
      </c>
      <c r="D1481" t="s">
        <v>9</v>
      </c>
      <c r="E1481">
        <v>1044.26</v>
      </c>
      <c r="F1481">
        <v>558.48</v>
      </c>
      <c r="G1481">
        <v>8</v>
      </c>
      <c r="H1481">
        <f t="shared" si="138"/>
        <v>8354.08</v>
      </c>
      <c r="I1481">
        <f t="shared" si="142"/>
        <v>4467.84</v>
      </c>
      <c r="J1481">
        <f t="shared" si="139"/>
        <v>3886.24</v>
      </c>
      <c r="K1481" s="8">
        <f t="shared" si="140"/>
        <v>0.46519066132955394</v>
      </c>
      <c r="L1481" t="str">
        <f t="shared" si="143"/>
        <v>2024-11</v>
      </c>
      <c r="M1481">
        <f t="shared" si="141"/>
        <v>3886.24</v>
      </c>
    </row>
    <row r="1482" spans="1:13" x14ac:dyDescent="0.25">
      <c r="A1482" s="1">
        <v>45104</v>
      </c>
      <c r="B1482" t="s">
        <v>19</v>
      </c>
      <c r="C1482" t="s">
        <v>20</v>
      </c>
      <c r="D1482" t="s">
        <v>18</v>
      </c>
      <c r="E1482">
        <v>1028.78</v>
      </c>
      <c r="F1482">
        <v>916.71</v>
      </c>
      <c r="G1482">
        <v>7</v>
      </c>
      <c r="H1482">
        <f t="shared" si="138"/>
        <v>7201.46</v>
      </c>
      <c r="I1482">
        <f t="shared" si="142"/>
        <v>6416.97</v>
      </c>
      <c r="J1482">
        <f t="shared" si="139"/>
        <v>784.48999999999978</v>
      </c>
      <c r="K1482" s="8">
        <f t="shared" si="140"/>
        <v>0.10893485487664999</v>
      </c>
      <c r="L1482" t="str">
        <f t="shared" si="143"/>
        <v>2023-06</v>
      </c>
      <c r="M1482">
        <f t="shared" si="141"/>
        <v>784.48999999999978</v>
      </c>
    </row>
    <row r="1483" spans="1:13" x14ac:dyDescent="0.25">
      <c r="A1483" s="1">
        <v>45639</v>
      </c>
      <c r="B1483" t="s">
        <v>16</v>
      </c>
      <c r="C1483" t="s">
        <v>15</v>
      </c>
      <c r="D1483" t="s">
        <v>18</v>
      </c>
      <c r="E1483">
        <v>782.61</v>
      </c>
      <c r="F1483">
        <v>514.71</v>
      </c>
      <c r="G1483">
        <v>7</v>
      </c>
      <c r="H1483">
        <f t="shared" si="138"/>
        <v>5478.27</v>
      </c>
      <c r="I1483">
        <f t="shared" si="142"/>
        <v>3602.9700000000003</v>
      </c>
      <c r="J1483">
        <f t="shared" si="139"/>
        <v>1875.3000000000002</v>
      </c>
      <c r="K1483" s="8">
        <f t="shared" si="140"/>
        <v>0.34231609613983977</v>
      </c>
      <c r="L1483" t="str">
        <f t="shared" si="143"/>
        <v>2024-12</v>
      </c>
      <c r="M1483">
        <f t="shared" si="141"/>
        <v>1875.3000000000002</v>
      </c>
    </row>
    <row r="1484" spans="1:13" x14ac:dyDescent="0.25">
      <c r="A1484" s="1">
        <v>45522</v>
      </c>
      <c r="B1484" t="s">
        <v>24</v>
      </c>
      <c r="C1484" t="s">
        <v>20</v>
      </c>
      <c r="D1484" t="s">
        <v>18</v>
      </c>
      <c r="E1484">
        <v>1021.44</v>
      </c>
      <c r="F1484">
        <v>543.16</v>
      </c>
      <c r="G1484">
        <v>6</v>
      </c>
      <c r="H1484">
        <f t="shared" si="138"/>
        <v>6128.64</v>
      </c>
      <c r="I1484">
        <f t="shared" si="142"/>
        <v>3258.96</v>
      </c>
      <c r="J1484">
        <f t="shared" si="139"/>
        <v>2869.6800000000003</v>
      </c>
      <c r="K1484" s="8">
        <f t="shared" si="140"/>
        <v>0.46824091478696744</v>
      </c>
      <c r="L1484" t="str">
        <f t="shared" si="143"/>
        <v>2024-08</v>
      </c>
      <c r="M1484">
        <f t="shared" si="141"/>
        <v>2869.6800000000003</v>
      </c>
    </row>
    <row r="1485" spans="1:13" x14ac:dyDescent="0.25">
      <c r="A1485" s="1">
        <v>45354</v>
      </c>
      <c r="B1485" t="s">
        <v>19</v>
      </c>
      <c r="C1485" t="s">
        <v>20</v>
      </c>
      <c r="D1485" t="s">
        <v>9</v>
      </c>
      <c r="E1485">
        <v>1861.58</v>
      </c>
      <c r="F1485">
        <v>1090.08</v>
      </c>
      <c r="G1485">
        <v>1</v>
      </c>
      <c r="H1485">
        <f t="shared" si="138"/>
        <v>1861.58</v>
      </c>
      <c r="I1485">
        <f t="shared" si="142"/>
        <v>1090.08</v>
      </c>
      <c r="J1485">
        <f t="shared" si="139"/>
        <v>771.5</v>
      </c>
      <c r="K1485" s="8">
        <f t="shared" si="140"/>
        <v>0.41443290108402542</v>
      </c>
      <c r="L1485" t="str">
        <f t="shared" si="143"/>
        <v>2024-03</v>
      </c>
      <c r="M1485">
        <f t="shared" si="141"/>
        <v>771.5</v>
      </c>
    </row>
    <row r="1486" spans="1:13" x14ac:dyDescent="0.25">
      <c r="A1486" s="1">
        <v>45581</v>
      </c>
      <c r="B1486" t="s">
        <v>10</v>
      </c>
      <c r="C1486" t="s">
        <v>11</v>
      </c>
      <c r="D1486" t="s">
        <v>17</v>
      </c>
      <c r="E1486">
        <v>1913.58</v>
      </c>
      <c r="F1486">
        <v>1430.58</v>
      </c>
      <c r="G1486">
        <v>4</v>
      </c>
      <c r="H1486">
        <f t="shared" si="138"/>
        <v>7654.32</v>
      </c>
      <c r="I1486">
        <f t="shared" si="142"/>
        <v>5722.32</v>
      </c>
      <c r="J1486">
        <f t="shared" si="139"/>
        <v>1932</v>
      </c>
      <c r="K1486" s="8">
        <f t="shared" si="140"/>
        <v>0.25240648418148182</v>
      </c>
      <c r="L1486" t="str">
        <f t="shared" si="143"/>
        <v>2024-10</v>
      </c>
      <c r="M1486">
        <f t="shared" si="141"/>
        <v>1932</v>
      </c>
    </row>
    <row r="1487" spans="1:13" x14ac:dyDescent="0.25">
      <c r="A1487" s="1">
        <v>44918</v>
      </c>
      <c r="B1487" t="s">
        <v>21</v>
      </c>
      <c r="C1487" t="s">
        <v>20</v>
      </c>
      <c r="D1487" t="s">
        <v>18</v>
      </c>
      <c r="E1487">
        <v>1499.61</v>
      </c>
      <c r="F1487">
        <v>1039.69</v>
      </c>
      <c r="G1487">
        <v>3</v>
      </c>
      <c r="H1487">
        <f t="shared" si="138"/>
        <v>4498.83</v>
      </c>
      <c r="I1487">
        <f t="shared" si="142"/>
        <v>3119.07</v>
      </c>
      <c r="J1487">
        <f t="shared" si="139"/>
        <v>1379.7599999999998</v>
      </c>
      <c r="K1487" s="8">
        <f t="shared" si="140"/>
        <v>0.30669307353245173</v>
      </c>
      <c r="L1487" t="str">
        <f t="shared" si="143"/>
        <v>2022-12</v>
      </c>
      <c r="M1487">
        <f t="shared" si="141"/>
        <v>1379.7599999999998</v>
      </c>
    </row>
    <row r="1488" spans="1:13" x14ac:dyDescent="0.25">
      <c r="A1488" s="1">
        <v>44842</v>
      </c>
      <c r="B1488" t="s">
        <v>7</v>
      </c>
      <c r="C1488" t="s">
        <v>8</v>
      </c>
      <c r="D1488" t="s">
        <v>18</v>
      </c>
      <c r="E1488">
        <v>591.75</v>
      </c>
      <c r="F1488">
        <v>307.8</v>
      </c>
      <c r="G1488">
        <v>3</v>
      </c>
      <c r="H1488">
        <f t="shared" si="138"/>
        <v>1775.25</v>
      </c>
      <c r="I1488">
        <f t="shared" si="142"/>
        <v>923.40000000000009</v>
      </c>
      <c r="J1488">
        <f t="shared" si="139"/>
        <v>851.84999999999991</v>
      </c>
      <c r="K1488" s="8">
        <f t="shared" si="140"/>
        <v>0.47984790874524708</v>
      </c>
      <c r="L1488" t="str">
        <f t="shared" si="143"/>
        <v>2022-10</v>
      </c>
      <c r="M1488">
        <f t="shared" si="141"/>
        <v>851.84999999999991</v>
      </c>
    </row>
    <row r="1489" spans="1:13" x14ac:dyDescent="0.25">
      <c r="A1489" s="1">
        <v>45642</v>
      </c>
      <c r="B1489" t="s">
        <v>21</v>
      </c>
      <c r="C1489" t="s">
        <v>20</v>
      </c>
      <c r="D1489" t="s">
        <v>17</v>
      </c>
      <c r="E1489">
        <v>1416.23</v>
      </c>
      <c r="F1489">
        <v>906.75</v>
      </c>
      <c r="G1489">
        <v>9</v>
      </c>
      <c r="H1489">
        <f t="shared" si="138"/>
        <v>12746.07</v>
      </c>
      <c r="I1489">
        <f t="shared" si="142"/>
        <v>8160.75</v>
      </c>
      <c r="J1489">
        <f t="shared" si="139"/>
        <v>4585.32</v>
      </c>
      <c r="K1489" s="8">
        <f t="shared" si="140"/>
        <v>0.35974382692076851</v>
      </c>
      <c r="L1489" t="str">
        <f t="shared" si="143"/>
        <v>2024-12</v>
      </c>
      <c r="M1489">
        <f t="shared" si="141"/>
        <v>4585.32</v>
      </c>
    </row>
    <row r="1490" spans="1:13" x14ac:dyDescent="0.25">
      <c r="A1490" s="1">
        <v>44785</v>
      </c>
      <c r="B1490" t="s">
        <v>23</v>
      </c>
      <c r="C1490" t="s">
        <v>11</v>
      </c>
      <c r="D1490" t="s">
        <v>17</v>
      </c>
      <c r="E1490">
        <v>1222.98</v>
      </c>
      <c r="F1490">
        <v>1026.92</v>
      </c>
      <c r="G1490">
        <v>5</v>
      </c>
      <c r="H1490">
        <f t="shared" si="138"/>
        <v>6114.9</v>
      </c>
      <c r="I1490">
        <f t="shared" si="142"/>
        <v>5134.6000000000004</v>
      </c>
      <c r="J1490">
        <f t="shared" si="139"/>
        <v>980.29999999999927</v>
      </c>
      <c r="K1490" s="8">
        <f t="shared" si="140"/>
        <v>0.16031333300626327</v>
      </c>
      <c r="L1490" t="str">
        <f t="shared" si="143"/>
        <v>2022-08</v>
      </c>
      <c r="M1490">
        <f t="shared" si="141"/>
        <v>980.29999999999927</v>
      </c>
    </row>
    <row r="1491" spans="1:13" x14ac:dyDescent="0.25">
      <c r="A1491" s="1">
        <v>45333</v>
      </c>
      <c r="B1491" t="s">
        <v>14</v>
      </c>
      <c r="C1491" t="s">
        <v>15</v>
      </c>
      <c r="D1491" t="s">
        <v>13</v>
      </c>
      <c r="E1491">
        <v>369.62</v>
      </c>
      <c r="F1491">
        <v>244.52</v>
      </c>
      <c r="G1491">
        <v>9</v>
      </c>
      <c r="H1491">
        <f t="shared" si="138"/>
        <v>3326.58</v>
      </c>
      <c r="I1491">
        <f t="shared" si="142"/>
        <v>2200.6800000000003</v>
      </c>
      <c r="J1491">
        <f t="shared" si="139"/>
        <v>1125.8999999999996</v>
      </c>
      <c r="K1491" s="8">
        <f t="shared" si="140"/>
        <v>0.33845571127103502</v>
      </c>
      <c r="L1491" t="str">
        <f t="shared" si="143"/>
        <v>2024-02</v>
      </c>
      <c r="M1491">
        <f t="shared" si="141"/>
        <v>1125.8999999999996</v>
      </c>
    </row>
    <row r="1492" spans="1:13" x14ac:dyDescent="0.25">
      <c r="A1492" s="1">
        <v>45225</v>
      </c>
      <c r="B1492" t="s">
        <v>12</v>
      </c>
      <c r="C1492" t="s">
        <v>8</v>
      </c>
      <c r="D1492" t="s">
        <v>17</v>
      </c>
      <c r="E1492">
        <v>1018.25</v>
      </c>
      <c r="F1492">
        <v>670.85</v>
      </c>
      <c r="G1492">
        <v>7</v>
      </c>
      <c r="H1492">
        <f t="shared" si="138"/>
        <v>7127.75</v>
      </c>
      <c r="I1492">
        <f t="shared" si="142"/>
        <v>4695.95</v>
      </c>
      <c r="J1492">
        <f t="shared" si="139"/>
        <v>2431.8000000000002</v>
      </c>
      <c r="K1492" s="8">
        <f t="shared" si="140"/>
        <v>0.34117358212619692</v>
      </c>
      <c r="L1492" t="str">
        <f t="shared" si="143"/>
        <v>2023-10</v>
      </c>
      <c r="M1492">
        <f t="shared" si="141"/>
        <v>2431.8000000000002</v>
      </c>
    </row>
    <row r="1493" spans="1:13" x14ac:dyDescent="0.25">
      <c r="A1493" s="1">
        <v>45080</v>
      </c>
      <c r="B1493" t="s">
        <v>19</v>
      </c>
      <c r="C1493" t="s">
        <v>20</v>
      </c>
      <c r="D1493" t="s">
        <v>9</v>
      </c>
      <c r="E1493">
        <v>366.45</v>
      </c>
      <c r="F1493">
        <v>265.06</v>
      </c>
      <c r="G1493">
        <v>10</v>
      </c>
      <c r="H1493">
        <f t="shared" si="138"/>
        <v>3664.5</v>
      </c>
      <c r="I1493">
        <f t="shared" si="142"/>
        <v>2650.6</v>
      </c>
      <c r="J1493">
        <f t="shared" si="139"/>
        <v>1013.9000000000001</v>
      </c>
      <c r="K1493" s="8">
        <f t="shared" si="140"/>
        <v>0.27668167553554374</v>
      </c>
      <c r="L1493" t="str">
        <f t="shared" si="143"/>
        <v>2023-06</v>
      </c>
      <c r="M1493">
        <f t="shared" si="141"/>
        <v>1013.9000000000001</v>
      </c>
    </row>
    <row r="1494" spans="1:13" x14ac:dyDescent="0.25">
      <c r="A1494" s="1">
        <v>44893</v>
      </c>
      <c r="B1494" t="s">
        <v>19</v>
      </c>
      <c r="C1494" t="s">
        <v>20</v>
      </c>
      <c r="D1494" t="s">
        <v>17</v>
      </c>
      <c r="E1494">
        <v>355.41</v>
      </c>
      <c r="F1494">
        <v>264.48</v>
      </c>
      <c r="G1494">
        <v>8</v>
      </c>
      <c r="H1494">
        <f t="shared" si="138"/>
        <v>2843.28</v>
      </c>
      <c r="I1494">
        <f t="shared" si="142"/>
        <v>2115.84</v>
      </c>
      <c r="J1494">
        <f t="shared" si="139"/>
        <v>727.44</v>
      </c>
      <c r="K1494" s="8">
        <f t="shared" si="140"/>
        <v>0.25584536169494387</v>
      </c>
      <c r="L1494" t="str">
        <f t="shared" si="143"/>
        <v>2022-11</v>
      </c>
      <c r="M1494">
        <f t="shared" si="141"/>
        <v>727.44</v>
      </c>
    </row>
    <row r="1495" spans="1:13" x14ac:dyDescent="0.25">
      <c r="A1495" s="1">
        <v>44997</v>
      </c>
      <c r="B1495" t="s">
        <v>7</v>
      </c>
      <c r="C1495" t="s">
        <v>8</v>
      </c>
      <c r="D1495" t="s">
        <v>13</v>
      </c>
      <c r="E1495">
        <v>709.95</v>
      </c>
      <c r="F1495">
        <v>608.67999999999995</v>
      </c>
      <c r="G1495">
        <v>6</v>
      </c>
      <c r="H1495">
        <f t="shared" si="138"/>
        <v>4259.7000000000007</v>
      </c>
      <c r="I1495">
        <f t="shared" si="142"/>
        <v>3652.08</v>
      </c>
      <c r="J1495">
        <f t="shared" si="139"/>
        <v>607.6200000000008</v>
      </c>
      <c r="K1495" s="8">
        <f t="shared" si="140"/>
        <v>0.14264384815832118</v>
      </c>
      <c r="L1495" t="str">
        <f t="shared" si="143"/>
        <v>2023-03</v>
      </c>
      <c r="M1495">
        <f t="shared" si="141"/>
        <v>607.6200000000008</v>
      </c>
    </row>
    <row r="1496" spans="1:13" x14ac:dyDescent="0.25">
      <c r="A1496" s="1">
        <v>44887</v>
      </c>
      <c r="B1496" t="s">
        <v>19</v>
      </c>
      <c r="C1496" t="s">
        <v>20</v>
      </c>
      <c r="D1496" t="s">
        <v>17</v>
      </c>
      <c r="E1496">
        <v>965.89</v>
      </c>
      <c r="F1496">
        <v>709.54</v>
      </c>
      <c r="G1496">
        <v>3</v>
      </c>
      <c r="H1496">
        <f t="shared" si="138"/>
        <v>2897.67</v>
      </c>
      <c r="I1496">
        <f t="shared" si="142"/>
        <v>2128.62</v>
      </c>
      <c r="J1496">
        <f t="shared" si="139"/>
        <v>769.05000000000018</v>
      </c>
      <c r="K1496" s="8">
        <f t="shared" si="140"/>
        <v>0.26540289266893752</v>
      </c>
      <c r="L1496" t="str">
        <f t="shared" si="143"/>
        <v>2022-11</v>
      </c>
      <c r="M1496">
        <f t="shared" si="141"/>
        <v>769.05000000000018</v>
      </c>
    </row>
    <row r="1497" spans="1:13" x14ac:dyDescent="0.25">
      <c r="A1497" s="1">
        <v>45292</v>
      </c>
      <c r="B1497" t="s">
        <v>7</v>
      </c>
      <c r="C1497" t="s">
        <v>8</v>
      </c>
      <c r="D1497" t="s">
        <v>13</v>
      </c>
      <c r="E1497">
        <v>364.86</v>
      </c>
      <c r="F1497">
        <v>199.09</v>
      </c>
      <c r="G1497">
        <v>3</v>
      </c>
      <c r="H1497">
        <f t="shared" si="138"/>
        <v>1094.58</v>
      </c>
      <c r="I1497">
        <f t="shared" si="142"/>
        <v>597.27</v>
      </c>
      <c r="J1497">
        <f t="shared" si="139"/>
        <v>497.30999999999995</v>
      </c>
      <c r="K1497" s="8">
        <f t="shared" si="140"/>
        <v>0.45433865044126515</v>
      </c>
      <c r="L1497" t="str">
        <f t="shared" si="143"/>
        <v>2024-01</v>
      </c>
      <c r="M1497">
        <f t="shared" si="141"/>
        <v>497.30999999999995</v>
      </c>
    </row>
    <row r="1498" spans="1:13" x14ac:dyDescent="0.25">
      <c r="A1498" s="1">
        <v>45376</v>
      </c>
      <c r="B1498" t="s">
        <v>10</v>
      </c>
      <c r="C1498" t="s">
        <v>11</v>
      </c>
      <c r="D1498" t="s">
        <v>13</v>
      </c>
      <c r="E1498">
        <v>465.37</v>
      </c>
      <c r="F1498">
        <v>391.33</v>
      </c>
      <c r="G1498">
        <v>2</v>
      </c>
      <c r="H1498">
        <f t="shared" si="138"/>
        <v>930.74</v>
      </c>
      <c r="I1498">
        <f t="shared" si="142"/>
        <v>782.66</v>
      </c>
      <c r="J1498">
        <f t="shared" si="139"/>
        <v>148.08000000000004</v>
      </c>
      <c r="K1498" s="8">
        <f t="shared" si="140"/>
        <v>0.15909921138019215</v>
      </c>
      <c r="L1498" t="str">
        <f t="shared" si="143"/>
        <v>2024-03</v>
      </c>
      <c r="M1498">
        <f t="shared" si="141"/>
        <v>148.08000000000004</v>
      </c>
    </row>
    <row r="1499" spans="1:13" x14ac:dyDescent="0.25">
      <c r="A1499" s="1">
        <v>44857</v>
      </c>
      <c r="B1499" t="s">
        <v>22</v>
      </c>
      <c r="C1499" t="s">
        <v>8</v>
      </c>
      <c r="D1499" t="s">
        <v>18</v>
      </c>
      <c r="E1499">
        <v>989.63</v>
      </c>
      <c r="F1499">
        <v>619.75</v>
      </c>
      <c r="G1499">
        <v>5</v>
      </c>
      <c r="H1499">
        <f t="shared" si="138"/>
        <v>4948.1499999999996</v>
      </c>
      <c r="I1499">
        <f t="shared" si="142"/>
        <v>3098.75</v>
      </c>
      <c r="J1499">
        <f t="shared" si="139"/>
        <v>1849.3999999999996</v>
      </c>
      <c r="K1499" s="8">
        <f t="shared" si="140"/>
        <v>0.37375584814526636</v>
      </c>
      <c r="L1499" t="str">
        <f t="shared" si="143"/>
        <v>2022-10</v>
      </c>
      <c r="M1499">
        <f t="shared" si="141"/>
        <v>1849.3999999999996</v>
      </c>
    </row>
    <row r="1500" spans="1:13" x14ac:dyDescent="0.25">
      <c r="A1500" s="1">
        <v>44836</v>
      </c>
      <c r="B1500" t="s">
        <v>22</v>
      </c>
      <c r="C1500" t="s">
        <v>8</v>
      </c>
      <c r="D1500" t="s">
        <v>18</v>
      </c>
      <c r="E1500">
        <v>92.54</v>
      </c>
      <c r="F1500">
        <v>49.69</v>
      </c>
      <c r="G1500">
        <v>2</v>
      </c>
      <c r="H1500">
        <f t="shared" si="138"/>
        <v>185.08</v>
      </c>
      <c r="I1500">
        <f t="shared" si="142"/>
        <v>99.38</v>
      </c>
      <c r="J1500">
        <f t="shared" si="139"/>
        <v>85.700000000000017</v>
      </c>
      <c r="K1500" s="8">
        <f t="shared" si="140"/>
        <v>0.46304300842878759</v>
      </c>
      <c r="L1500" t="str">
        <f t="shared" si="143"/>
        <v>2022-10</v>
      </c>
      <c r="M1500">
        <f t="shared" si="141"/>
        <v>85.700000000000017</v>
      </c>
    </row>
    <row r="1501" spans="1:13" x14ac:dyDescent="0.25">
      <c r="A1501" s="1">
        <v>45339</v>
      </c>
      <c r="B1501" t="s">
        <v>19</v>
      </c>
      <c r="C1501" t="s">
        <v>20</v>
      </c>
      <c r="D1501" t="s">
        <v>18</v>
      </c>
      <c r="E1501">
        <v>1129.98</v>
      </c>
      <c r="F1501">
        <v>1013.29</v>
      </c>
      <c r="G1501">
        <v>10</v>
      </c>
      <c r="H1501">
        <f t="shared" si="138"/>
        <v>11299.8</v>
      </c>
      <c r="I1501">
        <f t="shared" si="142"/>
        <v>10132.9</v>
      </c>
      <c r="J1501">
        <f t="shared" si="139"/>
        <v>1166.8999999999996</v>
      </c>
      <c r="K1501" s="8">
        <f t="shared" si="140"/>
        <v>0.10326731446574273</v>
      </c>
      <c r="L1501" t="str">
        <f t="shared" si="143"/>
        <v>2024-02</v>
      </c>
      <c r="M1501">
        <f t="shared" si="141"/>
        <v>1166.8999999999996</v>
      </c>
    </row>
    <row r="1502" spans="1:13" x14ac:dyDescent="0.25">
      <c r="A1502" s="1">
        <v>45534</v>
      </c>
      <c r="B1502" t="s">
        <v>19</v>
      </c>
      <c r="C1502" t="s">
        <v>20</v>
      </c>
      <c r="D1502" t="s">
        <v>9</v>
      </c>
      <c r="E1502">
        <v>992.53</v>
      </c>
      <c r="F1502">
        <v>856.32</v>
      </c>
      <c r="G1502">
        <v>5</v>
      </c>
      <c r="H1502">
        <f t="shared" si="138"/>
        <v>4962.6499999999996</v>
      </c>
      <c r="I1502">
        <f t="shared" si="142"/>
        <v>4281.6000000000004</v>
      </c>
      <c r="J1502">
        <f t="shared" si="139"/>
        <v>681.04999999999927</v>
      </c>
      <c r="K1502" s="8">
        <f t="shared" si="140"/>
        <v>0.13723514654468869</v>
      </c>
      <c r="L1502" t="str">
        <f t="shared" si="143"/>
        <v>2024-08</v>
      </c>
      <c r="M1502">
        <f t="shared" si="141"/>
        <v>681.04999999999927</v>
      </c>
    </row>
    <row r="1503" spans="1:13" x14ac:dyDescent="0.25">
      <c r="A1503" s="1">
        <v>45306</v>
      </c>
      <c r="B1503" t="s">
        <v>23</v>
      </c>
      <c r="C1503" t="s">
        <v>11</v>
      </c>
      <c r="D1503" t="s">
        <v>9</v>
      </c>
      <c r="E1503">
        <v>1437.09</v>
      </c>
      <c r="F1503">
        <v>767.9</v>
      </c>
      <c r="G1503">
        <v>7</v>
      </c>
      <c r="H1503">
        <f t="shared" si="138"/>
        <v>10059.629999999999</v>
      </c>
      <c r="I1503">
        <f t="shared" si="142"/>
        <v>5375.3</v>
      </c>
      <c r="J1503">
        <f t="shared" si="139"/>
        <v>4684.329999999999</v>
      </c>
      <c r="K1503" s="8">
        <f t="shared" si="140"/>
        <v>0.46565629153358518</v>
      </c>
      <c r="L1503" t="str">
        <f t="shared" si="143"/>
        <v>2024-01</v>
      </c>
      <c r="M1503">
        <f t="shared" si="141"/>
        <v>4684.329999999999</v>
      </c>
    </row>
    <row r="1504" spans="1:13" x14ac:dyDescent="0.25">
      <c r="A1504" s="1">
        <v>45275</v>
      </c>
      <c r="B1504" t="s">
        <v>7</v>
      </c>
      <c r="C1504" t="s">
        <v>8</v>
      </c>
      <c r="D1504" t="s">
        <v>9</v>
      </c>
      <c r="E1504">
        <v>1923.73</v>
      </c>
      <c r="F1504">
        <v>1275.19</v>
      </c>
      <c r="G1504">
        <v>6</v>
      </c>
      <c r="H1504">
        <f t="shared" si="138"/>
        <v>11542.380000000001</v>
      </c>
      <c r="I1504">
        <f t="shared" si="142"/>
        <v>7651.14</v>
      </c>
      <c r="J1504">
        <f t="shared" si="139"/>
        <v>3891.2400000000007</v>
      </c>
      <c r="K1504" s="8">
        <f t="shared" si="140"/>
        <v>0.33712631190447728</v>
      </c>
      <c r="L1504" t="str">
        <f t="shared" si="143"/>
        <v>2023-12</v>
      </c>
      <c r="M1504">
        <f t="shared" si="141"/>
        <v>3891.2400000000007</v>
      </c>
    </row>
    <row r="1505" spans="1:13" x14ac:dyDescent="0.25">
      <c r="A1505" s="1">
        <v>45029</v>
      </c>
      <c r="B1505" t="s">
        <v>24</v>
      </c>
      <c r="C1505" t="s">
        <v>20</v>
      </c>
      <c r="D1505" t="s">
        <v>13</v>
      </c>
      <c r="E1505">
        <v>1720.67</v>
      </c>
      <c r="F1505">
        <v>1337.74</v>
      </c>
      <c r="G1505">
        <v>4</v>
      </c>
      <c r="H1505">
        <f t="shared" si="138"/>
        <v>6882.68</v>
      </c>
      <c r="I1505">
        <f t="shared" si="142"/>
        <v>5350.96</v>
      </c>
      <c r="J1505">
        <f t="shared" si="139"/>
        <v>1531.7200000000003</v>
      </c>
      <c r="K1505" s="8">
        <f t="shared" si="140"/>
        <v>0.22254703109835125</v>
      </c>
      <c r="L1505" t="str">
        <f t="shared" si="143"/>
        <v>2023-04</v>
      </c>
      <c r="M1505">
        <f t="shared" si="141"/>
        <v>1531.7200000000003</v>
      </c>
    </row>
    <row r="1506" spans="1:13" x14ac:dyDescent="0.25">
      <c r="A1506" s="1">
        <v>44810</v>
      </c>
      <c r="B1506" t="s">
        <v>21</v>
      </c>
      <c r="C1506" t="s">
        <v>20</v>
      </c>
      <c r="D1506" t="s">
        <v>17</v>
      </c>
      <c r="E1506">
        <v>476.47</v>
      </c>
      <c r="F1506">
        <v>375.88</v>
      </c>
      <c r="G1506">
        <v>1</v>
      </c>
      <c r="H1506">
        <f t="shared" si="138"/>
        <v>476.47</v>
      </c>
      <c r="I1506">
        <f t="shared" si="142"/>
        <v>375.88</v>
      </c>
      <c r="J1506">
        <f t="shared" si="139"/>
        <v>100.59000000000003</v>
      </c>
      <c r="K1506" s="8">
        <f t="shared" si="140"/>
        <v>0.21111507545071048</v>
      </c>
      <c r="L1506" t="str">
        <f t="shared" si="143"/>
        <v>2022-09</v>
      </c>
      <c r="M1506">
        <f t="shared" si="141"/>
        <v>100.59000000000003</v>
      </c>
    </row>
    <row r="1507" spans="1:13" x14ac:dyDescent="0.25">
      <c r="A1507" s="1">
        <v>44883</v>
      </c>
      <c r="B1507" t="s">
        <v>24</v>
      </c>
      <c r="C1507" t="s">
        <v>20</v>
      </c>
      <c r="D1507" t="s">
        <v>17</v>
      </c>
      <c r="E1507">
        <v>828.66</v>
      </c>
      <c r="F1507">
        <v>654.05999999999995</v>
      </c>
      <c r="G1507">
        <v>3</v>
      </c>
      <c r="H1507">
        <f t="shared" si="138"/>
        <v>2485.98</v>
      </c>
      <c r="I1507">
        <f t="shared" si="142"/>
        <v>1962.1799999999998</v>
      </c>
      <c r="J1507">
        <f t="shared" si="139"/>
        <v>523.80000000000018</v>
      </c>
      <c r="K1507" s="8">
        <f t="shared" si="140"/>
        <v>0.21070161465498524</v>
      </c>
      <c r="L1507" t="str">
        <f t="shared" si="143"/>
        <v>2022-11</v>
      </c>
      <c r="M1507">
        <f t="shared" si="141"/>
        <v>523.80000000000018</v>
      </c>
    </row>
    <row r="1508" spans="1:13" x14ac:dyDescent="0.25">
      <c r="A1508" s="1">
        <v>45291</v>
      </c>
      <c r="B1508" t="s">
        <v>12</v>
      </c>
      <c r="C1508" t="s">
        <v>8</v>
      </c>
      <c r="D1508" t="s">
        <v>17</v>
      </c>
      <c r="E1508">
        <v>683.9</v>
      </c>
      <c r="F1508">
        <v>364.47</v>
      </c>
      <c r="G1508">
        <v>10</v>
      </c>
      <c r="H1508">
        <f t="shared" si="138"/>
        <v>6839</v>
      </c>
      <c r="I1508">
        <f t="shared" si="142"/>
        <v>3644.7000000000003</v>
      </c>
      <c r="J1508">
        <f t="shared" si="139"/>
        <v>3194.2999999999997</v>
      </c>
      <c r="K1508" s="8">
        <f t="shared" si="140"/>
        <v>0.46707120924111706</v>
      </c>
      <c r="L1508" t="str">
        <f t="shared" si="143"/>
        <v>2023-12</v>
      </c>
      <c r="M1508">
        <f t="shared" si="141"/>
        <v>3194.2999999999997</v>
      </c>
    </row>
    <row r="1509" spans="1:13" x14ac:dyDescent="0.25">
      <c r="A1509" s="1">
        <v>44974</v>
      </c>
      <c r="B1509" t="s">
        <v>25</v>
      </c>
      <c r="C1509" t="s">
        <v>15</v>
      </c>
      <c r="D1509" t="s">
        <v>9</v>
      </c>
      <c r="E1509">
        <v>197.3</v>
      </c>
      <c r="F1509">
        <v>132.43</v>
      </c>
      <c r="G1509">
        <v>4</v>
      </c>
      <c r="H1509">
        <f t="shared" si="138"/>
        <v>789.2</v>
      </c>
      <c r="I1509">
        <f t="shared" si="142"/>
        <v>529.72</v>
      </c>
      <c r="J1509">
        <f t="shared" si="139"/>
        <v>259.48</v>
      </c>
      <c r="K1509" s="8">
        <f t="shared" si="140"/>
        <v>0.32878864673086672</v>
      </c>
      <c r="L1509" t="str">
        <f t="shared" si="143"/>
        <v>2023-02</v>
      </c>
      <c r="M1509">
        <f t="shared" si="141"/>
        <v>259.48</v>
      </c>
    </row>
    <row r="1510" spans="1:13" x14ac:dyDescent="0.25">
      <c r="A1510" s="1">
        <v>45234</v>
      </c>
      <c r="B1510" t="s">
        <v>10</v>
      </c>
      <c r="C1510" t="s">
        <v>11</v>
      </c>
      <c r="D1510" t="s">
        <v>17</v>
      </c>
      <c r="E1510">
        <v>429.45</v>
      </c>
      <c r="F1510">
        <v>291.83999999999997</v>
      </c>
      <c r="G1510">
        <v>10</v>
      </c>
      <c r="H1510">
        <f t="shared" si="138"/>
        <v>4294.5</v>
      </c>
      <c r="I1510">
        <f t="shared" si="142"/>
        <v>2918.3999999999996</v>
      </c>
      <c r="J1510">
        <f t="shared" si="139"/>
        <v>1376.1000000000004</v>
      </c>
      <c r="K1510" s="8">
        <f t="shared" si="140"/>
        <v>0.3204331121201538</v>
      </c>
      <c r="L1510" t="str">
        <f t="shared" si="143"/>
        <v>2023-11</v>
      </c>
      <c r="M1510">
        <f t="shared" si="141"/>
        <v>1376.1000000000004</v>
      </c>
    </row>
    <row r="1511" spans="1:13" x14ac:dyDescent="0.25">
      <c r="A1511" s="1">
        <v>45026</v>
      </c>
      <c r="B1511" t="s">
        <v>14</v>
      </c>
      <c r="C1511" t="s">
        <v>15</v>
      </c>
      <c r="D1511" t="s">
        <v>18</v>
      </c>
      <c r="E1511">
        <v>395.62</v>
      </c>
      <c r="F1511">
        <v>311.23</v>
      </c>
      <c r="G1511">
        <v>3</v>
      </c>
      <c r="H1511">
        <f t="shared" si="138"/>
        <v>1186.8600000000001</v>
      </c>
      <c r="I1511">
        <f t="shared" si="142"/>
        <v>933.69</v>
      </c>
      <c r="J1511">
        <f t="shared" si="139"/>
        <v>253.17000000000007</v>
      </c>
      <c r="K1511" s="8">
        <f t="shared" si="140"/>
        <v>0.21331075274253075</v>
      </c>
      <c r="L1511" t="str">
        <f t="shared" si="143"/>
        <v>2023-04</v>
      </c>
      <c r="M1511">
        <f t="shared" si="141"/>
        <v>253.17000000000007</v>
      </c>
    </row>
    <row r="1512" spans="1:13" x14ac:dyDescent="0.25">
      <c r="A1512" s="1">
        <v>45648</v>
      </c>
      <c r="B1512" t="s">
        <v>23</v>
      </c>
      <c r="C1512" t="s">
        <v>11</v>
      </c>
      <c r="D1512" t="s">
        <v>13</v>
      </c>
      <c r="E1512">
        <v>296.99</v>
      </c>
      <c r="F1512">
        <v>189.84</v>
      </c>
      <c r="G1512">
        <v>6</v>
      </c>
      <c r="H1512">
        <f t="shared" si="138"/>
        <v>1781.94</v>
      </c>
      <c r="I1512">
        <f t="shared" si="142"/>
        <v>1139.04</v>
      </c>
      <c r="J1512">
        <f t="shared" si="139"/>
        <v>642.90000000000009</v>
      </c>
      <c r="K1512" s="8">
        <f t="shared" si="140"/>
        <v>0.3607865584699822</v>
      </c>
      <c r="L1512" t="str">
        <f t="shared" si="143"/>
        <v>2024-12</v>
      </c>
      <c r="M1512">
        <f t="shared" si="141"/>
        <v>642.90000000000009</v>
      </c>
    </row>
    <row r="1513" spans="1:13" x14ac:dyDescent="0.25">
      <c r="A1513" s="1">
        <v>44992</v>
      </c>
      <c r="B1513" t="s">
        <v>23</v>
      </c>
      <c r="C1513" t="s">
        <v>11</v>
      </c>
      <c r="D1513" t="s">
        <v>13</v>
      </c>
      <c r="E1513">
        <v>110.52</v>
      </c>
      <c r="F1513">
        <v>92.69</v>
      </c>
      <c r="G1513">
        <v>1</v>
      </c>
      <c r="H1513">
        <f t="shared" si="138"/>
        <v>110.52</v>
      </c>
      <c r="I1513">
        <f t="shared" si="142"/>
        <v>92.69</v>
      </c>
      <c r="J1513">
        <f t="shared" si="139"/>
        <v>17.829999999999998</v>
      </c>
      <c r="K1513" s="8">
        <f t="shared" si="140"/>
        <v>0.1613282663771263</v>
      </c>
      <c r="L1513" t="str">
        <f t="shared" si="143"/>
        <v>2023-03</v>
      </c>
      <c r="M1513">
        <f t="shared" si="141"/>
        <v>17.829999999999998</v>
      </c>
    </row>
    <row r="1514" spans="1:13" x14ac:dyDescent="0.25">
      <c r="A1514" s="1">
        <v>45074</v>
      </c>
      <c r="B1514" t="s">
        <v>7</v>
      </c>
      <c r="C1514" t="s">
        <v>8</v>
      </c>
      <c r="D1514" t="s">
        <v>18</v>
      </c>
      <c r="E1514">
        <v>1208.32</v>
      </c>
      <c r="F1514">
        <v>850.84</v>
      </c>
      <c r="G1514">
        <v>5</v>
      </c>
      <c r="H1514">
        <f t="shared" si="138"/>
        <v>6041.5999999999995</v>
      </c>
      <c r="I1514">
        <f t="shared" si="142"/>
        <v>4254.2</v>
      </c>
      <c r="J1514">
        <f t="shared" si="139"/>
        <v>1787.3999999999996</v>
      </c>
      <c r="K1514" s="8">
        <f t="shared" si="140"/>
        <v>0.29584878177966101</v>
      </c>
      <c r="L1514" t="str">
        <f t="shared" si="143"/>
        <v>2023-05</v>
      </c>
      <c r="M1514">
        <f t="shared" si="141"/>
        <v>1787.3999999999996</v>
      </c>
    </row>
    <row r="1515" spans="1:13" x14ac:dyDescent="0.25">
      <c r="A1515" s="1">
        <v>45202</v>
      </c>
      <c r="B1515" t="s">
        <v>16</v>
      </c>
      <c r="C1515" t="s">
        <v>15</v>
      </c>
      <c r="D1515" t="s">
        <v>18</v>
      </c>
      <c r="E1515">
        <v>1366.57</v>
      </c>
      <c r="F1515">
        <v>760.61</v>
      </c>
      <c r="G1515">
        <v>10</v>
      </c>
      <c r="H1515">
        <f t="shared" si="138"/>
        <v>13665.699999999999</v>
      </c>
      <c r="I1515">
        <f t="shared" si="142"/>
        <v>7606.1</v>
      </c>
      <c r="J1515">
        <f t="shared" si="139"/>
        <v>6059.5999999999985</v>
      </c>
      <c r="K1515" s="8">
        <f t="shared" si="140"/>
        <v>0.44341672947598726</v>
      </c>
      <c r="L1515" t="str">
        <f t="shared" si="143"/>
        <v>2023-10</v>
      </c>
      <c r="M1515">
        <f t="shared" si="141"/>
        <v>6059.5999999999985</v>
      </c>
    </row>
    <row r="1516" spans="1:13" x14ac:dyDescent="0.25">
      <c r="A1516" s="1">
        <v>45210</v>
      </c>
      <c r="B1516" t="s">
        <v>14</v>
      </c>
      <c r="C1516" t="s">
        <v>15</v>
      </c>
      <c r="D1516" t="s">
        <v>18</v>
      </c>
      <c r="E1516">
        <v>1292.47</v>
      </c>
      <c r="F1516">
        <v>1008.37</v>
      </c>
      <c r="G1516">
        <v>2</v>
      </c>
      <c r="H1516">
        <f t="shared" si="138"/>
        <v>2584.94</v>
      </c>
      <c r="I1516">
        <f t="shared" si="142"/>
        <v>2016.74</v>
      </c>
      <c r="J1516">
        <f t="shared" si="139"/>
        <v>568.20000000000005</v>
      </c>
      <c r="K1516" s="8">
        <f t="shared" si="140"/>
        <v>0.21981167841419919</v>
      </c>
      <c r="L1516" t="str">
        <f t="shared" si="143"/>
        <v>2023-10</v>
      </c>
      <c r="M1516">
        <f t="shared" si="141"/>
        <v>568.20000000000005</v>
      </c>
    </row>
    <row r="1517" spans="1:13" x14ac:dyDescent="0.25">
      <c r="A1517" s="1">
        <v>45582</v>
      </c>
      <c r="B1517" t="s">
        <v>7</v>
      </c>
      <c r="C1517" t="s">
        <v>8</v>
      </c>
      <c r="D1517" t="s">
        <v>18</v>
      </c>
      <c r="E1517">
        <v>431.99</v>
      </c>
      <c r="F1517">
        <v>373.02</v>
      </c>
      <c r="G1517">
        <v>7</v>
      </c>
      <c r="H1517">
        <f t="shared" si="138"/>
        <v>3023.9300000000003</v>
      </c>
      <c r="I1517">
        <f t="shared" si="142"/>
        <v>2611.14</v>
      </c>
      <c r="J1517">
        <f t="shared" si="139"/>
        <v>412.79000000000042</v>
      </c>
      <c r="K1517" s="8">
        <f t="shared" si="140"/>
        <v>0.13650778953216522</v>
      </c>
      <c r="L1517" t="str">
        <f t="shared" si="143"/>
        <v>2024-10</v>
      </c>
      <c r="M1517">
        <f t="shared" si="141"/>
        <v>412.79000000000042</v>
      </c>
    </row>
    <row r="1518" spans="1:13" x14ac:dyDescent="0.25">
      <c r="A1518" s="1">
        <v>45237</v>
      </c>
      <c r="B1518" t="s">
        <v>16</v>
      </c>
      <c r="C1518" t="s">
        <v>15</v>
      </c>
      <c r="D1518" t="s">
        <v>17</v>
      </c>
      <c r="E1518">
        <v>1090.48</v>
      </c>
      <c r="F1518">
        <v>610.67999999999995</v>
      </c>
      <c r="G1518">
        <v>6</v>
      </c>
      <c r="H1518">
        <f t="shared" si="138"/>
        <v>6542.88</v>
      </c>
      <c r="I1518">
        <f t="shared" si="142"/>
        <v>3664.08</v>
      </c>
      <c r="J1518">
        <f t="shared" si="139"/>
        <v>2878.8</v>
      </c>
      <c r="K1518" s="8">
        <f t="shared" si="140"/>
        <v>0.43998972929352215</v>
      </c>
      <c r="L1518" t="str">
        <f t="shared" si="143"/>
        <v>2023-11</v>
      </c>
      <c r="M1518">
        <f t="shared" si="141"/>
        <v>2878.8</v>
      </c>
    </row>
    <row r="1519" spans="1:13" x14ac:dyDescent="0.25">
      <c r="A1519" s="1">
        <v>44625</v>
      </c>
      <c r="B1519" t="s">
        <v>21</v>
      </c>
      <c r="C1519" t="s">
        <v>20</v>
      </c>
      <c r="D1519" t="s">
        <v>9</v>
      </c>
      <c r="E1519">
        <v>794.6</v>
      </c>
      <c r="F1519">
        <v>586.48</v>
      </c>
      <c r="G1519">
        <v>2</v>
      </c>
      <c r="H1519">
        <f t="shared" si="138"/>
        <v>1589.2</v>
      </c>
      <c r="I1519">
        <f t="shared" si="142"/>
        <v>1172.96</v>
      </c>
      <c r="J1519">
        <f t="shared" si="139"/>
        <v>416.24</v>
      </c>
      <c r="K1519" s="8">
        <f t="shared" si="140"/>
        <v>0.26191794613642083</v>
      </c>
      <c r="L1519" t="str">
        <f t="shared" si="143"/>
        <v>2022-03</v>
      </c>
      <c r="M1519">
        <f t="shared" si="141"/>
        <v>416.24</v>
      </c>
    </row>
    <row r="1520" spans="1:13" x14ac:dyDescent="0.25">
      <c r="A1520" s="1">
        <v>45273</v>
      </c>
      <c r="B1520" t="s">
        <v>24</v>
      </c>
      <c r="C1520" t="s">
        <v>20</v>
      </c>
      <c r="D1520" t="s">
        <v>17</v>
      </c>
      <c r="E1520">
        <v>606.96</v>
      </c>
      <c r="F1520">
        <v>485.2</v>
      </c>
      <c r="G1520">
        <v>10</v>
      </c>
      <c r="H1520">
        <f t="shared" si="138"/>
        <v>6069.6</v>
      </c>
      <c r="I1520">
        <f t="shared" si="142"/>
        <v>4852</v>
      </c>
      <c r="J1520">
        <f t="shared" si="139"/>
        <v>1217.6000000000004</v>
      </c>
      <c r="K1520" s="8">
        <f t="shared" si="140"/>
        <v>0.20060630025042842</v>
      </c>
      <c r="L1520" t="str">
        <f t="shared" si="143"/>
        <v>2023-12</v>
      </c>
      <c r="M1520">
        <f t="shared" si="141"/>
        <v>1217.6000000000004</v>
      </c>
    </row>
    <row r="1521" spans="1:13" x14ac:dyDescent="0.25">
      <c r="A1521" s="1">
        <v>45381</v>
      </c>
      <c r="B1521" t="s">
        <v>25</v>
      </c>
      <c r="C1521" t="s">
        <v>15</v>
      </c>
      <c r="D1521" t="s">
        <v>17</v>
      </c>
      <c r="E1521">
        <v>495.37</v>
      </c>
      <c r="F1521">
        <v>365.29</v>
      </c>
      <c r="G1521">
        <v>5</v>
      </c>
      <c r="H1521">
        <f t="shared" si="138"/>
        <v>2476.85</v>
      </c>
      <c r="I1521">
        <f t="shared" si="142"/>
        <v>1826.45</v>
      </c>
      <c r="J1521">
        <f t="shared" si="139"/>
        <v>650.39999999999986</v>
      </c>
      <c r="K1521" s="8">
        <f t="shared" si="140"/>
        <v>0.2625915981993257</v>
      </c>
      <c r="L1521" t="str">
        <f t="shared" si="143"/>
        <v>2024-03</v>
      </c>
      <c r="M1521">
        <f t="shared" si="141"/>
        <v>650.39999999999986</v>
      </c>
    </row>
    <row r="1522" spans="1:13" x14ac:dyDescent="0.25">
      <c r="A1522" s="1">
        <v>44849</v>
      </c>
      <c r="B1522" t="s">
        <v>21</v>
      </c>
      <c r="C1522" t="s">
        <v>20</v>
      </c>
      <c r="D1522" t="s">
        <v>9</v>
      </c>
      <c r="E1522">
        <v>1461.31</v>
      </c>
      <c r="F1522">
        <v>1173.83</v>
      </c>
      <c r="G1522">
        <v>1</v>
      </c>
      <c r="H1522">
        <f t="shared" si="138"/>
        <v>1461.31</v>
      </c>
      <c r="I1522">
        <f t="shared" si="142"/>
        <v>1173.83</v>
      </c>
      <c r="J1522">
        <f t="shared" si="139"/>
        <v>287.48</v>
      </c>
      <c r="K1522" s="8">
        <f t="shared" si="140"/>
        <v>0.19672759373438903</v>
      </c>
      <c r="L1522" t="str">
        <f t="shared" si="143"/>
        <v>2022-10</v>
      </c>
      <c r="M1522">
        <f t="shared" si="141"/>
        <v>287.48</v>
      </c>
    </row>
    <row r="1523" spans="1:13" x14ac:dyDescent="0.25">
      <c r="A1523" s="1">
        <v>44969</v>
      </c>
      <c r="B1523" t="s">
        <v>7</v>
      </c>
      <c r="C1523" t="s">
        <v>8</v>
      </c>
      <c r="D1523" t="s">
        <v>9</v>
      </c>
      <c r="E1523">
        <v>257.98</v>
      </c>
      <c r="F1523">
        <v>132.71</v>
      </c>
      <c r="G1523">
        <v>9</v>
      </c>
      <c r="H1523">
        <f t="shared" si="138"/>
        <v>2321.8200000000002</v>
      </c>
      <c r="I1523">
        <f t="shared" si="142"/>
        <v>1194.3900000000001</v>
      </c>
      <c r="J1523">
        <f t="shared" si="139"/>
        <v>1127.43</v>
      </c>
      <c r="K1523" s="8">
        <f t="shared" si="140"/>
        <v>0.48558027754089461</v>
      </c>
      <c r="L1523" t="str">
        <f t="shared" si="143"/>
        <v>2023-02</v>
      </c>
      <c r="M1523">
        <f t="shared" si="141"/>
        <v>1127.43</v>
      </c>
    </row>
    <row r="1524" spans="1:13" x14ac:dyDescent="0.25">
      <c r="A1524" s="1">
        <v>44742</v>
      </c>
      <c r="B1524" t="s">
        <v>19</v>
      </c>
      <c r="C1524" t="s">
        <v>20</v>
      </c>
      <c r="D1524" t="s">
        <v>17</v>
      </c>
      <c r="E1524">
        <v>1472.23</v>
      </c>
      <c r="F1524">
        <v>767.14</v>
      </c>
      <c r="G1524">
        <v>4</v>
      </c>
      <c r="H1524">
        <f t="shared" si="138"/>
        <v>5888.92</v>
      </c>
      <c r="I1524">
        <f t="shared" si="142"/>
        <v>3068.56</v>
      </c>
      <c r="J1524">
        <f t="shared" si="139"/>
        <v>2820.36</v>
      </c>
      <c r="K1524" s="8">
        <f t="shared" si="140"/>
        <v>0.47892652642589817</v>
      </c>
      <c r="L1524" t="str">
        <f t="shared" si="143"/>
        <v>2022-06</v>
      </c>
      <c r="M1524">
        <f t="shared" si="141"/>
        <v>2820.36</v>
      </c>
    </row>
    <row r="1525" spans="1:13" x14ac:dyDescent="0.25">
      <c r="A1525" s="1">
        <v>44658</v>
      </c>
      <c r="B1525" t="s">
        <v>7</v>
      </c>
      <c r="C1525" t="s">
        <v>8</v>
      </c>
      <c r="D1525" t="s">
        <v>18</v>
      </c>
      <c r="E1525">
        <v>1775.86</v>
      </c>
      <c r="F1525">
        <v>1588.25</v>
      </c>
      <c r="G1525">
        <v>4</v>
      </c>
      <c r="H1525">
        <f t="shared" si="138"/>
        <v>7103.44</v>
      </c>
      <c r="I1525">
        <f t="shared" si="142"/>
        <v>6353</v>
      </c>
      <c r="J1525">
        <f t="shared" si="139"/>
        <v>750.4399999999996</v>
      </c>
      <c r="K1525" s="8">
        <f t="shared" si="140"/>
        <v>0.10564458910049211</v>
      </c>
      <c r="L1525" t="str">
        <f t="shared" si="143"/>
        <v>2022-04</v>
      </c>
      <c r="M1525">
        <f t="shared" si="141"/>
        <v>750.4399999999996</v>
      </c>
    </row>
    <row r="1526" spans="1:13" x14ac:dyDescent="0.25">
      <c r="A1526" s="1">
        <v>44719</v>
      </c>
      <c r="B1526" t="s">
        <v>10</v>
      </c>
      <c r="C1526" t="s">
        <v>11</v>
      </c>
      <c r="D1526" t="s">
        <v>9</v>
      </c>
      <c r="E1526">
        <v>1425.77</v>
      </c>
      <c r="F1526">
        <v>1243.18</v>
      </c>
      <c r="G1526">
        <v>2</v>
      </c>
      <c r="H1526">
        <f t="shared" si="138"/>
        <v>2851.54</v>
      </c>
      <c r="I1526">
        <f t="shared" si="142"/>
        <v>2486.36</v>
      </c>
      <c r="J1526">
        <f t="shared" si="139"/>
        <v>365.17999999999984</v>
      </c>
      <c r="K1526" s="8">
        <f t="shared" si="140"/>
        <v>0.1280641337663157</v>
      </c>
      <c r="L1526" t="str">
        <f t="shared" si="143"/>
        <v>2022-06</v>
      </c>
      <c r="M1526">
        <f t="shared" si="141"/>
        <v>365.17999999999984</v>
      </c>
    </row>
    <row r="1527" spans="1:13" x14ac:dyDescent="0.25">
      <c r="A1527" s="1">
        <v>45593</v>
      </c>
      <c r="B1527" t="s">
        <v>21</v>
      </c>
      <c r="C1527" t="s">
        <v>20</v>
      </c>
      <c r="D1527" t="s">
        <v>9</v>
      </c>
      <c r="E1527">
        <v>857.76</v>
      </c>
      <c r="F1527">
        <v>468.72</v>
      </c>
      <c r="G1527">
        <v>6</v>
      </c>
      <c r="H1527">
        <f t="shared" si="138"/>
        <v>5146.5599999999995</v>
      </c>
      <c r="I1527">
        <f t="shared" si="142"/>
        <v>2812.32</v>
      </c>
      <c r="J1527">
        <f t="shared" si="139"/>
        <v>2334.2399999999993</v>
      </c>
      <c r="K1527" s="8">
        <f t="shared" si="140"/>
        <v>0.45355344152210397</v>
      </c>
      <c r="L1527" t="str">
        <f t="shared" si="143"/>
        <v>2024-10</v>
      </c>
      <c r="M1527">
        <f t="shared" si="141"/>
        <v>2334.2399999999993</v>
      </c>
    </row>
    <row r="1528" spans="1:13" x14ac:dyDescent="0.25">
      <c r="A1528" s="1">
        <v>44993</v>
      </c>
      <c r="B1528" t="s">
        <v>21</v>
      </c>
      <c r="C1528" t="s">
        <v>20</v>
      </c>
      <c r="D1528" t="s">
        <v>13</v>
      </c>
      <c r="E1528">
        <v>868.88</v>
      </c>
      <c r="F1528">
        <v>713.61</v>
      </c>
      <c r="G1528">
        <v>7</v>
      </c>
      <c r="H1528">
        <f t="shared" si="138"/>
        <v>6082.16</v>
      </c>
      <c r="I1528">
        <f t="shared" si="142"/>
        <v>4995.2700000000004</v>
      </c>
      <c r="J1528">
        <f t="shared" si="139"/>
        <v>1086.8899999999994</v>
      </c>
      <c r="K1528" s="8">
        <f t="shared" si="140"/>
        <v>0.17870131663751027</v>
      </c>
      <c r="L1528" t="str">
        <f t="shared" si="143"/>
        <v>2023-03</v>
      </c>
      <c r="M1528">
        <f t="shared" si="141"/>
        <v>1086.8899999999994</v>
      </c>
    </row>
    <row r="1529" spans="1:13" x14ac:dyDescent="0.25">
      <c r="A1529" s="1">
        <v>45602</v>
      </c>
      <c r="B1529" t="s">
        <v>12</v>
      </c>
      <c r="C1529" t="s">
        <v>8</v>
      </c>
      <c r="D1529" t="s">
        <v>18</v>
      </c>
      <c r="E1529">
        <v>1028.1300000000001</v>
      </c>
      <c r="F1529">
        <v>680.13</v>
      </c>
      <c r="G1529">
        <v>8</v>
      </c>
      <c r="H1529">
        <f t="shared" si="138"/>
        <v>8225.0400000000009</v>
      </c>
      <c r="I1529">
        <f t="shared" si="142"/>
        <v>5441.04</v>
      </c>
      <c r="J1529">
        <f t="shared" si="139"/>
        <v>2784.0000000000009</v>
      </c>
      <c r="K1529" s="8">
        <f t="shared" si="140"/>
        <v>0.33847859706457362</v>
      </c>
      <c r="L1529" t="str">
        <f t="shared" si="143"/>
        <v>2024-11</v>
      </c>
      <c r="M1529">
        <f t="shared" si="141"/>
        <v>2784.0000000000009</v>
      </c>
    </row>
    <row r="1530" spans="1:13" x14ac:dyDescent="0.25">
      <c r="A1530" s="1">
        <v>45632</v>
      </c>
      <c r="B1530" t="s">
        <v>7</v>
      </c>
      <c r="C1530" t="s">
        <v>8</v>
      </c>
      <c r="D1530" t="s">
        <v>9</v>
      </c>
      <c r="E1530">
        <v>366.73</v>
      </c>
      <c r="F1530">
        <v>313.64999999999998</v>
      </c>
      <c r="G1530">
        <v>3</v>
      </c>
      <c r="H1530">
        <f t="shared" si="138"/>
        <v>1100.19</v>
      </c>
      <c r="I1530">
        <f t="shared" si="142"/>
        <v>940.94999999999993</v>
      </c>
      <c r="J1530">
        <f t="shared" si="139"/>
        <v>159.24000000000012</v>
      </c>
      <c r="K1530" s="8">
        <f t="shared" si="140"/>
        <v>0.14473863605377263</v>
      </c>
      <c r="L1530" t="str">
        <f t="shared" si="143"/>
        <v>2024-12</v>
      </c>
      <c r="M1530">
        <f t="shared" si="141"/>
        <v>159.24000000000012</v>
      </c>
    </row>
    <row r="1531" spans="1:13" x14ac:dyDescent="0.25">
      <c r="A1531" s="1">
        <v>45400</v>
      </c>
      <c r="B1531" t="s">
        <v>23</v>
      </c>
      <c r="C1531" t="s">
        <v>11</v>
      </c>
      <c r="D1531" t="s">
        <v>18</v>
      </c>
      <c r="E1531">
        <v>1675.73</v>
      </c>
      <c r="F1531">
        <v>1055.52</v>
      </c>
      <c r="G1531">
        <v>5</v>
      </c>
      <c r="H1531">
        <f t="shared" si="138"/>
        <v>8378.65</v>
      </c>
      <c r="I1531">
        <f t="shared" si="142"/>
        <v>5277.6</v>
      </c>
      <c r="J1531">
        <f t="shared" si="139"/>
        <v>3101.0499999999993</v>
      </c>
      <c r="K1531" s="8">
        <f t="shared" si="140"/>
        <v>0.37011332374547207</v>
      </c>
      <c r="L1531" t="str">
        <f t="shared" si="143"/>
        <v>2024-04</v>
      </c>
      <c r="M1531">
        <f t="shared" si="141"/>
        <v>3101.0499999999993</v>
      </c>
    </row>
    <row r="1532" spans="1:13" x14ac:dyDescent="0.25">
      <c r="A1532" s="1">
        <v>44767</v>
      </c>
      <c r="B1532" t="s">
        <v>12</v>
      </c>
      <c r="C1532" t="s">
        <v>8</v>
      </c>
      <c r="D1532" t="s">
        <v>17</v>
      </c>
      <c r="E1532">
        <v>820.06</v>
      </c>
      <c r="F1532">
        <v>643.55999999999995</v>
      </c>
      <c r="G1532">
        <v>8</v>
      </c>
      <c r="H1532">
        <f t="shared" si="138"/>
        <v>6560.48</v>
      </c>
      <c r="I1532">
        <f t="shared" si="142"/>
        <v>5148.4799999999996</v>
      </c>
      <c r="J1532">
        <f t="shared" si="139"/>
        <v>1412</v>
      </c>
      <c r="K1532" s="8">
        <f t="shared" si="140"/>
        <v>0.21522815403750947</v>
      </c>
      <c r="L1532" t="str">
        <f t="shared" si="143"/>
        <v>2022-07</v>
      </c>
      <c r="M1532">
        <f t="shared" si="141"/>
        <v>1412</v>
      </c>
    </row>
    <row r="1533" spans="1:13" x14ac:dyDescent="0.25">
      <c r="A1533" s="1">
        <v>44675</v>
      </c>
      <c r="B1533" t="s">
        <v>25</v>
      </c>
      <c r="C1533" t="s">
        <v>15</v>
      </c>
      <c r="D1533" t="s">
        <v>18</v>
      </c>
      <c r="E1533">
        <v>497.3</v>
      </c>
      <c r="F1533">
        <v>434.13</v>
      </c>
      <c r="G1533">
        <v>3</v>
      </c>
      <c r="H1533">
        <f t="shared" si="138"/>
        <v>1491.9</v>
      </c>
      <c r="I1533">
        <f t="shared" si="142"/>
        <v>1302.3899999999999</v>
      </c>
      <c r="J1533">
        <f t="shared" si="139"/>
        <v>189.51000000000022</v>
      </c>
      <c r="K1533" s="8">
        <f t="shared" si="140"/>
        <v>0.12702594007641277</v>
      </c>
      <c r="L1533" t="str">
        <f t="shared" si="143"/>
        <v>2022-04</v>
      </c>
      <c r="M1533">
        <f t="shared" si="141"/>
        <v>189.51000000000022</v>
      </c>
    </row>
    <row r="1534" spans="1:13" x14ac:dyDescent="0.25">
      <c r="A1534" s="1">
        <v>45044</v>
      </c>
      <c r="B1534" t="s">
        <v>14</v>
      </c>
      <c r="C1534" t="s">
        <v>15</v>
      </c>
      <c r="D1534" t="s">
        <v>13</v>
      </c>
      <c r="E1534">
        <v>130.9</v>
      </c>
      <c r="F1534">
        <v>73.98</v>
      </c>
      <c r="G1534">
        <v>6</v>
      </c>
      <c r="H1534">
        <f t="shared" si="138"/>
        <v>785.40000000000009</v>
      </c>
      <c r="I1534">
        <f t="shared" si="142"/>
        <v>443.88</v>
      </c>
      <c r="J1534">
        <f t="shared" si="139"/>
        <v>341.5200000000001</v>
      </c>
      <c r="K1534" s="8">
        <f t="shared" si="140"/>
        <v>0.43483575248281137</v>
      </c>
      <c r="L1534" t="str">
        <f t="shared" si="143"/>
        <v>2023-04</v>
      </c>
      <c r="M1534">
        <f t="shared" si="141"/>
        <v>341.5200000000001</v>
      </c>
    </row>
    <row r="1535" spans="1:13" x14ac:dyDescent="0.25">
      <c r="A1535" s="1">
        <v>45272</v>
      </c>
      <c r="B1535" t="s">
        <v>22</v>
      </c>
      <c r="C1535" t="s">
        <v>8</v>
      </c>
      <c r="D1535" t="s">
        <v>17</v>
      </c>
      <c r="E1535">
        <v>1093.58</v>
      </c>
      <c r="F1535">
        <v>699.51</v>
      </c>
      <c r="G1535">
        <v>3</v>
      </c>
      <c r="H1535">
        <f t="shared" si="138"/>
        <v>3280.74</v>
      </c>
      <c r="I1535">
        <f t="shared" si="142"/>
        <v>2098.5299999999997</v>
      </c>
      <c r="J1535">
        <f t="shared" si="139"/>
        <v>1182.21</v>
      </c>
      <c r="K1535" s="8">
        <f t="shared" si="140"/>
        <v>0.36034857989356062</v>
      </c>
      <c r="L1535" t="str">
        <f t="shared" si="143"/>
        <v>2023-12</v>
      </c>
      <c r="M1535">
        <f t="shared" si="141"/>
        <v>1182.21</v>
      </c>
    </row>
    <row r="1536" spans="1:13" x14ac:dyDescent="0.25">
      <c r="A1536" s="1">
        <v>45186</v>
      </c>
      <c r="B1536" t="s">
        <v>23</v>
      </c>
      <c r="C1536" t="s">
        <v>11</v>
      </c>
      <c r="D1536" t="s">
        <v>13</v>
      </c>
      <c r="E1536">
        <v>295.72000000000003</v>
      </c>
      <c r="F1536">
        <v>231.58</v>
      </c>
      <c r="G1536">
        <v>8</v>
      </c>
      <c r="H1536">
        <f t="shared" si="138"/>
        <v>2365.7600000000002</v>
      </c>
      <c r="I1536">
        <f t="shared" si="142"/>
        <v>1852.64</v>
      </c>
      <c r="J1536">
        <f t="shared" si="139"/>
        <v>513.12000000000012</v>
      </c>
      <c r="K1536" s="8">
        <f t="shared" si="140"/>
        <v>0.21689435952928449</v>
      </c>
      <c r="L1536" t="str">
        <f t="shared" si="143"/>
        <v>2023-09</v>
      </c>
      <c r="M1536">
        <f t="shared" si="141"/>
        <v>513.12000000000012</v>
      </c>
    </row>
    <row r="1537" spans="1:13" x14ac:dyDescent="0.25">
      <c r="A1537" s="1">
        <v>45256</v>
      </c>
      <c r="B1537" t="s">
        <v>19</v>
      </c>
      <c r="C1537" t="s">
        <v>20</v>
      </c>
      <c r="D1537" t="s">
        <v>17</v>
      </c>
      <c r="E1537">
        <v>596.84</v>
      </c>
      <c r="F1537">
        <v>506.73</v>
      </c>
      <c r="G1537">
        <v>6</v>
      </c>
      <c r="H1537">
        <f t="shared" si="138"/>
        <v>3581.04</v>
      </c>
      <c r="I1537">
        <f t="shared" si="142"/>
        <v>3040.38</v>
      </c>
      <c r="J1537">
        <f t="shared" si="139"/>
        <v>540.65999999999985</v>
      </c>
      <c r="K1537" s="8">
        <f t="shared" si="140"/>
        <v>0.15097848669660208</v>
      </c>
      <c r="L1537" t="str">
        <f t="shared" si="143"/>
        <v>2023-11</v>
      </c>
      <c r="M1537">
        <f t="shared" si="141"/>
        <v>540.65999999999985</v>
      </c>
    </row>
    <row r="1538" spans="1:13" x14ac:dyDescent="0.25">
      <c r="A1538" s="1">
        <v>45380</v>
      </c>
      <c r="B1538" t="s">
        <v>16</v>
      </c>
      <c r="C1538" t="s">
        <v>15</v>
      </c>
      <c r="D1538" t="s">
        <v>13</v>
      </c>
      <c r="E1538">
        <v>1618.94</v>
      </c>
      <c r="F1538">
        <v>818.05</v>
      </c>
      <c r="G1538">
        <v>4</v>
      </c>
      <c r="H1538">
        <f t="shared" si="138"/>
        <v>6475.76</v>
      </c>
      <c r="I1538">
        <f t="shared" si="142"/>
        <v>3272.2</v>
      </c>
      <c r="J1538">
        <f t="shared" si="139"/>
        <v>3203.5600000000004</v>
      </c>
      <c r="K1538" s="8">
        <f t="shared" si="140"/>
        <v>0.49470023595686069</v>
      </c>
      <c r="L1538" t="str">
        <f t="shared" si="143"/>
        <v>2024-03</v>
      </c>
      <c r="M1538">
        <f t="shared" si="141"/>
        <v>3203.5600000000004</v>
      </c>
    </row>
    <row r="1539" spans="1:13" x14ac:dyDescent="0.25">
      <c r="A1539" s="1">
        <v>45644</v>
      </c>
      <c r="B1539" t="s">
        <v>14</v>
      </c>
      <c r="C1539" t="s">
        <v>15</v>
      </c>
      <c r="D1539" t="s">
        <v>13</v>
      </c>
      <c r="E1539">
        <v>580.71</v>
      </c>
      <c r="F1539">
        <v>320.18</v>
      </c>
      <c r="G1539">
        <v>7</v>
      </c>
      <c r="H1539">
        <f t="shared" ref="H1539:H1602" si="144">E1539*G1539</f>
        <v>4064.9700000000003</v>
      </c>
      <c r="I1539">
        <f t="shared" si="142"/>
        <v>2241.2600000000002</v>
      </c>
      <c r="J1539">
        <f t="shared" ref="J1539:J1602" si="145">H1539-I1539</f>
        <v>1823.71</v>
      </c>
      <c r="K1539" s="8">
        <f t="shared" ref="K1539:K1602" si="146">(H1539-I1539)/H1539</f>
        <v>0.4486404573711491</v>
      </c>
      <c r="L1539" t="str">
        <f t="shared" si="143"/>
        <v>2024-12</v>
      </c>
      <c r="M1539">
        <f t="shared" ref="M1539:M1602" si="147">H1539-I1539</f>
        <v>1823.71</v>
      </c>
    </row>
    <row r="1540" spans="1:13" x14ac:dyDescent="0.25">
      <c r="A1540" s="1">
        <v>44727</v>
      </c>
      <c r="B1540" t="s">
        <v>21</v>
      </c>
      <c r="C1540" t="s">
        <v>20</v>
      </c>
      <c r="D1540" t="s">
        <v>18</v>
      </c>
      <c r="E1540">
        <v>258.3</v>
      </c>
      <c r="F1540">
        <v>229.75</v>
      </c>
      <c r="G1540">
        <v>7</v>
      </c>
      <c r="H1540">
        <f t="shared" si="144"/>
        <v>1808.1000000000001</v>
      </c>
      <c r="I1540">
        <f t="shared" ref="I1540:I1603" si="148">F1540*G1540</f>
        <v>1608.25</v>
      </c>
      <c r="J1540">
        <f t="shared" si="145"/>
        <v>199.85000000000014</v>
      </c>
      <c r="K1540" s="8">
        <f t="shared" si="146"/>
        <v>0.11053039101819596</v>
      </c>
      <c r="L1540" t="str">
        <f t="shared" ref="L1540:L1603" si="149">TEXT(A1540,"rrrr-mm")</f>
        <v>2022-06</v>
      </c>
      <c r="M1540">
        <f t="shared" si="147"/>
        <v>199.85000000000014</v>
      </c>
    </row>
    <row r="1541" spans="1:13" x14ac:dyDescent="0.25">
      <c r="A1541" s="1">
        <v>44878</v>
      </c>
      <c r="B1541" t="s">
        <v>10</v>
      </c>
      <c r="C1541" t="s">
        <v>11</v>
      </c>
      <c r="D1541" t="s">
        <v>13</v>
      </c>
      <c r="E1541">
        <v>1764.26</v>
      </c>
      <c r="F1541">
        <v>966.19</v>
      </c>
      <c r="G1541">
        <v>5</v>
      </c>
      <c r="H1541">
        <f t="shared" si="144"/>
        <v>8821.2999999999993</v>
      </c>
      <c r="I1541">
        <f t="shared" si="148"/>
        <v>4830.9500000000007</v>
      </c>
      <c r="J1541">
        <f t="shared" si="145"/>
        <v>3990.3499999999985</v>
      </c>
      <c r="K1541" s="8">
        <f t="shared" si="146"/>
        <v>0.4523539614342556</v>
      </c>
      <c r="L1541" t="str">
        <f t="shared" si="149"/>
        <v>2022-11</v>
      </c>
      <c r="M1541">
        <f t="shared" si="147"/>
        <v>3990.3499999999985</v>
      </c>
    </row>
    <row r="1542" spans="1:13" x14ac:dyDescent="0.25">
      <c r="A1542" s="1">
        <v>45587</v>
      </c>
      <c r="B1542" t="s">
        <v>25</v>
      </c>
      <c r="C1542" t="s">
        <v>15</v>
      </c>
      <c r="D1542" t="s">
        <v>18</v>
      </c>
      <c r="E1542">
        <v>151.74</v>
      </c>
      <c r="F1542">
        <v>87.68</v>
      </c>
      <c r="G1542">
        <v>6</v>
      </c>
      <c r="H1542">
        <f t="shared" si="144"/>
        <v>910.44</v>
      </c>
      <c r="I1542">
        <f t="shared" si="148"/>
        <v>526.08000000000004</v>
      </c>
      <c r="J1542">
        <f t="shared" si="145"/>
        <v>384.36</v>
      </c>
      <c r="K1542" s="8">
        <f t="shared" si="146"/>
        <v>0.42216950046131541</v>
      </c>
      <c r="L1542" t="str">
        <f t="shared" si="149"/>
        <v>2024-10</v>
      </c>
      <c r="M1542">
        <f t="shared" si="147"/>
        <v>384.36</v>
      </c>
    </row>
    <row r="1543" spans="1:13" x14ac:dyDescent="0.25">
      <c r="A1543" s="1">
        <v>45138</v>
      </c>
      <c r="B1543" t="s">
        <v>24</v>
      </c>
      <c r="C1543" t="s">
        <v>20</v>
      </c>
      <c r="D1543" t="s">
        <v>18</v>
      </c>
      <c r="E1543">
        <v>857.71</v>
      </c>
      <c r="F1543">
        <v>731.13</v>
      </c>
      <c r="G1543">
        <v>10</v>
      </c>
      <c r="H1543">
        <f t="shared" si="144"/>
        <v>8577.1</v>
      </c>
      <c r="I1543">
        <f t="shared" si="148"/>
        <v>7311.3</v>
      </c>
      <c r="J1543">
        <f t="shared" si="145"/>
        <v>1265.8000000000002</v>
      </c>
      <c r="K1543" s="8">
        <f t="shared" si="146"/>
        <v>0.14757901854939318</v>
      </c>
      <c r="L1543" t="str">
        <f t="shared" si="149"/>
        <v>2023-07</v>
      </c>
      <c r="M1543">
        <f t="shared" si="147"/>
        <v>1265.8000000000002</v>
      </c>
    </row>
    <row r="1544" spans="1:13" x14ac:dyDescent="0.25">
      <c r="A1544" s="1">
        <v>45348</v>
      </c>
      <c r="B1544" t="s">
        <v>19</v>
      </c>
      <c r="C1544" t="s">
        <v>20</v>
      </c>
      <c r="D1544" t="s">
        <v>13</v>
      </c>
      <c r="E1544">
        <v>1104.31</v>
      </c>
      <c r="F1544">
        <v>928.96</v>
      </c>
      <c r="G1544">
        <v>5</v>
      </c>
      <c r="H1544">
        <f t="shared" si="144"/>
        <v>5521.5499999999993</v>
      </c>
      <c r="I1544">
        <f t="shared" si="148"/>
        <v>4644.8</v>
      </c>
      <c r="J1544">
        <f t="shared" si="145"/>
        <v>876.74999999999909</v>
      </c>
      <c r="K1544" s="8">
        <f t="shared" si="146"/>
        <v>0.15878693482808254</v>
      </c>
      <c r="L1544" t="str">
        <f t="shared" si="149"/>
        <v>2024-02</v>
      </c>
      <c r="M1544">
        <f t="shared" si="147"/>
        <v>876.74999999999909</v>
      </c>
    </row>
    <row r="1545" spans="1:13" x14ac:dyDescent="0.25">
      <c r="A1545" s="1">
        <v>44993</v>
      </c>
      <c r="B1545" t="s">
        <v>23</v>
      </c>
      <c r="C1545" t="s">
        <v>11</v>
      </c>
      <c r="D1545" t="s">
        <v>9</v>
      </c>
      <c r="E1545">
        <v>1184</v>
      </c>
      <c r="F1545">
        <v>1027.8800000000001</v>
      </c>
      <c r="G1545">
        <v>5</v>
      </c>
      <c r="H1545">
        <f t="shared" si="144"/>
        <v>5920</v>
      </c>
      <c r="I1545">
        <f t="shared" si="148"/>
        <v>5139.4000000000005</v>
      </c>
      <c r="J1545">
        <f t="shared" si="145"/>
        <v>780.59999999999945</v>
      </c>
      <c r="K1545" s="8">
        <f t="shared" si="146"/>
        <v>0.13185810810810802</v>
      </c>
      <c r="L1545" t="str">
        <f t="shared" si="149"/>
        <v>2023-03</v>
      </c>
      <c r="M1545">
        <f t="shared" si="147"/>
        <v>780.59999999999945</v>
      </c>
    </row>
    <row r="1546" spans="1:13" x14ac:dyDescent="0.25">
      <c r="A1546" s="1">
        <v>45078</v>
      </c>
      <c r="B1546" t="s">
        <v>23</v>
      </c>
      <c r="C1546" t="s">
        <v>11</v>
      </c>
      <c r="D1546" t="s">
        <v>18</v>
      </c>
      <c r="E1546">
        <v>495.24</v>
      </c>
      <c r="F1546">
        <v>337.88</v>
      </c>
      <c r="G1546">
        <v>2</v>
      </c>
      <c r="H1546">
        <f t="shared" si="144"/>
        <v>990.48</v>
      </c>
      <c r="I1546">
        <f t="shared" si="148"/>
        <v>675.76</v>
      </c>
      <c r="J1546">
        <f t="shared" si="145"/>
        <v>314.72000000000003</v>
      </c>
      <c r="K1546" s="8">
        <f t="shared" si="146"/>
        <v>0.31774493175026253</v>
      </c>
      <c r="L1546" t="str">
        <f t="shared" si="149"/>
        <v>2023-06</v>
      </c>
      <c r="M1546">
        <f t="shared" si="147"/>
        <v>314.72000000000003</v>
      </c>
    </row>
    <row r="1547" spans="1:13" x14ac:dyDescent="0.25">
      <c r="A1547" s="1">
        <v>45532</v>
      </c>
      <c r="B1547" t="s">
        <v>7</v>
      </c>
      <c r="C1547" t="s">
        <v>8</v>
      </c>
      <c r="D1547" t="s">
        <v>17</v>
      </c>
      <c r="E1547">
        <v>914.12</v>
      </c>
      <c r="F1547">
        <v>720</v>
      </c>
      <c r="G1547">
        <v>3</v>
      </c>
      <c r="H1547">
        <f t="shared" si="144"/>
        <v>2742.36</v>
      </c>
      <c r="I1547">
        <f t="shared" si="148"/>
        <v>2160</v>
      </c>
      <c r="J1547">
        <f t="shared" si="145"/>
        <v>582.36000000000013</v>
      </c>
      <c r="K1547" s="8">
        <f t="shared" si="146"/>
        <v>0.21235723974970466</v>
      </c>
      <c r="L1547" t="str">
        <f t="shared" si="149"/>
        <v>2024-08</v>
      </c>
      <c r="M1547">
        <f t="shared" si="147"/>
        <v>582.36000000000013</v>
      </c>
    </row>
    <row r="1548" spans="1:13" x14ac:dyDescent="0.25">
      <c r="A1548" s="1">
        <v>45549</v>
      </c>
      <c r="B1548" t="s">
        <v>19</v>
      </c>
      <c r="C1548" t="s">
        <v>20</v>
      </c>
      <c r="D1548" t="s">
        <v>18</v>
      </c>
      <c r="E1548">
        <v>1679.93</v>
      </c>
      <c r="F1548">
        <v>896.42</v>
      </c>
      <c r="G1548">
        <v>4</v>
      </c>
      <c r="H1548">
        <f t="shared" si="144"/>
        <v>6719.72</v>
      </c>
      <c r="I1548">
        <f t="shared" si="148"/>
        <v>3585.68</v>
      </c>
      <c r="J1548">
        <f t="shared" si="145"/>
        <v>3134.0400000000004</v>
      </c>
      <c r="K1548" s="8">
        <f t="shared" si="146"/>
        <v>0.46639443310137929</v>
      </c>
      <c r="L1548" t="str">
        <f t="shared" si="149"/>
        <v>2024-09</v>
      </c>
      <c r="M1548">
        <f t="shared" si="147"/>
        <v>3134.0400000000004</v>
      </c>
    </row>
    <row r="1549" spans="1:13" x14ac:dyDescent="0.25">
      <c r="A1549" s="1">
        <v>45377</v>
      </c>
      <c r="B1549" t="s">
        <v>10</v>
      </c>
      <c r="C1549" t="s">
        <v>11</v>
      </c>
      <c r="D1549" t="s">
        <v>17</v>
      </c>
      <c r="E1549">
        <v>250.02</v>
      </c>
      <c r="F1549">
        <v>153.77000000000001</v>
      </c>
      <c r="G1549">
        <v>2</v>
      </c>
      <c r="H1549">
        <f t="shared" si="144"/>
        <v>500.04</v>
      </c>
      <c r="I1549">
        <f t="shared" si="148"/>
        <v>307.54000000000002</v>
      </c>
      <c r="J1549">
        <f t="shared" si="145"/>
        <v>192.5</v>
      </c>
      <c r="K1549" s="8">
        <f t="shared" si="146"/>
        <v>0.3849692024638029</v>
      </c>
      <c r="L1549" t="str">
        <f t="shared" si="149"/>
        <v>2024-03</v>
      </c>
      <c r="M1549">
        <f t="shared" si="147"/>
        <v>192.5</v>
      </c>
    </row>
    <row r="1550" spans="1:13" x14ac:dyDescent="0.25">
      <c r="A1550" s="1">
        <v>45156</v>
      </c>
      <c r="B1550" t="s">
        <v>14</v>
      </c>
      <c r="C1550" t="s">
        <v>15</v>
      </c>
      <c r="D1550" t="s">
        <v>9</v>
      </c>
      <c r="E1550">
        <v>1064.3399999999999</v>
      </c>
      <c r="F1550">
        <v>754.69</v>
      </c>
      <c r="G1550">
        <v>9</v>
      </c>
      <c r="H1550">
        <f t="shared" si="144"/>
        <v>9579.06</v>
      </c>
      <c r="I1550">
        <f t="shared" si="148"/>
        <v>6792.2100000000009</v>
      </c>
      <c r="J1550">
        <f t="shared" si="145"/>
        <v>2786.8499999999985</v>
      </c>
      <c r="K1550" s="8">
        <f t="shared" si="146"/>
        <v>0.29093146926733926</v>
      </c>
      <c r="L1550" t="str">
        <f t="shared" si="149"/>
        <v>2023-08</v>
      </c>
      <c r="M1550">
        <f t="shared" si="147"/>
        <v>2786.8499999999985</v>
      </c>
    </row>
    <row r="1551" spans="1:13" x14ac:dyDescent="0.25">
      <c r="A1551" s="1">
        <v>44642</v>
      </c>
      <c r="B1551" t="s">
        <v>14</v>
      </c>
      <c r="C1551" t="s">
        <v>15</v>
      </c>
      <c r="D1551" t="s">
        <v>9</v>
      </c>
      <c r="E1551">
        <v>909.52</v>
      </c>
      <c r="F1551">
        <v>808.92</v>
      </c>
      <c r="G1551">
        <v>3</v>
      </c>
      <c r="H1551">
        <f t="shared" si="144"/>
        <v>2728.56</v>
      </c>
      <c r="I1551">
        <f t="shared" si="148"/>
        <v>2426.7599999999998</v>
      </c>
      <c r="J1551">
        <f t="shared" si="145"/>
        <v>301.80000000000018</v>
      </c>
      <c r="K1551" s="8">
        <f t="shared" si="146"/>
        <v>0.11060779312164665</v>
      </c>
      <c r="L1551" t="str">
        <f t="shared" si="149"/>
        <v>2022-03</v>
      </c>
      <c r="M1551">
        <f t="shared" si="147"/>
        <v>301.80000000000018</v>
      </c>
    </row>
    <row r="1552" spans="1:13" x14ac:dyDescent="0.25">
      <c r="A1552" s="1">
        <v>45569</v>
      </c>
      <c r="B1552" t="s">
        <v>22</v>
      </c>
      <c r="C1552" t="s">
        <v>8</v>
      </c>
      <c r="D1552" t="s">
        <v>13</v>
      </c>
      <c r="E1552">
        <v>1171.55</v>
      </c>
      <c r="F1552">
        <v>708.24</v>
      </c>
      <c r="G1552">
        <v>4</v>
      </c>
      <c r="H1552">
        <f t="shared" si="144"/>
        <v>4686.2</v>
      </c>
      <c r="I1552">
        <f t="shared" si="148"/>
        <v>2832.96</v>
      </c>
      <c r="J1552">
        <f t="shared" si="145"/>
        <v>1853.2399999999998</v>
      </c>
      <c r="K1552" s="8">
        <f t="shared" si="146"/>
        <v>0.3954675429985916</v>
      </c>
      <c r="L1552" t="str">
        <f t="shared" si="149"/>
        <v>2024-10</v>
      </c>
      <c r="M1552">
        <f t="shared" si="147"/>
        <v>1853.2399999999998</v>
      </c>
    </row>
    <row r="1553" spans="1:13" x14ac:dyDescent="0.25">
      <c r="A1553" s="1">
        <v>45129</v>
      </c>
      <c r="B1553" t="s">
        <v>12</v>
      </c>
      <c r="C1553" t="s">
        <v>8</v>
      </c>
      <c r="D1553" t="s">
        <v>18</v>
      </c>
      <c r="E1553">
        <v>1138.5999999999999</v>
      </c>
      <c r="F1553">
        <v>740.16</v>
      </c>
      <c r="G1553">
        <v>5</v>
      </c>
      <c r="H1553">
        <f t="shared" si="144"/>
        <v>5693</v>
      </c>
      <c r="I1553">
        <f t="shared" si="148"/>
        <v>3700.7999999999997</v>
      </c>
      <c r="J1553">
        <f t="shared" si="145"/>
        <v>1992.2000000000003</v>
      </c>
      <c r="K1553" s="8">
        <f t="shared" si="146"/>
        <v>0.34993852099069039</v>
      </c>
      <c r="L1553" t="str">
        <f t="shared" si="149"/>
        <v>2023-07</v>
      </c>
      <c r="M1553">
        <f t="shared" si="147"/>
        <v>1992.2000000000003</v>
      </c>
    </row>
    <row r="1554" spans="1:13" x14ac:dyDescent="0.25">
      <c r="A1554" s="1">
        <v>44834</v>
      </c>
      <c r="B1554" t="s">
        <v>25</v>
      </c>
      <c r="C1554" t="s">
        <v>15</v>
      </c>
      <c r="D1554" t="s">
        <v>17</v>
      </c>
      <c r="E1554">
        <v>1001.45</v>
      </c>
      <c r="F1554">
        <v>694.69</v>
      </c>
      <c r="G1554">
        <v>4</v>
      </c>
      <c r="H1554">
        <f t="shared" si="144"/>
        <v>4005.8</v>
      </c>
      <c r="I1554">
        <f t="shared" si="148"/>
        <v>2778.76</v>
      </c>
      <c r="J1554">
        <f t="shared" si="145"/>
        <v>1227.04</v>
      </c>
      <c r="K1554" s="8">
        <f t="shared" si="146"/>
        <v>0.30631584202905782</v>
      </c>
      <c r="L1554" t="str">
        <f t="shared" si="149"/>
        <v>2022-09</v>
      </c>
      <c r="M1554">
        <f t="shared" si="147"/>
        <v>1227.04</v>
      </c>
    </row>
    <row r="1555" spans="1:13" x14ac:dyDescent="0.25">
      <c r="A1555" s="1">
        <v>44575</v>
      </c>
      <c r="B1555" t="s">
        <v>16</v>
      </c>
      <c r="C1555" t="s">
        <v>15</v>
      </c>
      <c r="D1555" t="s">
        <v>9</v>
      </c>
      <c r="E1555">
        <v>1870.78</v>
      </c>
      <c r="F1555">
        <v>1280.54</v>
      </c>
      <c r="G1555">
        <v>3</v>
      </c>
      <c r="H1555">
        <f t="shared" si="144"/>
        <v>5612.34</v>
      </c>
      <c r="I1555">
        <f t="shared" si="148"/>
        <v>3841.62</v>
      </c>
      <c r="J1555">
        <f t="shared" si="145"/>
        <v>1770.7200000000003</v>
      </c>
      <c r="K1555" s="8">
        <f t="shared" si="146"/>
        <v>0.31550476271929362</v>
      </c>
      <c r="L1555" t="str">
        <f t="shared" si="149"/>
        <v>2022-01</v>
      </c>
      <c r="M1555">
        <f t="shared" si="147"/>
        <v>1770.7200000000003</v>
      </c>
    </row>
    <row r="1556" spans="1:13" x14ac:dyDescent="0.25">
      <c r="A1556" s="1">
        <v>45291</v>
      </c>
      <c r="B1556" t="s">
        <v>16</v>
      </c>
      <c r="C1556" t="s">
        <v>15</v>
      </c>
      <c r="D1556" t="s">
        <v>9</v>
      </c>
      <c r="E1556">
        <v>410.78</v>
      </c>
      <c r="F1556">
        <v>282.32</v>
      </c>
      <c r="G1556">
        <v>2</v>
      </c>
      <c r="H1556">
        <f t="shared" si="144"/>
        <v>821.56</v>
      </c>
      <c r="I1556">
        <f t="shared" si="148"/>
        <v>564.64</v>
      </c>
      <c r="J1556">
        <f t="shared" si="145"/>
        <v>256.91999999999996</v>
      </c>
      <c r="K1556" s="8">
        <f t="shared" si="146"/>
        <v>0.31272213837090412</v>
      </c>
      <c r="L1556" t="str">
        <f t="shared" si="149"/>
        <v>2023-12</v>
      </c>
      <c r="M1556">
        <f t="shared" si="147"/>
        <v>256.91999999999996</v>
      </c>
    </row>
    <row r="1557" spans="1:13" x14ac:dyDescent="0.25">
      <c r="A1557" s="1">
        <v>44852</v>
      </c>
      <c r="B1557" t="s">
        <v>19</v>
      </c>
      <c r="C1557" t="s">
        <v>20</v>
      </c>
      <c r="D1557" t="s">
        <v>17</v>
      </c>
      <c r="E1557">
        <v>383.85</v>
      </c>
      <c r="F1557">
        <v>305.02999999999997</v>
      </c>
      <c r="G1557">
        <v>8</v>
      </c>
      <c r="H1557">
        <f t="shared" si="144"/>
        <v>3070.8</v>
      </c>
      <c r="I1557">
        <f t="shared" si="148"/>
        <v>2440.2399999999998</v>
      </c>
      <c r="J1557">
        <f t="shared" si="145"/>
        <v>630.5600000000004</v>
      </c>
      <c r="K1557" s="8">
        <f t="shared" si="146"/>
        <v>0.20534062784942048</v>
      </c>
      <c r="L1557" t="str">
        <f t="shared" si="149"/>
        <v>2022-10</v>
      </c>
      <c r="M1557">
        <f t="shared" si="147"/>
        <v>630.5600000000004</v>
      </c>
    </row>
    <row r="1558" spans="1:13" x14ac:dyDescent="0.25">
      <c r="A1558" s="1">
        <v>44697</v>
      </c>
      <c r="B1558" t="s">
        <v>19</v>
      </c>
      <c r="C1558" t="s">
        <v>20</v>
      </c>
      <c r="D1558" t="s">
        <v>17</v>
      </c>
      <c r="E1558">
        <v>1744.32</v>
      </c>
      <c r="F1558">
        <v>1351.05</v>
      </c>
      <c r="G1558">
        <v>2</v>
      </c>
      <c r="H1558">
        <f t="shared" si="144"/>
        <v>3488.64</v>
      </c>
      <c r="I1558">
        <f t="shared" si="148"/>
        <v>2702.1</v>
      </c>
      <c r="J1558">
        <f t="shared" si="145"/>
        <v>786.54</v>
      </c>
      <c r="K1558" s="8">
        <f t="shared" si="146"/>
        <v>0.22545748486516234</v>
      </c>
      <c r="L1558" t="str">
        <f t="shared" si="149"/>
        <v>2022-05</v>
      </c>
      <c r="M1558">
        <f t="shared" si="147"/>
        <v>786.54</v>
      </c>
    </row>
    <row r="1559" spans="1:13" x14ac:dyDescent="0.25">
      <c r="A1559" s="1">
        <v>45628</v>
      </c>
      <c r="B1559" t="s">
        <v>12</v>
      </c>
      <c r="C1559" t="s">
        <v>8</v>
      </c>
      <c r="D1559" t="s">
        <v>17</v>
      </c>
      <c r="E1559">
        <v>1345.71</v>
      </c>
      <c r="F1559">
        <v>911.21</v>
      </c>
      <c r="G1559">
        <v>7</v>
      </c>
      <c r="H1559">
        <f t="shared" si="144"/>
        <v>9419.9700000000012</v>
      </c>
      <c r="I1559">
        <f t="shared" si="148"/>
        <v>6378.47</v>
      </c>
      <c r="J1559">
        <f t="shared" si="145"/>
        <v>3041.5000000000009</v>
      </c>
      <c r="K1559" s="8">
        <f t="shared" si="146"/>
        <v>0.32287788602299161</v>
      </c>
      <c r="L1559" t="str">
        <f t="shared" si="149"/>
        <v>2024-12</v>
      </c>
      <c r="M1559">
        <f t="shared" si="147"/>
        <v>3041.5000000000009</v>
      </c>
    </row>
    <row r="1560" spans="1:13" x14ac:dyDescent="0.25">
      <c r="A1560" s="1">
        <v>45588</v>
      </c>
      <c r="B1560" t="s">
        <v>14</v>
      </c>
      <c r="C1560" t="s">
        <v>15</v>
      </c>
      <c r="D1560" t="s">
        <v>13</v>
      </c>
      <c r="E1560">
        <v>299.18</v>
      </c>
      <c r="F1560">
        <v>151.66999999999999</v>
      </c>
      <c r="G1560">
        <v>7</v>
      </c>
      <c r="H1560">
        <f t="shared" si="144"/>
        <v>2094.2600000000002</v>
      </c>
      <c r="I1560">
        <f t="shared" si="148"/>
        <v>1061.6899999999998</v>
      </c>
      <c r="J1560">
        <f t="shared" si="145"/>
        <v>1032.5700000000004</v>
      </c>
      <c r="K1560" s="8">
        <f t="shared" si="146"/>
        <v>0.49304766361387808</v>
      </c>
      <c r="L1560" t="str">
        <f t="shared" si="149"/>
        <v>2024-10</v>
      </c>
      <c r="M1560">
        <f t="shared" si="147"/>
        <v>1032.5700000000004</v>
      </c>
    </row>
    <row r="1561" spans="1:13" x14ac:dyDescent="0.25">
      <c r="A1561" s="1">
        <v>44849</v>
      </c>
      <c r="B1561" t="s">
        <v>16</v>
      </c>
      <c r="C1561" t="s">
        <v>15</v>
      </c>
      <c r="D1561" t="s">
        <v>13</v>
      </c>
      <c r="E1561">
        <v>716.08</v>
      </c>
      <c r="F1561">
        <v>625.69000000000005</v>
      </c>
      <c r="G1561">
        <v>8</v>
      </c>
      <c r="H1561">
        <f t="shared" si="144"/>
        <v>5728.64</v>
      </c>
      <c r="I1561">
        <f t="shared" si="148"/>
        <v>5005.5200000000004</v>
      </c>
      <c r="J1561">
        <f t="shared" si="145"/>
        <v>723.11999999999989</v>
      </c>
      <c r="K1561" s="8">
        <f t="shared" si="146"/>
        <v>0.12622891297061778</v>
      </c>
      <c r="L1561" t="str">
        <f t="shared" si="149"/>
        <v>2022-10</v>
      </c>
      <c r="M1561">
        <f t="shared" si="147"/>
        <v>723.11999999999989</v>
      </c>
    </row>
    <row r="1562" spans="1:13" x14ac:dyDescent="0.25">
      <c r="A1562" s="1">
        <v>44798</v>
      </c>
      <c r="B1562" t="s">
        <v>19</v>
      </c>
      <c r="C1562" t="s">
        <v>20</v>
      </c>
      <c r="D1562" t="s">
        <v>13</v>
      </c>
      <c r="E1562">
        <v>1586.97</v>
      </c>
      <c r="F1562">
        <v>1111.6199999999999</v>
      </c>
      <c r="G1562">
        <v>4</v>
      </c>
      <c r="H1562">
        <f t="shared" si="144"/>
        <v>6347.88</v>
      </c>
      <c r="I1562">
        <f t="shared" si="148"/>
        <v>4446.4799999999996</v>
      </c>
      <c r="J1562">
        <f t="shared" si="145"/>
        <v>1901.4000000000005</v>
      </c>
      <c r="K1562" s="8">
        <f t="shared" si="146"/>
        <v>0.29953307245883676</v>
      </c>
      <c r="L1562" t="str">
        <f t="shared" si="149"/>
        <v>2022-08</v>
      </c>
      <c r="M1562">
        <f t="shared" si="147"/>
        <v>1901.4000000000005</v>
      </c>
    </row>
    <row r="1563" spans="1:13" x14ac:dyDescent="0.25">
      <c r="A1563" s="1">
        <v>45622</v>
      </c>
      <c r="B1563" t="s">
        <v>21</v>
      </c>
      <c r="C1563" t="s">
        <v>20</v>
      </c>
      <c r="D1563" t="s">
        <v>9</v>
      </c>
      <c r="E1563">
        <v>808.05</v>
      </c>
      <c r="F1563">
        <v>639.17999999999995</v>
      </c>
      <c r="G1563">
        <v>6</v>
      </c>
      <c r="H1563">
        <f t="shared" si="144"/>
        <v>4848.2999999999993</v>
      </c>
      <c r="I1563">
        <f t="shared" si="148"/>
        <v>3835.08</v>
      </c>
      <c r="J1563">
        <f t="shared" si="145"/>
        <v>1013.2199999999993</v>
      </c>
      <c r="K1563" s="8">
        <f t="shared" si="146"/>
        <v>0.20898459253759039</v>
      </c>
      <c r="L1563" t="str">
        <f t="shared" si="149"/>
        <v>2024-11</v>
      </c>
      <c r="M1563">
        <f t="shared" si="147"/>
        <v>1013.2199999999993</v>
      </c>
    </row>
    <row r="1564" spans="1:13" x14ac:dyDescent="0.25">
      <c r="A1564" s="1">
        <v>44882</v>
      </c>
      <c r="B1564" t="s">
        <v>12</v>
      </c>
      <c r="C1564" t="s">
        <v>8</v>
      </c>
      <c r="D1564" t="s">
        <v>9</v>
      </c>
      <c r="E1564">
        <v>1967.71</v>
      </c>
      <c r="F1564">
        <v>1262.1400000000001</v>
      </c>
      <c r="G1564">
        <v>3</v>
      </c>
      <c r="H1564">
        <f t="shared" si="144"/>
        <v>5903.13</v>
      </c>
      <c r="I1564">
        <f t="shared" si="148"/>
        <v>3786.42</v>
      </c>
      <c r="J1564">
        <f t="shared" si="145"/>
        <v>2116.71</v>
      </c>
      <c r="K1564" s="8">
        <f t="shared" si="146"/>
        <v>0.35857418013833336</v>
      </c>
      <c r="L1564" t="str">
        <f t="shared" si="149"/>
        <v>2022-11</v>
      </c>
      <c r="M1564">
        <f t="shared" si="147"/>
        <v>2116.71</v>
      </c>
    </row>
    <row r="1565" spans="1:13" x14ac:dyDescent="0.25">
      <c r="A1565" s="1">
        <v>45024</v>
      </c>
      <c r="B1565" t="s">
        <v>12</v>
      </c>
      <c r="C1565" t="s">
        <v>8</v>
      </c>
      <c r="D1565" t="s">
        <v>9</v>
      </c>
      <c r="E1565">
        <v>1328.9</v>
      </c>
      <c r="F1565">
        <v>973.82</v>
      </c>
      <c r="G1565">
        <v>8</v>
      </c>
      <c r="H1565">
        <f t="shared" si="144"/>
        <v>10631.2</v>
      </c>
      <c r="I1565">
        <f t="shared" si="148"/>
        <v>7790.56</v>
      </c>
      <c r="J1565">
        <f t="shared" si="145"/>
        <v>2840.6400000000003</v>
      </c>
      <c r="K1565" s="8">
        <f t="shared" si="146"/>
        <v>0.26719843479569572</v>
      </c>
      <c r="L1565" t="str">
        <f t="shared" si="149"/>
        <v>2023-04</v>
      </c>
      <c r="M1565">
        <f t="shared" si="147"/>
        <v>2840.6400000000003</v>
      </c>
    </row>
    <row r="1566" spans="1:13" x14ac:dyDescent="0.25">
      <c r="A1566" s="1">
        <v>44701</v>
      </c>
      <c r="B1566" t="s">
        <v>22</v>
      </c>
      <c r="C1566" t="s">
        <v>8</v>
      </c>
      <c r="D1566" t="s">
        <v>9</v>
      </c>
      <c r="E1566">
        <v>447.35</v>
      </c>
      <c r="F1566">
        <v>226.78</v>
      </c>
      <c r="G1566">
        <v>9</v>
      </c>
      <c r="H1566">
        <f t="shared" si="144"/>
        <v>4026.15</v>
      </c>
      <c r="I1566">
        <f t="shared" si="148"/>
        <v>2041.02</v>
      </c>
      <c r="J1566">
        <f t="shared" si="145"/>
        <v>1985.13</v>
      </c>
      <c r="K1566" s="8">
        <f t="shared" si="146"/>
        <v>0.4930591259640103</v>
      </c>
      <c r="L1566" t="str">
        <f t="shared" si="149"/>
        <v>2022-05</v>
      </c>
      <c r="M1566">
        <f t="shared" si="147"/>
        <v>1985.13</v>
      </c>
    </row>
    <row r="1567" spans="1:13" x14ac:dyDescent="0.25">
      <c r="A1567" s="1">
        <v>45545</v>
      </c>
      <c r="B1567" t="s">
        <v>14</v>
      </c>
      <c r="C1567" t="s">
        <v>15</v>
      </c>
      <c r="D1567" t="s">
        <v>13</v>
      </c>
      <c r="E1567">
        <v>690.03</v>
      </c>
      <c r="F1567">
        <v>527.38</v>
      </c>
      <c r="G1567">
        <v>1</v>
      </c>
      <c r="H1567">
        <f t="shared" si="144"/>
        <v>690.03</v>
      </c>
      <c r="I1567">
        <f t="shared" si="148"/>
        <v>527.38</v>
      </c>
      <c r="J1567">
        <f t="shared" si="145"/>
        <v>162.64999999999998</v>
      </c>
      <c r="K1567" s="8">
        <f t="shared" si="146"/>
        <v>0.23571438922945376</v>
      </c>
      <c r="L1567" t="str">
        <f t="shared" si="149"/>
        <v>2024-09</v>
      </c>
      <c r="M1567">
        <f t="shared" si="147"/>
        <v>162.64999999999998</v>
      </c>
    </row>
    <row r="1568" spans="1:13" x14ac:dyDescent="0.25">
      <c r="A1568" s="1">
        <v>45073</v>
      </c>
      <c r="B1568" t="s">
        <v>16</v>
      </c>
      <c r="C1568" t="s">
        <v>15</v>
      </c>
      <c r="D1568" t="s">
        <v>9</v>
      </c>
      <c r="E1568">
        <v>1942.75</v>
      </c>
      <c r="F1568">
        <v>1404.79</v>
      </c>
      <c r="G1568">
        <v>10</v>
      </c>
      <c r="H1568">
        <f t="shared" si="144"/>
        <v>19427.5</v>
      </c>
      <c r="I1568">
        <f t="shared" si="148"/>
        <v>14047.9</v>
      </c>
      <c r="J1568">
        <f t="shared" si="145"/>
        <v>5379.6</v>
      </c>
      <c r="K1568" s="8">
        <f t="shared" si="146"/>
        <v>0.27690644704671213</v>
      </c>
      <c r="L1568" t="str">
        <f t="shared" si="149"/>
        <v>2023-05</v>
      </c>
      <c r="M1568">
        <f t="shared" si="147"/>
        <v>5379.6</v>
      </c>
    </row>
    <row r="1569" spans="1:13" x14ac:dyDescent="0.25">
      <c r="A1569" s="1">
        <v>45509</v>
      </c>
      <c r="B1569" t="s">
        <v>24</v>
      </c>
      <c r="C1569" t="s">
        <v>20</v>
      </c>
      <c r="D1569" t="s">
        <v>9</v>
      </c>
      <c r="E1569">
        <v>336.06</v>
      </c>
      <c r="F1569">
        <v>294.54000000000002</v>
      </c>
      <c r="G1569">
        <v>5</v>
      </c>
      <c r="H1569">
        <f t="shared" si="144"/>
        <v>1680.3</v>
      </c>
      <c r="I1569">
        <f t="shared" si="148"/>
        <v>1472.7</v>
      </c>
      <c r="J1569">
        <f t="shared" si="145"/>
        <v>207.59999999999991</v>
      </c>
      <c r="K1569" s="8">
        <f t="shared" si="146"/>
        <v>0.12354936618460984</v>
      </c>
      <c r="L1569" t="str">
        <f t="shared" si="149"/>
        <v>2024-08</v>
      </c>
      <c r="M1569">
        <f t="shared" si="147"/>
        <v>207.59999999999991</v>
      </c>
    </row>
    <row r="1570" spans="1:13" x14ac:dyDescent="0.25">
      <c r="A1570" s="1">
        <v>45261</v>
      </c>
      <c r="B1570" t="s">
        <v>23</v>
      </c>
      <c r="C1570" t="s">
        <v>11</v>
      </c>
      <c r="D1570" t="s">
        <v>18</v>
      </c>
      <c r="E1570">
        <v>1326.12</v>
      </c>
      <c r="F1570">
        <v>765.92</v>
      </c>
      <c r="G1570">
        <v>2</v>
      </c>
      <c r="H1570">
        <f t="shared" si="144"/>
        <v>2652.24</v>
      </c>
      <c r="I1570">
        <f t="shared" si="148"/>
        <v>1531.84</v>
      </c>
      <c r="J1570">
        <f t="shared" si="145"/>
        <v>1120.3999999999999</v>
      </c>
      <c r="K1570" s="8">
        <f t="shared" si="146"/>
        <v>0.42243537538081016</v>
      </c>
      <c r="L1570" t="str">
        <f t="shared" si="149"/>
        <v>2023-12</v>
      </c>
      <c r="M1570">
        <f t="shared" si="147"/>
        <v>1120.3999999999999</v>
      </c>
    </row>
    <row r="1571" spans="1:13" x14ac:dyDescent="0.25">
      <c r="A1571" s="1">
        <v>45377</v>
      </c>
      <c r="B1571" t="s">
        <v>10</v>
      </c>
      <c r="C1571" t="s">
        <v>11</v>
      </c>
      <c r="D1571" t="s">
        <v>18</v>
      </c>
      <c r="E1571">
        <v>184.55</v>
      </c>
      <c r="F1571">
        <v>150.97999999999999</v>
      </c>
      <c r="G1571">
        <v>8</v>
      </c>
      <c r="H1571">
        <f t="shared" si="144"/>
        <v>1476.4</v>
      </c>
      <c r="I1571">
        <f t="shared" si="148"/>
        <v>1207.8399999999999</v>
      </c>
      <c r="J1571">
        <f t="shared" si="145"/>
        <v>268.56000000000017</v>
      </c>
      <c r="K1571" s="8">
        <f t="shared" si="146"/>
        <v>0.18190192359794105</v>
      </c>
      <c r="L1571" t="str">
        <f t="shared" si="149"/>
        <v>2024-03</v>
      </c>
      <c r="M1571">
        <f t="shared" si="147"/>
        <v>268.56000000000017</v>
      </c>
    </row>
    <row r="1572" spans="1:13" x14ac:dyDescent="0.25">
      <c r="A1572" s="1">
        <v>44625</v>
      </c>
      <c r="B1572" t="s">
        <v>23</v>
      </c>
      <c r="C1572" t="s">
        <v>11</v>
      </c>
      <c r="D1572" t="s">
        <v>17</v>
      </c>
      <c r="E1572">
        <v>369.48</v>
      </c>
      <c r="F1572">
        <v>222.85</v>
      </c>
      <c r="G1572">
        <v>7</v>
      </c>
      <c r="H1572">
        <f t="shared" si="144"/>
        <v>2586.36</v>
      </c>
      <c r="I1572">
        <f t="shared" si="148"/>
        <v>1559.95</v>
      </c>
      <c r="J1572">
        <f t="shared" si="145"/>
        <v>1026.4100000000001</v>
      </c>
      <c r="K1572" s="8">
        <f t="shared" si="146"/>
        <v>0.39685503951499407</v>
      </c>
      <c r="L1572" t="str">
        <f t="shared" si="149"/>
        <v>2022-03</v>
      </c>
      <c r="M1572">
        <f t="shared" si="147"/>
        <v>1026.4100000000001</v>
      </c>
    </row>
    <row r="1573" spans="1:13" x14ac:dyDescent="0.25">
      <c r="A1573" s="1">
        <v>45287</v>
      </c>
      <c r="B1573" t="s">
        <v>12</v>
      </c>
      <c r="C1573" t="s">
        <v>8</v>
      </c>
      <c r="D1573" t="s">
        <v>13</v>
      </c>
      <c r="E1573">
        <v>624.49</v>
      </c>
      <c r="F1573">
        <v>414.06</v>
      </c>
      <c r="G1573">
        <v>1</v>
      </c>
      <c r="H1573">
        <f t="shared" si="144"/>
        <v>624.49</v>
      </c>
      <c r="I1573">
        <f t="shared" si="148"/>
        <v>414.06</v>
      </c>
      <c r="J1573">
        <f t="shared" si="145"/>
        <v>210.43</v>
      </c>
      <c r="K1573" s="8">
        <f t="shared" si="146"/>
        <v>0.3369629617768099</v>
      </c>
      <c r="L1573" t="str">
        <f t="shared" si="149"/>
        <v>2023-12</v>
      </c>
      <c r="M1573">
        <f t="shared" si="147"/>
        <v>210.43</v>
      </c>
    </row>
    <row r="1574" spans="1:13" x14ac:dyDescent="0.25">
      <c r="A1574" s="1">
        <v>44865</v>
      </c>
      <c r="B1574" t="s">
        <v>16</v>
      </c>
      <c r="C1574" t="s">
        <v>15</v>
      </c>
      <c r="D1574" t="s">
        <v>18</v>
      </c>
      <c r="E1574">
        <v>904.03</v>
      </c>
      <c r="F1574">
        <v>753.77</v>
      </c>
      <c r="G1574">
        <v>8</v>
      </c>
      <c r="H1574">
        <f t="shared" si="144"/>
        <v>7232.24</v>
      </c>
      <c r="I1574">
        <f t="shared" si="148"/>
        <v>6030.16</v>
      </c>
      <c r="J1574">
        <f t="shared" si="145"/>
        <v>1202.08</v>
      </c>
      <c r="K1574" s="8">
        <f t="shared" si="146"/>
        <v>0.16621129829762285</v>
      </c>
      <c r="L1574" t="str">
        <f t="shared" si="149"/>
        <v>2022-10</v>
      </c>
      <c r="M1574">
        <f t="shared" si="147"/>
        <v>1202.08</v>
      </c>
    </row>
    <row r="1575" spans="1:13" x14ac:dyDescent="0.25">
      <c r="A1575" s="1">
        <v>45004</v>
      </c>
      <c r="B1575" t="s">
        <v>14</v>
      </c>
      <c r="C1575" t="s">
        <v>15</v>
      </c>
      <c r="D1575" t="s">
        <v>17</v>
      </c>
      <c r="E1575">
        <v>1807.47</v>
      </c>
      <c r="F1575">
        <v>961.6</v>
      </c>
      <c r="G1575">
        <v>9</v>
      </c>
      <c r="H1575">
        <f t="shared" si="144"/>
        <v>16267.23</v>
      </c>
      <c r="I1575">
        <f t="shared" si="148"/>
        <v>8654.4</v>
      </c>
      <c r="J1575">
        <f t="shared" si="145"/>
        <v>7612.83</v>
      </c>
      <c r="K1575" s="8">
        <f t="shared" si="146"/>
        <v>0.46798563738263982</v>
      </c>
      <c r="L1575" t="str">
        <f t="shared" si="149"/>
        <v>2023-03</v>
      </c>
      <c r="M1575">
        <f t="shared" si="147"/>
        <v>7612.83</v>
      </c>
    </row>
    <row r="1576" spans="1:13" x14ac:dyDescent="0.25">
      <c r="A1576" s="1">
        <v>44795</v>
      </c>
      <c r="B1576" t="s">
        <v>19</v>
      </c>
      <c r="C1576" t="s">
        <v>20</v>
      </c>
      <c r="D1576" t="s">
        <v>17</v>
      </c>
      <c r="E1576">
        <v>628.02</v>
      </c>
      <c r="F1576">
        <v>445.95</v>
      </c>
      <c r="G1576">
        <v>5</v>
      </c>
      <c r="H1576">
        <f t="shared" si="144"/>
        <v>3140.1</v>
      </c>
      <c r="I1576">
        <f t="shared" si="148"/>
        <v>2229.75</v>
      </c>
      <c r="J1576">
        <f t="shared" si="145"/>
        <v>910.34999999999991</v>
      </c>
      <c r="K1576" s="8">
        <f t="shared" si="146"/>
        <v>0.28991114932645456</v>
      </c>
      <c r="L1576" t="str">
        <f t="shared" si="149"/>
        <v>2022-08</v>
      </c>
      <c r="M1576">
        <f t="shared" si="147"/>
        <v>910.34999999999991</v>
      </c>
    </row>
    <row r="1577" spans="1:13" x14ac:dyDescent="0.25">
      <c r="A1577" s="1">
        <v>45341</v>
      </c>
      <c r="B1577" t="s">
        <v>14</v>
      </c>
      <c r="C1577" t="s">
        <v>15</v>
      </c>
      <c r="D1577" t="s">
        <v>18</v>
      </c>
      <c r="E1577">
        <v>1341.5</v>
      </c>
      <c r="F1577">
        <v>902.23</v>
      </c>
      <c r="G1577">
        <v>9</v>
      </c>
      <c r="H1577">
        <f t="shared" si="144"/>
        <v>12073.5</v>
      </c>
      <c r="I1577">
        <f t="shared" si="148"/>
        <v>8120.07</v>
      </c>
      <c r="J1577">
        <f t="shared" si="145"/>
        <v>3953.4300000000003</v>
      </c>
      <c r="K1577" s="8">
        <f t="shared" si="146"/>
        <v>0.32744688781215059</v>
      </c>
      <c r="L1577" t="str">
        <f t="shared" si="149"/>
        <v>2024-02</v>
      </c>
      <c r="M1577">
        <f t="shared" si="147"/>
        <v>3953.4300000000003</v>
      </c>
    </row>
    <row r="1578" spans="1:13" x14ac:dyDescent="0.25">
      <c r="A1578" s="1">
        <v>45338</v>
      </c>
      <c r="B1578" t="s">
        <v>16</v>
      </c>
      <c r="C1578" t="s">
        <v>15</v>
      </c>
      <c r="D1578" t="s">
        <v>9</v>
      </c>
      <c r="E1578">
        <v>1608.32</v>
      </c>
      <c r="F1578">
        <v>1250.02</v>
      </c>
      <c r="G1578">
        <v>2</v>
      </c>
      <c r="H1578">
        <f t="shared" si="144"/>
        <v>3216.64</v>
      </c>
      <c r="I1578">
        <f t="shared" si="148"/>
        <v>2500.04</v>
      </c>
      <c r="J1578">
        <f t="shared" si="145"/>
        <v>716.59999999999991</v>
      </c>
      <c r="K1578" s="8">
        <f t="shared" si="146"/>
        <v>0.22277904894548348</v>
      </c>
      <c r="L1578" t="str">
        <f t="shared" si="149"/>
        <v>2024-02</v>
      </c>
      <c r="M1578">
        <f t="shared" si="147"/>
        <v>716.59999999999991</v>
      </c>
    </row>
    <row r="1579" spans="1:13" x14ac:dyDescent="0.25">
      <c r="A1579" s="1">
        <v>44965</v>
      </c>
      <c r="B1579" t="s">
        <v>23</v>
      </c>
      <c r="C1579" t="s">
        <v>11</v>
      </c>
      <c r="D1579" t="s">
        <v>18</v>
      </c>
      <c r="E1579">
        <v>1945.21</v>
      </c>
      <c r="F1579">
        <v>1148.0999999999999</v>
      </c>
      <c r="G1579">
        <v>2</v>
      </c>
      <c r="H1579">
        <f t="shared" si="144"/>
        <v>3890.42</v>
      </c>
      <c r="I1579">
        <f t="shared" si="148"/>
        <v>2296.1999999999998</v>
      </c>
      <c r="J1579">
        <f t="shared" si="145"/>
        <v>1594.2200000000003</v>
      </c>
      <c r="K1579" s="8">
        <f t="shared" si="146"/>
        <v>0.4097809491006113</v>
      </c>
      <c r="L1579" t="str">
        <f t="shared" si="149"/>
        <v>2023-02</v>
      </c>
      <c r="M1579">
        <f t="shared" si="147"/>
        <v>1594.2200000000003</v>
      </c>
    </row>
    <row r="1580" spans="1:13" x14ac:dyDescent="0.25">
      <c r="A1580" s="1">
        <v>44976</v>
      </c>
      <c r="B1580" t="s">
        <v>19</v>
      </c>
      <c r="C1580" t="s">
        <v>20</v>
      </c>
      <c r="D1580" t="s">
        <v>13</v>
      </c>
      <c r="E1580">
        <v>1697.38</v>
      </c>
      <c r="F1580">
        <v>1227.42</v>
      </c>
      <c r="G1580">
        <v>3</v>
      </c>
      <c r="H1580">
        <f t="shared" si="144"/>
        <v>5092.1400000000003</v>
      </c>
      <c r="I1580">
        <f t="shared" si="148"/>
        <v>3682.26</v>
      </c>
      <c r="J1580">
        <f t="shared" si="145"/>
        <v>1409.88</v>
      </c>
      <c r="K1580" s="8">
        <f t="shared" si="146"/>
        <v>0.27687377016342835</v>
      </c>
      <c r="L1580" t="str">
        <f t="shared" si="149"/>
        <v>2023-02</v>
      </c>
      <c r="M1580">
        <f t="shared" si="147"/>
        <v>1409.88</v>
      </c>
    </row>
    <row r="1581" spans="1:13" x14ac:dyDescent="0.25">
      <c r="A1581" s="1">
        <v>45405</v>
      </c>
      <c r="B1581" t="s">
        <v>22</v>
      </c>
      <c r="C1581" t="s">
        <v>8</v>
      </c>
      <c r="D1581" t="s">
        <v>13</v>
      </c>
      <c r="E1581">
        <v>388.3</v>
      </c>
      <c r="F1581">
        <v>321.54000000000002</v>
      </c>
      <c r="G1581">
        <v>3</v>
      </c>
      <c r="H1581">
        <f t="shared" si="144"/>
        <v>1164.9000000000001</v>
      </c>
      <c r="I1581">
        <f t="shared" si="148"/>
        <v>964.62000000000012</v>
      </c>
      <c r="J1581">
        <f t="shared" si="145"/>
        <v>200.27999999999997</v>
      </c>
      <c r="K1581" s="8">
        <f t="shared" si="146"/>
        <v>0.17192892093741949</v>
      </c>
      <c r="L1581" t="str">
        <f t="shared" si="149"/>
        <v>2024-04</v>
      </c>
      <c r="M1581">
        <f t="shared" si="147"/>
        <v>200.27999999999997</v>
      </c>
    </row>
    <row r="1582" spans="1:13" x14ac:dyDescent="0.25">
      <c r="A1582" s="1">
        <v>45016</v>
      </c>
      <c r="B1582" t="s">
        <v>10</v>
      </c>
      <c r="C1582" t="s">
        <v>11</v>
      </c>
      <c r="D1582" t="s">
        <v>9</v>
      </c>
      <c r="E1582">
        <v>1591.53</v>
      </c>
      <c r="F1582">
        <v>1313.07</v>
      </c>
      <c r="G1582">
        <v>7</v>
      </c>
      <c r="H1582">
        <f t="shared" si="144"/>
        <v>11140.71</v>
      </c>
      <c r="I1582">
        <f t="shared" si="148"/>
        <v>9191.49</v>
      </c>
      <c r="J1582">
        <f t="shared" si="145"/>
        <v>1949.2199999999993</v>
      </c>
      <c r="K1582" s="8">
        <f t="shared" si="146"/>
        <v>0.17496371416184422</v>
      </c>
      <c r="L1582" t="str">
        <f t="shared" si="149"/>
        <v>2023-03</v>
      </c>
      <c r="M1582">
        <f t="shared" si="147"/>
        <v>1949.2199999999993</v>
      </c>
    </row>
    <row r="1583" spans="1:13" x14ac:dyDescent="0.25">
      <c r="A1583" s="1">
        <v>45609</v>
      </c>
      <c r="B1583" t="s">
        <v>12</v>
      </c>
      <c r="C1583" t="s">
        <v>8</v>
      </c>
      <c r="D1583" t="s">
        <v>13</v>
      </c>
      <c r="E1583">
        <v>463.16</v>
      </c>
      <c r="F1583">
        <v>400.39</v>
      </c>
      <c r="G1583">
        <v>4</v>
      </c>
      <c r="H1583">
        <f t="shared" si="144"/>
        <v>1852.64</v>
      </c>
      <c r="I1583">
        <f t="shared" si="148"/>
        <v>1601.56</v>
      </c>
      <c r="J1583">
        <f t="shared" si="145"/>
        <v>251.08000000000015</v>
      </c>
      <c r="K1583" s="8">
        <f t="shared" si="146"/>
        <v>0.13552552033854398</v>
      </c>
      <c r="L1583" t="str">
        <f t="shared" si="149"/>
        <v>2024-11</v>
      </c>
      <c r="M1583">
        <f t="shared" si="147"/>
        <v>251.08000000000015</v>
      </c>
    </row>
    <row r="1584" spans="1:13" x14ac:dyDescent="0.25">
      <c r="A1584" s="1">
        <v>45279</v>
      </c>
      <c r="B1584" t="s">
        <v>12</v>
      </c>
      <c r="C1584" t="s">
        <v>8</v>
      </c>
      <c r="D1584" t="s">
        <v>17</v>
      </c>
      <c r="E1584">
        <v>1555.38</v>
      </c>
      <c r="F1584">
        <v>1318.83</v>
      </c>
      <c r="G1584">
        <v>5</v>
      </c>
      <c r="H1584">
        <f t="shared" si="144"/>
        <v>7776.9000000000005</v>
      </c>
      <c r="I1584">
        <f t="shared" si="148"/>
        <v>6594.15</v>
      </c>
      <c r="J1584">
        <f t="shared" si="145"/>
        <v>1182.7500000000009</v>
      </c>
      <c r="K1584" s="8">
        <f t="shared" si="146"/>
        <v>0.15208502102380136</v>
      </c>
      <c r="L1584" t="str">
        <f t="shared" si="149"/>
        <v>2023-12</v>
      </c>
      <c r="M1584">
        <f t="shared" si="147"/>
        <v>1182.7500000000009</v>
      </c>
    </row>
    <row r="1585" spans="1:13" x14ac:dyDescent="0.25">
      <c r="A1585" s="1">
        <v>44998</v>
      </c>
      <c r="B1585" t="s">
        <v>14</v>
      </c>
      <c r="C1585" t="s">
        <v>15</v>
      </c>
      <c r="D1585" t="s">
        <v>13</v>
      </c>
      <c r="E1585">
        <v>693.47</v>
      </c>
      <c r="F1585">
        <v>358.16</v>
      </c>
      <c r="G1585">
        <v>1</v>
      </c>
      <c r="H1585">
        <f t="shared" si="144"/>
        <v>693.47</v>
      </c>
      <c r="I1585">
        <f t="shared" si="148"/>
        <v>358.16</v>
      </c>
      <c r="J1585">
        <f t="shared" si="145"/>
        <v>335.31</v>
      </c>
      <c r="K1585" s="8">
        <f t="shared" si="146"/>
        <v>0.48352488211458317</v>
      </c>
      <c r="L1585" t="str">
        <f t="shared" si="149"/>
        <v>2023-03</v>
      </c>
      <c r="M1585">
        <f t="shared" si="147"/>
        <v>335.31</v>
      </c>
    </row>
    <row r="1586" spans="1:13" x14ac:dyDescent="0.25">
      <c r="A1586" s="1">
        <v>45035</v>
      </c>
      <c r="B1586" t="s">
        <v>19</v>
      </c>
      <c r="C1586" t="s">
        <v>20</v>
      </c>
      <c r="D1586" t="s">
        <v>9</v>
      </c>
      <c r="E1586">
        <v>370.16</v>
      </c>
      <c r="F1586">
        <v>216.94</v>
      </c>
      <c r="G1586">
        <v>2</v>
      </c>
      <c r="H1586">
        <f t="shared" si="144"/>
        <v>740.32</v>
      </c>
      <c r="I1586">
        <f t="shared" si="148"/>
        <v>433.88</v>
      </c>
      <c r="J1586">
        <f t="shared" si="145"/>
        <v>306.44000000000005</v>
      </c>
      <c r="K1586" s="8">
        <f t="shared" si="146"/>
        <v>0.41392911173546582</v>
      </c>
      <c r="L1586" t="str">
        <f t="shared" si="149"/>
        <v>2023-04</v>
      </c>
      <c r="M1586">
        <f t="shared" si="147"/>
        <v>306.44000000000005</v>
      </c>
    </row>
    <row r="1587" spans="1:13" x14ac:dyDescent="0.25">
      <c r="A1587" s="1">
        <v>44759</v>
      </c>
      <c r="B1587" t="s">
        <v>7</v>
      </c>
      <c r="C1587" t="s">
        <v>8</v>
      </c>
      <c r="D1587" t="s">
        <v>17</v>
      </c>
      <c r="E1587">
        <v>1915.76</v>
      </c>
      <c r="F1587">
        <v>1131.58</v>
      </c>
      <c r="G1587">
        <v>3</v>
      </c>
      <c r="H1587">
        <f t="shared" si="144"/>
        <v>5747.28</v>
      </c>
      <c r="I1587">
        <f t="shared" si="148"/>
        <v>3394.74</v>
      </c>
      <c r="J1587">
        <f t="shared" si="145"/>
        <v>2352.54</v>
      </c>
      <c r="K1587" s="8">
        <f t="shared" si="146"/>
        <v>0.40933102267507415</v>
      </c>
      <c r="L1587" t="str">
        <f t="shared" si="149"/>
        <v>2022-07</v>
      </c>
      <c r="M1587">
        <f t="shared" si="147"/>
        <v>2352.54</v>
      </c>
    </row>
    <row r="1588" spans="1:13" x14ac:dyDescent="0.25">
      <c r="A1588" s="1">
        <v>44723</v>
      </c>
      <c r="B1588" t="s">
        <v>19</v>
      </c>
      <c r="C1588" t="s">
        <v>20</v>
      </c>
      <c r="D1588" t="s">
        <v>18</v>
      </c>
      <c r="E1588">
        <v>1885.14</v>
      </c>
      <c r="F1588">
        <v>1658.38</v>
      </c>
      <c r="G1588">
        <v>2</v>
      </c>
      <c r="H1588">
        <f t="shared" si="144"/>
        <v>3770.28</v>
      </c>
      <c r="I1588">
        <f t="shared" si="148"/>
        <v>3316.76</v>
      </c>
      <c r="J1588">
        <f t="shared" si="145"/>
        <v>453.52</v>
      </c>
      <c r="K1588" s="8">
        <f t="shared" si="146"/>
        <v>0.12028814836033397</v>
      </c>
      <c r="L1588" t="str">
        <f t="shared" si="149"/>
        <v>2022-06</v>
      </c>
      <c r="M1588">
        <f t="shared" si="147"/>
        <v>453.52</v>
      </c>
    </row>
    <row r="1589" spans="1:13" x14ac:dyDescent="0.25">
      <c r="A1589" s="1">
        <v>44864</v>
      </c>
      <c r="B1589" t="s">
        <v>21</v>
      </c>
      <c r="C1589" t="s">
        <v>20</v>
      </c>
      <c r="D1589" t="s">
        <v>9</v>
      </c>
      <c r="E1589">
        <v>1194.67</v>
      </c>
      <c r="F1589">
        <v>919.83</v>
      </c>
      <c r="G1589">
        <v>7</v>
      </c>
      <c r="H1589">
        <f t="shared" si="144"/>
        <v>8362.69</v>
      </c>
      <c r="I1589">
        <f t="shared" si="148"/>
        <v>6438.81</v>
      </c>
      <c r="J1589">
        <f t="shared" si="145"/>
        <v>1923.88</v>
      </c>
      <c r="K1589" s="8">
        <f t="shared" si="146"/>
        <v>0.23005516167644621</v>
      </c>
      <c r="L1589" t="str">
        <f t="shared" si="149"/>
        <v>2022-10</v>
      </c>
      <c r="M1589">
        <f t="shared" si="147"/>
        <v>1923.88</v>
      </c>
    </row>
    <row r="1590" spans="1:13" x14ac:dyDescent="0.25">
      <c r="A1590" s="1">
        <v>45447</v>
      </c>
      <c r="B1590" t="s">
        <v>10</v>
      </c>
      <c r="C1590" t="s">
        <v>11</v>
      </c>
      <c r="D1590" t="s">
        <v>9</v>
      </c>
      <c r="E1590">
        <v>1149.03</v>
      </c>
      <c r="F1590">
        <v>715.52</v>
      </c>
      <c r="G1590">
        <v>7</v>
      </c>
      <c r="H1590">
        <f t="shared" si="144"/>
        <v>8043.21</v>
      </c>
      <c r="I1590">
        <f t="shared" si="148"/>
        <v>5008.6399999999994</v>
      </c>
      <c r="J1590">
        <f t="shared" si="145"/>
        <v>3034.5700000000006</v>
      </c>
      <c r="K1590" s="8">
        <f t="shared" si="146"/>
        <v>0.37728344777769085</v>
      </c>
      <c r="L1590" t="str">
        <f t="shared" si="149"/>
        <v>2024-06</v>
      </c>
      <c r="M1590">
        <f t="shared" si="147"/>
        <v>3034.5700000000006</v>
      </c>
    </row>
    <row r="1591" spans="1:13" x14ac:dyDescent="0.25">
      <c r="A1591" s="1">
        <v>44875</v>
      </c>
      <c r="B1591" t="s">
        <v>14</v>
      </c>
      <c r="C1591" t="s">
        <v>15</v>
      </c>
      <c r="D1591" t="s">
        <v>17</v>
      </c>
      <c r="E1591">
        <v>807.16</v>
      </c>
      <c r="F1591">
        <v>470.29</v>
      </c>
      <c r="G1591">
        <v>7</v>
      </c>
      <c r="H1591">
        <f t="shared" si="144"/>
        <v>5650.12</v>
      </c>
      <c r="I1591">
        <f t="shared" si="148"/>
        <v>3292.03</v>
      </c>
      <c r="J1591">
        <f t="shared" si="145"/>
        <v>2358.0899999999997</v>
      </c>
      <c r="K1591" s="8">
        <f t="shared" si="146"/>
        <v>0.41735219782942656</v>
      </c>
      <c r="L1591" t="str">
        <f t="shared" si="149"/>
        <v>2022-11</v>
      </c>
      <c r="M1591">
        <f t="shared" si="147"/>
        <v>2358.0899999999997</v>
      </c>
    </row>
    <row r="1592" spans="1:13" x14ac:dyDescent="0.25">
      <c r="A1592" s="1">
        <v>44881</v>
      </c>
      <c r="B1592" t="s">
        <v>14</v>
      </c>
      <c r="C1592" t="s">
        <v>15</v>
      </c>
      <c r="D1592" t="s">
        <v>17</v>
      </c>
      <c r="E1592">
        <v>1388.77</v>
      </c>
      <c r="F1592">
        <v>828.47</v>
      </c>
      <c r="G1592">
        <v>9</v>
      </c>
      <c r="H1592">
        <f t="shared" si="144"/>
        <v>12498.93</v>
      </c>
      <c r="I1592">
        <f t="shared" si="148"/>
        <v>7456.2300000000005</v>
      </c>
      <c r="J1592">
        <f t="shared" si="145"/>
        <v>5042.7</v>
      </c>
      <c r="K1592" s="8">
        <f t="shared" si="146"/>
        <v>0.40345053536582731</v>
      </c>
      <c r="L1592" t="str">
        <f t="shared" si="149"/>
        <v>2022-11</v>
      </c>
      <c r="M1592">
        <f t="shared" si="147"/>
        <v>5042.7</v>
      </c>
    </row>
    <row r="1593" spans="1:13" x14ac:dyDescent="0.25">
      <c r="A1593" s="1">
        <v>45566</v>
      </c>
      <c r="B1593" t="s">
        <v>21</v>
      </c>
      <c r="C1593" t="s">
        <v>20</v>
      </c>
      <c r="D1593" t="s">
        <v>17</v>
      </c>
      <c r="E1593">
        <v>21.24</v>
      </c>
      <c r="F1593">
        <v>10.98</v>
      </c>
      <c r="G1593">
        <v>5</v>
      </c>
      <c r="H1593">
        <f t="shared" si="144"/>
        <v>106.19999999999999</v>
      </c>
      <c r="I1593">
        <f t="shared" si="148"/>
        <v>54.900000000000006</v>
      </c>
      <c r="J1593">
        <f t="shared" si="145"/>
        <v>51.299999999999983</v>
      </c>
      <c r="K1593" s="8">
        <f t="shared" si="146"/>
        <v>0.483050847457627</v>
      </c>
      <c r="L1593" t="str">
        <f t="shared" si="149"/>
        <v>2024-10</v>
      </c>
      <c r="M1593">
        <f t="shared" si="147"/>
        <v>51.299999999999983</v>
      </c>
    </row>
    <row r="1594" spans="1:13" x14ac:dyDescent="0.25">
      <c r="A1594" s="1">
        <v>44805</v>
      </c>
      <c r="B1594" t="s">
        <v>19</v>
      </c>
      <c r="C1594" t="s">
        <v>20</v>
      </c>
      <c r="D1594" t="s">
        <v>9</v>
      </c>
      <c r="E1594">
        <v>327.27999999999997</v>
      </c>
      <c r="F1594">
        <v>180.58</v>
      </c>
      <c r="G1594">
        <v>9</v>
      </c>
      <c r="H1594">
        <f t="shared" si="144"/>
        <v>2945.5199999999995</v>
      </c>
      <c r="I1594">
        <f t="shared" si="148"/>
        <v>1625.22</v>
      </c>
      <c r="J1594">
        <f t="shared" si="145"/>
        <v>1320.2999999999995</v>
      </c>
      <c r="K1594" s="8">
        <f t="shared" si="146"/>
        <v>0.44824003911024191</v>
      </c>
      <c r="L1594" t="str">
        <f t="shared" si="149"/>
        <v>2022-09</v>
      </c>
      <c r="M1594">
        <f t="shared" si="147"/>
        <v>1320.2999999999995</v>
      </c>
    </row>
    <row r="1595" spans="1:13" x14ac:dyDescent="0.25">
      <c r="A1595" s="1">
        <v>44648</v>
      </c>
      <c r="B1595" t="s">
        <v>24</v>
      </c>
      <c r="C1595" t="s">
        <v>20</v>
      </c>
      <c r="D1595" t="s">
        <v>18</v>
      </c>
      <c r="E1595">
        <v>900.2</v>
      </c>
      <c r="F1595">
        <v>596.09</v>
      </c>
      <c r="G1595">
        <v>2</v>
      </c>
      <c r="H1595">
        <f t="shared" si="144"/>
        <v>1800.4</v>
      </c>
      <c r="I1595">
        <f t="shared" si="148"/>
        <v>1192.18</v>
      </c>
      <c r="J1595">
        <f t="shared" si="145"/>
        <v>608.22</v>
      </c>
      <c r="K1595" s="8">
        <f t="shared" si="146"/>
        <v>0.33782492779382362</v>
      </c>
      <c r="L1595" t="str">
        <f t="shared" si="149"/>
        <v>2022-03</v>
      </c>
      <c r="M1595">
        <f t="shared" si="147"/>
        <v>608.22</v>
      </c>
    </row>
    <row r="1596" spans="1:13" x14ac:dyDescent="0.25">
      <c r="A1596" s="1">
        <v>45267</v>
      </c>
      <c r="B1596" t="s">
        <v>16</v>
      </c>
      <c r="C1596" t="s">
        <v>15</v>
      </c>
      <c r="D1596" t="s">
        <v>18</v>
      </c>
      <c r="E1596">
        <v>147.59</v>
      </c>
      <c r="F1596">
        <v>81.31</v>
      </c>
      <c r="G1596">
        <v>2</v>
      </c>
      <c r="H1596">
        <f t="shared" si="144"/>
        <v>295.18</v>
      </c>
      <c r="I1596">
        <f t="shared" si="148"/>
        <v>162.62</v>
      </c>
      <c r="J1596">
        <f t="shared" si="145"/>
        <v>132.56</v>
      </c>
      <c r="K1596" s="8">
        <f t="shared" si="146"/>
        <v>0.44908191611897824</v>
      </c>
      <c r="L1596" t="str">
        <f t="shared" si="149"/>
        <v>2023-12</v>
      </c>
      <c r="M1596">
        <f t="shared" si="147"/>
        <v>132.56</v>
      </c>
    </row>
    <row r="1597" spans="1:13" x14ac:dyDescent="0.25">
      <c r="A1597" s="1">
        <v>45387</v>
      </c>
      <c r="B1597" t="s">
        <v>24</v>
      </c>
      <c r="C1597" t="s">
        <v>20</v>
      </c>
      <c r="D1597" t="s">
        <v>18</v>
      </c>
      <c r="E1597">
        <v>259.44</v>
      </c>
      <c r="F1597">
        <v>204.39</v>
      </c>
      <c r="G1597">
        <v>6</v>
      </c>
      <c r="H1597">
        <f t="shared" si="144"/>
        <v>1556.6399999999999</v>
      </c>
      <c r="I1597">
        <f t="shared" si="148"/>
        <v>1226.3399999999999</v>
      </c>
      <c r="J1597">
        <f t="shared" si="145"/>
        <v>330.29999999999995</v>
      </c>
      <c r="K1597" s="8">
        <f t="shared" si="146"/>
        <v>0.21218778908418129</v>
      </c>
      <c r="L1597" t="str">
        <f t="shared" si="149"/>
        <v>2024-04</v>
      </c>
      <c r="M1597">
        <f t="shared" si="147"/>
        <v>330.29999999999995</v>
      </c>
    </row>
    <row r="1598" spans="1:13" x14ac:dyDescent="0.25">
      <c r="A1598" s="1">
        <v>45218</v>
      </c>
      <c r="B1598" t="s">
        <v>25</v>
      </c>
      <c r="C1598" t="s">
        <v>15</v>
      </c>
      <c r="D1598" t="s">
        <v>13</v>
      </c>
      <c r="E1598">
        <v>1663.78</v>
      </c>
      <c r="F1598">
        <v>1118.95</v>
      </c>
      <c r="G1598">
        <v>8</v>
      </c>
      <c r="H1598">
        <f t="shared" si="144"/>
        <v>13310.24</v>
      </c>
      <c r="I1598">
        <f t="shared" si="148"/>
        <v>8951.6</v>
      </c>
      <c r="J1598">
        <f t="shared" si="145"/>
        <v>4358.6399999999994</v>
      </c>
      <c r="K1598" s="8">
        <f t="shared" si="146"/>
        <v>0.32746516967387512</v>
      </c>
      <c r="L1598" t="str">
        <f t="shared" si="149"/>
        <v>2023-10</v>
      </c>
      <c r="M1598">
        <f t="shared" si="147"/>
        <v>4358.6399999999994</v>
      </c>
    </row>
    <row r="1599" spans="1:13" x14ac:dyDescent="0.25">
      <c r="A1599" s="1">
        <v>45083</v>
      </c>
      <c r="B1599" t="s">
        <v>10</v>
      </c>
      <c r="C1599" t="s">
        <v>11</v>
      </c>
      <c r="D1599" t="s">
        <v>17</v>
      </c>
      <c r="E1599">
        <v>879.13</v>
      </c>
      <c r="F1599">
        <v>505.02</v>
      </c>
      <c r="G1599">
        <v>4</v>
      </c>
      <c r="H1599">
        <f t="shared" si="144"/>
        <v>3516.52</v>
      </c>
      <c r="I1599">
        <f t="shared" si="148"/>
        <v>2020.08</v>
      </c>
      <c r="J1599">
        <f t="shared" si="145"/>
        <v>1496.44</v>
      </c>
      <c r="K1599" s="8">
        <f t="shared" si="146"/>
        <v>0.42554570996325913</v>
      </c>
      <c r="L1599" t="str">
        <f t="shared" si="149"/>
        <v>2023-06</v>
      </c>
      <c r="M1599">
        <f t="shared" si="147"/>
        <v>1496.44</v>
      </c>
    </row>
    <row r="1600" spans="1:13" x14ac:dyDescent="0.25">
      <c r="A1600" s="1">
        <v>45083</v>
      </c>
      <c r="B1600" t="s">
        <v>23</v>
      </c>
      <c r="C1600" t="s">
        <v>11</v>
      </c>
      <c r="D1600" t="s">
        <v>9</v>
      </c>
      <c r="E1600">
        <v>1804.16</v>
      </c>
      <c r="F1600">
        <v>1081.47</v>
      </c>
      <c r="G1600">
        <v>9</v>
      </c>
      <c r="H1600">
        <f t="shared" si="144"/>
        <v>16237.44</v>
      </c>
      <c r="I1600">
        <f t="shared" si="148"/>
        <v>9733.23</v>
      </c>
      <c r="J1600">
        <f t="shared" si="145"/>
        <v>6504.2100000000009</v>
      </c>
      <c r="K1600" s="8">
        <f t="shared" si="146"/>
        <v>0.40056868570415044</v>
      </c>
      <c r="L1600" t="str">
        <f t="shared" si="149"/>
        <v>2023-06</v>
      </c>
      <c r="M1600">
        <f t="shared" si="147"/>
        <v>6504.2100000000009</v>
      </c>
    </row>
    <row r="1601" spans="1:13" x14ac:dyDescent="0.25">
      <c r="A1601" s="1">
        <v>44671</v>
      </c>
      <c r="B1601" t="s">
        <v>16</v>
      </c>
      <c r="C1601" t="s">
        <v>15</v>
      </c>
      <c r="D1601" t="s">
        <v>18</v>
      </c>
      <c r="E1601">
        <v>322.22000000000003</v>
      </c>
      <c r="F1601">
        <v>170.51</v>
      </c>
      <c r="G1601">
        <v>6</v>
      </c>
      <c r="H1601">
        <f t="shared" si="144"/>
        <v>1933.3200000000002</v>
      </c>
      <c r="I1601">
        <f t="shared" si="148"/>
        <v>1023.06</v>
      </c>
      <c r="J1601">
        <f t="shared" si="145"/>
        <v>910.26000000000022</v>
      </c>
      <c r="K1601" s="8">
        <f t="shared" si="146"/>
        <v>0.47082738501644844</v>
      </c>
      <c r="L1601" t="str">
        <f t="shared" si="149"/>
        <v>2022-04</v>
      </c>
      <c r="M1601">
        <f t="shared" si="147"/>
        <v>910.26000000000022</v>
      </c>
    </row>
    <row r="1602" spans="1:13" x14ac:dyDescent="0.25">
      <c r="A1602" s="1">
        <v>44605</v>
      </c>
      <c r="B1602" t="s">
        <v>12</v>
      </c>
      <c r="C1602" t="s">
        <v>8</v>
      </c>
      <c r="D1602" t="s">
        <v>9</v>
      </c>
      <c r="E1602">
        <v>1562.52</v>
      </c>
      <c r="F1602">
        <v>802.07</v>
      </c>
      <c r="G1602">
        <v>5</v>
      </c>
      <c r="H1602">
        <f t="shared" si="144"/>
        <v>7812.6</v>
      </c>
      <c r="I1602">
        <f t="shared" si="148"/>
        <v>4010.3500000000004</v>
      </c>
      <c r="J1602">
        <f t="shared" si="145"/>
        <v>3802.25</v>
      </c>
      <c r="K1602" s="8">
        <f t="shared" si="146"/>
        <v>0.48668177047333794</v>
      </c>
      <c r="L1602" t="str">
        <f t="shared" si="149"/>
        <v>2022-02</v>
      </c>
      <c r="M1602">
        <f t="shared" si="147"/>
        <v>3802.25</v>
      </c>
    </row>
    <row r="1603" spans="1:13" x14ac:dyDescent="0.25">
      <c r="A1603" s="1">
        <v>45129</v>
      </c>
      <c r="B1603" t="s">
        <v>10</v>
      </c>
      <c r="C1603" t="s">
        <v>11</v>
      </c>
      <c r="D1603" t="s">
        <v>13</v>
      </c>
      <c r="E1603">
        <v>504.29</v>
      </c>
      <c r="F1603">
        <v>377.89</v>
      </c>
      <c r="G1603">
        <v>2</v>
      </c>
      <c r="H1603">
        <f t="shared" ref="H1603:H1666" si="150">E1603*G1603</f>
        <v>1008.58</v>
      </c>
      <c r="I1603">
        <f t="shared" si="148"/>
        <v>755.78</v>
      </c>
      <c r="J1603">
        <f t="shared" ref="J1603:J1666" si="151">H1603-I1603</f>
        <v>252.80000000000007</v>
      </c>
      <c r="K1603" s="8">
        <f t="shared" ref="K1603:K1666" si="152">(H1603-I1603)/H1603</f>
        <v>0.25064942790854472</v>
      </c>
      <c r="L1603" t="str">
        <f t="shared" si="149"/>
        <v>2023-07</v>
      </c>
      <c r="M1603">
        <f t="shared" ref="M1603:M1666" si="153">H1603-I1603</f>
        <v>252.80000000000007</v>
      </c>
    </row>
    <row r="1604" spans="1:13" x14ac:dyDescent="0.25">
      <c r="A1604" s="1">
        <v>45486</v>
      </c>
      <c r="B1604" t="s">
        <v>19</v>
      </c>
      <c r="C1604" t="s">
        <v>20</v>
      </c>
      <c r="D1604" t="s">
        <v>9</v>
      </c>
      <c r="E1604">
        <v>378.01</v>
      </c>
      <c r="F1604">
        <v>286.54000000000002</v>
      </c>
      <c r="G1604">
        <v>8</v>
      </c>
      <c r="H1604">
        <f t="shared" si="150"/>
        <v>3024.08</v>
      </c>
      <c r="I1604">
        <f t="shared" ref="I1604:I1667" si="154">F1604*G1604</f>
        <v>2292.3200000000002</v>
      </c>
      <c r="J1604">
        <f t="shared" si="151"/>
        <v>731.75999999999976</v>
      </c>
      <c r="K1604" s="8">
        <f t="shared" si="152"/>
        <v>0.24197772545699842</v>
      </c>
      <c r="L1604" t="str">
        <f t="shared" ref="L1604:L1667" si="155">TEXT(A1604,"rrrr-mm")</f>
        <v>2024-07</v>
      </c>
      <c r="M1604">
        <f t="shared" si="153"/>
        <v>731.75999999999976</v>
      </c>
    </row>
    <row r="1605" spans="1:13" x14ac:dyDescent="0.25">
      <c r="A1605" s="1">
        <v>45578</v>
      </c>
      <c r="B1605" t="s">
        <v>22</v>
      </c>
      <c r="C1605" t="s">
        <v>8</v>
      </c>
      <c r="D1605" t="s">
        <v>18</v>
      </c>
      <c r="E1605">
        <v>1461.31</v>
      </c>
      <c r="F1605">
        <v>1261.07</v>
      </c>
      <c r="G1605">
        <v>8</v>
      </c>
      <c r="H1605">
        <f t="shared" si="150"/>
        <v>11690.48</v>
      </c>
      <c r="I1605">
        <f t="shared" si="154"/>
        <v>10088.56</v>
      </c>
      <c r="J1605">
        <f t="shared" si="151"/>
        <v>1601.92</v>
      </c>
      <c r="K1605" s="8">
        <f t="shared" si="152"/>
        <v>0.13702773538811067</v>
      </c>
      <c r="L1605" t="str">
        <f t="shared" si="155"/>
        <v>2024-10</v>
      </c>
      <c r="M1605">
        <f t="shared" si="153"/>
        <v>1601.92</v>
      </c>
    </row>
    <row r="1606" spans="1:13" x14ac:dyDescent="0.25">
      <c r="A1606" s="1">
        <v>45592</v>
      </c>
      <c r="B1606" t="s">
        <v>21</v>
      </c>
      <c r="C1606" t="s">
        <v>20</v>
      </c>
      <c r="D1606" t="s">
        <v>17</v>
      </c>
      <c r="E1606">
        <v>712.09</v>
      </c>
      <c r="F1606">
        <v>552.78</v>
      </c>
      <c r="G1606">
        <v>10</v>
      </c>
      <c r="H1606">
        <f t="shared" si="150"/>
        <v>7120.9000000000005</v>
      </c>
      <c r="I1606">
        <f t="shared" si="154"/>
        <v>5527.7999999999993</v>
      </c>
      <c r="J1606">
        <f t="shared" si="151"/>
        <v>1593.1000000000013</v>
      </c>
      <c r="K1606" s="8">
        <f t="shared" si="152"/>
        <v>0.22372172056902936</v>
      </c>
      <c r="L1606" t="str">
        <f t="shared" si="155"/>
        <v>2024-10</v>
      </c>
      <c r="M1606">
        <f t="shared" si="153"/>
        <v>1593.1000000000013</v>
      </c>
    </row>
    <row r="1607" spans="1:13" x14ac:dyDescent="0.25">
      <c r="A1607" s="1">
        <v>45657</v>
      </c>
      <c r="B1607" t="s">
        <v>24</v>
      </c>
      <c r="C1607" t="s">
        <v>20</v>
      </c>
      <c r="D1607" t="s">
        <v>17</v>
      </c>
      <c r="E1607">
        <v>1419.7</v>
      </c>
      <c r="F1607">
        <v>776.01</v>
      </c>
      <c r="G1607">
        <v>2</v>
      </c>
      <c r="H1607">
        <f t="shared" si="150"/>
        <v>2839.4</v>
      </c>
      <c r="I1607">
        <f t="shared" si="154"/>
        <v>1552.02</v>
      </c>
      <c r="J1607">
        <f t="shared" si="151"/>
        <v>1287.3800000000001</v>
      </c>
      <c r="K1607" s="8">
        <f t="shared" si="152"/>
        <v>0.45339860533915616</v>
      </c>
      <c r="L1607" t="str">
        <f t="shared" si="155"/>
        <v>2024-12</v>
      </c>
      <c r="M1607">
        <f t="shared" si="153"/>
        <v>1287.3800000000001</v>
      </c>
    </row>
    <row r="1608" spans="1:13" x14ac:dyDescent="0.25">
      <c r="A1608" s="1">
        <v>44894</v>
      </c>
      <c r="B1608" t="s">
        <v>23</v>
      </c>
      <c r="C1608" t="s">
        <v>11</v>
      </c>
      <c r="D1608" t="s">
        <v>9</v>
      </c>
      <c r="E1608">
        <v>151.35</v>
      </c>
      <c r="F1608">
        <v>108.65</v>
      </c>
      <c r="G1608">
        <v>3</v>
      </c>
      <c r="H1608">
        <f t="shared" si="150"/>
        <v>454.04999999999995</v>
      </c>
      <c r="I1608">
        <f t="shared" si="154"/>
        <v>325.95000000000005</v>
      </c>
      <c r="J1608">
        <f t="shared" si="151"/>
        <v>128.09999999999991</v>
      </c>
      <c r="K1608" s="8">
        <f t="shared" si="152"/>
        <v>0.28212751899570515</v>
      </c>
      <c r="L1608" t="str">
        <f t="shared" si="155"/>
        <v>2022-11</v>
      </c>
      <c r="M1608">
        <f t="shared" si="153"/>
        <v>128.09999999999991</v>
      </c>
    </row>
    <row r="1609" spans="1:13" x14ac:dyDescent="0.25">
      <c r="A1609" s="1">
        <v>44681</v>
      </c>
      <c r="B1609" t="s">
        <v>22</v>
      </c>
      <c r="C1609" t="s">
        <v>8</v>
      </c>
      <c r="D1609" t="s">
        <v>17</v>
      </c>
      <c r="E1609">
        <v>1594.09</v>
      </c>
      <c r="F1609">
        <v>1326.35</v>
      </c>
      <c r="G1609">
        <v>9</v>
      </c>
      <c r="H1609">
        <f t="shared" si="150"/>
        <v>14346.81</v>
      </c>
      <c r="I1609">
        <f t="shared" si="154"/>
        <v>11937.15</v>
      </c>
      <c r="J1609">
        <f t="shared" si="151"/>
        <v>2409.66</v>
      </c>
      <c r="K1609" s="8">
        <f t="shared" si="152"/>
        <v>0.16795789447270856</v>
      </c>
      <c r="L1609" t="str">
        <f t="shared" si="155"/>
        <v>2022-04</v>
      </c>
      <c r="M1609">
        <f t="shared" si="153"/>
        <v>2409.66</v>
      </c>
    </row>
    <row r="1610" spans="1:13" x14ac:dyDescent="0.25">
      <c r="A1610" s="1">
        <v>45224</v>
      </c>
      <c r="B1610" t="s">
        <v>12</v>
      </c>
      <c r="C1610" t="s">
        <v>8</v>
      </c>
      <c r="D1610" t="s">
        <v>18</v>
      </c>
      <c r="E1610">
        <v>306.27999999999997</v>
      </c>
      <c r="F1610">
        <v>251.68</v>
      </c>
      <c r="G1610">
        <v>2</v>
      </c>
      <c r="H1610">
        <f t="shared" si="150"/>
        <v>612.55999999999995</v>
      </c>
      <c r="I1610">
        <f t="shared" si="154"/>
        <v>503.36</v>
      </c>
      <c r="J1610">
        <f t="shared" si="151"/>
        <v>109.19999999999993</v>
      </c>
      <c r="K1610" s="8">
        <f t="shared" si="152"/>
        <v>0.17826825127334456</v>
      </c>
      <c r="L1610" t="str">
        <f t="shared" si="155"/>
        <v>2023-10</v>
      </c>
      <c r="M1610">
        <f t="shared" si="153"/>
        <v>109.19999999999993</v>
      </c>
    </row>
    <row r="1611" spans="1:13" x14ac:dyDescent="0.25">
      <c r="A1611" s="1">
        <v>44678</v>
      </c>
      <c r="B1611" t="s">
        <v>19</v>
      </c>
      <c r="C1611" t="s">
        <v>20</v>
      </c>
      <c r="D1611" t="s">
        <v>17</v>
      </c>
      <c r="E1611">
        <v>415.22</v>
      </c>
      <c r="F1611">
        <v>305.02</v>
      </c>
      <c r="G1611">
        <v>10</v>
      </c>
      <c r="H1611">
        <f t="shared" si="150"/>
        <v>4152.2000000000007</v>
      </c>
      <c r="I1611">
        <f t="shared" si="154"/>
        <v>3050.2</v>
      </c>
      <c r="J1611">
        <f t="shared" si="151"/>
        <v>1102.0000000000009</v>
      </c>
      <c r="K1611" s="8">
        <f t="shared" si="152"/>
        <v>0.26540147391744151</v>
      </c>
      <c r="L1611" t="str">
        <f t="shared" si="155"/>
        <v>2022-04</v>
      </c>
      <c r="M1611">
        <f t="shared" si="153"/>
        <v>1102.0000000000009</v>
      </c>
    </row>
    <row r="1612" spans="1:13" x14ac:dyDescent="0.25">
      <c r="A1612" s="1">
        <v>44966</v>
      </c>
      <c r="B1612" t="s">
        <v>7</v>
      </c>
      <c r="C1612" t="s">
        <v>8</v>
      </c>
      <c r="D1612" t="s">
        <v>13</v>
      </c>
      <c r="E1612">
        <v>1746.78</v>
      </c>
      <c r="F1612">
        <v>1314.21</v>
      </c>
      <c r="G1612">
        <v>6</v>
      </c>
      <c r="H1612">
        <f t="shared" si="150"/>
        <v>10480.68</v>
      </c>
      <c r="I1612">
        <f t="shared" si="154"/>
        <v>7885.26</v>
      </c>
      <c r="J1612">
        <f t="shared" si="151"/>
        <v>2595.42</v>
      </c>
      <c r="K1612" s="8">
        <f t="shared" si="152"/>
        <v>0.24763851200494624</v>
      </c>
      <c r="L1612" t="str">
        <f t="shared" si="155"/>
        <v>2023-02</v>
      </c>
      <c r="M1612">
        <f t="shared" si="153"/>
        <v>2595.42</v>
      </c>
    </row>
    <row r="1613" spans="1:13" x14ac:dyDescent="0.25">
      <c r="A1613" s="1">
        <v>44699</v>
      </c>
      <c r="B1613" t="s">
        <v>23</v>
      </c>
      <c r="C1613" t="s">
        <v>11</v>
      </c>
      <c r="D1613" t="s">
        <v>13</v>
      </c>
      <c r="E1613">
        <v>65.27</v>
      </c>
      <c r="F1613">
        <v>48.59</v>
      </c>
      <c r="G1613">
        <v>7</v>
      </c>
      <c r="H1613">
        <f t="shared" si="150"/>
        <v>456.89</v>
      </c>
      <c r="I1613">
        <f t="shared" si="154"/>
        <v>340.13</v>
      </c>
      <c r="J1613">
        <f t="shared" si="151"/>
        <v>116.75999999999999</v>
      </c>
      <c r="K1613" s="8">
        <f t="shared" si="152"/>
        <v>0.25555385322506508</v>
      </c>
      <c r="L1613" t="str">
        <f t="shared" si="155"/>
        <v>2022-05</v>
      </c>
      <c r="M1613">
        <f t="shared" si="153"/>
        <v>116.75999999999999</v>
      </c>
    </row>
    <row r="1614" spans="1:13" x14ac:dyDescent="0.25">
      <c r="A1614" s="1">
        <v>45625</v>
      </c>
      <c r="B1614" t="s">
        <v>19</v>
      </c>
      <c r="C1614" t="s">
        <v>20</v>
      </c>
      <c r="D1614" t="s">
        <v>13</v>
      </c>
      <c r="E1614">
        <v>1594.08</v>
      </c>
      <c r="F1614">
        <v>1372.72</v>
      </c>
      <c r="G1614">
        <v>2</v>
      </c>
      <c r="H1614">
        <f t="shared" si="150"/>
        <v>3188.16</v>
      </c>
      <c r="I1614">
        <f t="shared" si="154"/>
        <v>2745.44</v>
      </c>
      <c r="J1614">
        <f t="shared" si="151"/>
        <v>442.7199999999998</v>
      </c>
      <c r="K1614" s="8">
        <f t="shared" si="152"/>
        <v>0.1388637960453678</v>
      </c>
      <c r="L1614" t="str">
        <f t="shared" si="155"/>
        <v>2024-11</v>
      </c>
      <c r="M1614">
        <f t="shared" si="153"/>
        <v>442.7199999999998</v>
      </c>
    </row>
    <row r="1615" spans="1:13" x14ac:dyDescent="0.25">
      <c r="A1615" s="1">
        <v>45162</v>
      </c>
      <c r="B1615" t="s">
        <v>23</v>
      </c>
      <c r="C1615" t="s">
        <v>11</v>
      </c>
      <c r="D1615" t="s">
        <v>9</v>
      </c>
      <c r="E1615">
        <v>1387.25</v>
      </c>
      <c r="F1615">
        <v>950.03</v>
      </c>
      <c r="G1615">
        <v>3</v>
      </c>
      <c r="H1615">
        <f t="shared" si="150"/>
        <v>4161.75</v>
      </c>
      <c r="I1615">
        <f t="shared" si="154"/>
        <v>2850.09</v>
      </c>
      <c r="J1615">
        <f t="shared" si="151"/>
        <v>1311.6599999999999</v>
      </c>
      <c r="K1615" s="8">
        <f t="shared" si="152"/>
        <v>0.31517030095512699</v>
      </c>
      <c r="L1615" t="str">
        <f t="shared" si="155"/>
        <v>2023-08</v>
      </c>
      <c r="M1615">
        <f t="shared" si="153"/>
        <v>1311.6599999999999</v>
      </c>
    </row>
    <row r="1616" spans="1:13" x14ac:dyDescent="0.25">
      <c r="A1616" s="1">
        <v>45278</v>
      </c>
      <c r="B1616" t="s">
        <v>23</v>
      </c>
      <c r="C1616" t="s">
        <v>11</v>
      </c>
      <c r="D1616" t="s">
        <v>17</v>
      </c>
      <c r="E1616">
        <v>219.87</v>
      </c>
      <c r="F1616">
        <v>193.82</v>
      </c>
      <c r="G1616">
        <v>10</v>
      </c>
      <c r="H1616">
        <f t="shared" si="150"/>
        <v>2198.6999999999998</v>
      </c>
      <c r="I1616">
        <f t="shared" si="154"/>
        <v>1938.1999999999998</v>
      </c>
      <c r="J1616">
        <f t="shared" si="151"/>
        <v>260.5</v>
      </c>
      <c r="K1616" s="8">
        <f t="shared" si="152"/>
        <v>0.11847910128712422</v>
      </c>
      <c r="L1616" t="str">
        <f t="shared" si="155"/>
        <v>2023-12</v>
      </c>
      <c r="M1616">
        <f t="shared" si="153"/>
        <v>260.5</v>
      </c>
    </row>
    <row r="1617" spans="1:13" x14ac:dyDescent="0.25">
      <c r="A1617" s="1">
        <v>44867</v>
      </c>
      <c r="B1617" t="s">
        <v>7</v>
      </c>
      <c r="C1617" t="s">
        <v>8</v>
      </c>
      <c r="D1617" t="s">
        <v>9</v>
      </c>
      <c r="E1617">
        <v>1519.58</v>
      </c>
      <c r="F1617">
        <v>1063.75</v>
      </c>
      <c r="G1617">
        <v>4</v>
      </c>
      <c r="H1617">
        <f t="shared" si="150"/>
        <v>6078.32</v>
      </c>
      <c r="I1617">
        <f t="shared" si="154"/>
        <v>4255</v>
      </c>
      <c r="J1617">
        <f t="shared" si="151"/>
        <v>1823.3199999999997</v>
      </c>
      <c r="K1617" s="8">
        <f t="shared" si="152"/>
        <v>0.29997104463075319</v>
      </c>
      <c r="L1617" t="str">
        <f t="shared" si="155"/>
        <v>2022-11</v>
      </c>
      <c r="M1617">
        <f t="shared" si="153"/>
        <v>1823.3199999999997</v>
      </c>
    </row>
    <row r="1618" spans="1:13" x14ac:dyDescent="0.25">
      <c r="A1618" s="1">
        <v>44644</v>
      </c>
      <c r="B1618" t="s">
        <v>7</v>
      </c>
      <c r="C1618" t="s">
        <v>8</v>
      </c>
      <c r="D1618" t="s">
        <v>9</v>
      </c>
      <c r="E1618">
        <v>1970.32</v>
      </c>
      <c r="F1618">
        <v>1394.89</v>
      </c>
      <c r="G1618">
        <v>6</v>
      </c>
      <c r="H1618">
        <f t="shared" si="150"/>
        <v>11821.92</v>
      </c>
      <c r="I1618">
        <f t="shared" si="154"/>
        <v>8369.34</v>
      </c>
      <c r="J1618">
        <f t="shared" si="151"/>
        <v>3452.58</v>
      </c>
      <c r="K1618" s="8">
        <f t="shared" si="152"/>
        <v>0.29204900726785493</v>
      </c>
      <c r="L1618" t="str">
        <f t="shared" si="155"/>
        <v>2022-03</v>
      </c>
      <c r="M1618">
        <f t="shared" si="153"/>
        <v>3452.58</v>
      </c>
    </row>
    <row r="1619" spans="1:13" x14ac:dyDescent="0.25">
      <c r="A1619" s="1">
        <v>45547</v>
      </c>
      <c r="B1619" t="s">
        <v>19</v>
      </c>
      <c r="C1619" t="s">
        <v>20</v>
      </c>
      <c r="D1619" t="s">
        <v>17</v>
      </c>
      <c r="E1619">
        <v>855.1</v>
      </c>
      <c r="F1619">
        <v>607.79</v>
      </c>
      <c r="G1619">
        <v>4</v>
      </c>
      <c r="H1619">
        <f t="shared" si="150"/>
        <v>3420.4</v>
      </c>
      <c r="I1619">
        <f t="shared" si="154"/>
        <v>2431.16</v>
      </c>
      <c r="J1619">
        <f t="shared" si="151"/>
        <v>989.24000000000024</v>
      </c>
      <c r="K1619" s="8">
        <f t="shared" si="152"/>
        <v>0.28921763536428496</v>
      </c>
      <c r="L1619" t="str">
        <f t="shared" si="155"/>
        <v>2024-09</v>
      </c>
      <c r="M1619">
        <f t="shared" si="153"/>
        <v>989.24000000000024</v>
      </c>
    </row>
    <row r="1620" spans="1:13" x14ac:dyDescent="0.25">
      <c r="A1620" s="1">
        <v>44844</v>
      </c>
      <c r="B1620" t="s">
        <v>16</v>
      </c>
      <c r="C1620" t="s">
        <v>15</v>
      </c>
      <c r="D1620" t="s">
        <v>18</v>
      </c>
      <c r="E1620">
        <v>693.07</v>
      </c>
      <c r="F1620">
        <v>395.61</v>
      </c>
      <c r="G1620">
        <v>6</v>
      </c>
      <c r="H1620">
        <f t="shared" si="150"/>
        <v>4158.42</v>
      </c>
      <c r="I1620">
        <f t="shared" si="154"/>
        <v>2373.66</v>
      </c>
      <c r="J1620">
        <f t="shared" si="151"/>
        <v>1784.7600000000002</v>
      </c>
      <c r="K1620" s="8">
        <f t="shared" si="152"/>
        <v>0.42919185652242925</v>
      </c>
      <c r="L1620" t="str">
        <f t="shared" si="155"/>
        <v>2022-10</v>
      </c>
      <c r="M1620">
        <f t="shared" si="153"/>
        <v>1784.7600000000002</v>
      </c>
    </row>
    <row r="1621" spans="1:13" x14ac:dyDescent="0.25">
      <c r="A1621" s="1">
        <v>44670</v>
      </c>
      <c r="B1621" t="s">
        <v>19</v>
      </c>
      <c r="C1621" t="s">
        <v>20</v>
      </c>
      <c r="D1621" t="s">
        <v>17</v>
      </c>
      <c r="E1621">
        <v>1771.1</v>
      </c>
      <c r="F1621">
        <v>1478.04</v>
      </c>
      <c r="G1621">
        <v>8</v>
      </c>
      <c r="H1621">
        <f t="shared" si="150"/>
        <v>14168.8</v>
      </c>
      <c r="I1621">
        <f t="shared" si="154"/>
        <v>11824.32</v>
      </c>
      <c r="J1621">
        <f t="shared" si="151"/>
        <v>2344.4799999999996</v>
      </c>
      <c r="K1621" s="8">
        <f t="shared" si="152"/>
        <v>0.16546778838010273</v>
      </c>
      <c r="L1621" t="str">
        <f t="shared" si="155"/>
        <v>2022-04</v>
      </c>
      <c r="M1621">
        <f t="shared" si="153"/>
        <v>2344.4799999999996</v>
      </c>
    </row>
    <row r="1622" spans="1:13" x14ac:dyDescent="0.25">
      <c r="A1622" s="1">
        <v>45061</v>
      </c>
      <c r="B1622" t="s">
        <v>10</v>
      </c>
      <c r="C1622" t="s">
        <v>11</v>
      </c>
      <c r="D1622" t="s">
        <v>17</v>
      </c>
      <c r="E1622">
        <v>1036.1500000000001</v>
      </c>
      <c r="F1622">
        <v>533.62</v>
      </c>
      <c r="G1622">
        <v>3</v>
      </c>
      <c r="H1622">
        <f t="shared" si="150"/>
        <v>3108.4500000000003</v>
      </c>
      <c r="I1622">
        <f t="shared" si="154"/>
        <v>1600.8600000000001</v>
      </c>
      <c r="J1622">
        <f t="shared" si="151"/>
        <v>1507.5900000000001</v>
      </c>
      <c r="K1622" s="8">
        <f t="shared" si="152"/>
        <v>0.48499734594412008</v>
      </c>
      <c r="L1622" t="str">
        <f t="shared" si="155"/>
        <v>2023-05</v>
      </c>
      <c r="M1622">
        <f t="shared" si="153"/>
        <v>1507.5900000000001</v>
      </c>
    </row>
    <row r="1623" spans="1:13" x14ac:dyDescent="0.25">
      <c r="A1623" s="1">
        <v>45611</v>
      </c>
      <c r="B1623" t="s">
        <v>7</v>
      </c>
      <c r="C1623" t="s">
        <v>8</v>
      </c>
      <c r="D1623" t="s">
        <v>13</v>
      </c>
      <c r="E1623">
        <v>20.58</v>
      </c>
      <c r="F1623">
        <v>12.28</v>
      </c>
      <c r="G1623">
        <v>10</v>
      </c>
      <c r="H1623">
        <f t="shared" si="150"/>
        <v>205.79999999999998</v>
      </c>
      <c r="I1623">
        <f t="shared" si="154"/>
        <v>122.8</v>
      </c>
      <c r="J1623">
        <f t="shared" si="151"/>
        <v>82.999999999999986</v>
      </c>
      <c r="K1623" s="8">
        <f t="shared" si="152"/>
        <v>0.40330417881438285</v>
      </c>
      <c r="L1623" t="str">
        <f t="shared" si="155"/>
        <v>2024-11</v>
      </c>
      <c r="M1623">
        <f t="shared" si="153"/>
        <v>82.999999999999986</v>
      </c>
    </row>
    <row r="1624" spans="1:13" x14ac:dyDescent="0.25">
      <c r="A1624" s="1">
        <v>45313</v>
      </c>
      <c r="B1624" t="s">
        <v>23</v>
      </c>
      <c r="C1624" t="s">
        <v>11</v>
      </c>
      <c r="D1624" t="s">
        <v>9</v>
      </c>
      <c r="E1624">
        <v>1356.21</v>
      </c>
      <c r="F1624">
        <v>983.46</v>
      </c>
      <c r="G1624">
        <v>4</v>
      </c>
      <c r="H1624">
        <f t="shared" si="150"/>
        <v>5424.84</v>
      </c>
      <c r="I1624">
        <f t="shared" si="154"/>
        <v>3933.84</v>
      </c>
      <c r="J1624">
        <f t="shared" si="151"/>
        <v>1491</v>
      </c>
      <c r="K1624" s="8">
        <f t="shared" si="152"/>
        <v>0.27484681575862147</v>
      </c>
      <c r="L1624" t="str">
        <f t="shared" si="155"/>
        <v>2024-01</v>
      </c>
      <c r="M1624">
        <f t="shared" si="153"/>
        <v>1491</v>
      </c>
    </row>
    <row r="1625" spans="1:13" x14ac:dyDescent="0.25">
      <c r="A1625" s="1">
        <v>44919</v>
      </c>
      <c r="B1625" t="s">
        <v>16</v>
      </c>
      <c r="C1625" t="s">
        <v>15</v>
      </c>
      <c r="D1625" t="s">
        <v>17</v>
      </c>
      <c r="E1625">
        <v>857.54</v>
      </c>
      <c r="F1625">
        <v>748.31</v>
      </c>
      <c r="G1625">
        <v>3</v>
      </c>
      <c r="H1625">
        <f t="shared" si="150"/>
        <v>2572.62</v>
      </c>
      <c r="I1625">
        <f t="shared" si="154"/>
        <v>2244.9299999999998</v>
      </c>
      <c r="J1625">
        <f t="shared" si="151"/>
        <v>327.69000000000005</v>
      </c>
      <c r="K1625" s="8">
        <f t="shared" si="152"/>
        <v>0.12737598246145956</v>
      </c>
      <c r="L1625" t="str">
        <f t="shared" si="155"/>
        <v>2022-12</v>
      </c>
      <c r="M1625">
        <f t="shared" si="153"/>
        <v>327.69000000000005</v>
      </c>
    </row>
    <row r="1626" spans="1:13" x14ac:dyDescent="0.25">
      <c r="A1626" s="1">
        <v>44586</v>
      </c>
      <c r="B1626" t="s">
        <v>10</v>
      </c>
      <c r="C1626" t="s">
        <v>11</v>
      </c>
      <c r="D1626" t="s">
        <v>18</v>
      </c>
      <c r="E1626">
        <v>1114.55</v>
      </c>
      <c r="F1626">
        <v>793.12</v>
      </c>
      <c r="G1626">
        <v>6</v>
      </c>
      <c r="H1626">
        <f t="shared" si="150"/>
        <v>6687.2999999999993</v>
      </c>
      <c r="I1626">
        <f t="shared" si="154"/>
        <v>4758.72</v>
      </c>
      <c r="J1626">
        <f t="shared" si="151"/>
        <v>1928.579999999999</v>
      </c>
      <c r="K1626" s="8">
        <f t="shared" si="152"/>
        <v>0.28839441927235193</v>
      </c>
      <c r="L1626" t="str">
        <f t="shared" si="155"/>
        <v>2022-01</v>
      </c>
      <c r="M1626">
        <f t="shared" si="153"/>
        <v>1928.579999999999</v>
      </c>
    </row>
    <row r="1627" spans="1:13" x14ac:dyDescent="0.25">
      <c r="A1627" s="1">
        <v>45571</v>
      </c>
      <c r="B1627" t="s">
        <v>16</v>
      </c>
      <c r="C1627" t="s">
        <v>15</v>
      </c>
      <c r="D1627" t="s">
        <v>17</v>
      </c>
      <c r="E1627">
        <v>741.17</v>
      </c>
      <c r="F1627">
        <v>654.28</v>
      </c>
      <c r="G1627">
        <v>5</v>
      </c>
      <c r="H1627">
        <f t="shared" si="150"/>
        <v>3705.85</v>
      </c>
      <c r="I1627">
        <f t="shared" si="154"/>
        <v>3271.3999999999996</v>
      </c>
      <c r="J1627">
        <f t="shared" si="151"/>
        <v>434.45000000000027</v>
      </c>
      <c r="K1627" s="8">
        <f t="shared" si="152"/>
        <v>0.11723356315015457</v>
      </c>
      <c r="L1627" t="str">
        <f t="shared" si="155"/>
        <v>2024-10</v>
      </c>
      <c r="M1627">
        <f t="shared" si="153"/>
        <v>434.45000000000027</v>
      </c>
    </row>
    <row r="1628" spans="1:13" x14ac:dyDescent="0.25">
      <c r="A1628" s="1">
        <v>45041</v>
      </c>
      <c r="B1628" t="s">
        <v>12</v>
      </c>
      <c r="C1628" t="s">
        <v>8</v>
      </c>
      <c r="D1628" t="s">
        <v>17</v>
      </c>
      <c r="E1628">
        <v>658.24</v>
      </c>
      <c r="F1628">
        <v>430.76</v>
      </c>
      <c r="G1628">
        <v>7</v>
      </c>
      <c r="H1628">
        <f t="shared" si="150"/>
        <v>4607.68</v>
      </c>
      <c r="I1628">
        <f t="shared" si="154"/>
        <v>3015.3199999999997</v>
      </c>
      <c r="J1628">
        <f t="shared" si="151"/>
        <v>1592.3600000000006</v>
      </c>
      <c r="K1628" s="8">
        <f t="shared" si="152"/>
        <v>0.34558823529411775</v>
      </c>
      <c r="L1628" t="str">
        <f t="shared" si="155"/>
        <v>2023-04</v>
      </c>
      <c r="M1628">
        <f t="shared" si="153"/>
        <v>1592.3600000000006</v>
      </c>
    </row>
    <row r="1629" spans="1:13" x14ac:dyDescent="0.25">
      <c r="A1629" s="1">
        <v>45356</v>
      </c>
      <c r="B1629" t="s">
        <v>12</v>
      </c>
      <c r="C1629" t="s">
        <v>8</v>
      </c>
      <c r="D1629" t="s">
        <v>18</v>
      </c>
      <c r="E1629">
        <v>1800.04</v>
      </c>
      <c r="F1629">
        <v>1575.48</v>
      </c>
      <c r="G1629">
        <v>9</v>
      </c>
      <c r="H1629">
        <f t="shared" si="150"/>
        <v>16200.36</v>
      </c>
      <c r="I1629">
        <f t="shared" si="154"/>
        <v>14179.32</v>
      </c>
      <c r="J1629">
        <f t="shared" si="151"/>
        <v>2021.0400000000009</v>
      </c>
      <c r="K1629" s="8">
        <f t="shared" si="152"/>
        <v>0.12475278327148291</v>
      </c>
      <c r="L1629" t="str">
        <f t="shared" si="155"/>
        <v>2024-03</v>
      </c>
      <c r="M1629">
        <f t="shared" si="153"/>
        <v>2021.0400000000009</v>
      </c>
    </row>
    <row r="1630" spans="1:13" x14ac:dyDescent="0.25">
      <c r="A1630" s="1">
        <v>44642</v>
      </c>
      <c r="B1630" t="s">
        <v>16</v>
      </c>
      <c r="C1630" t="s">
        <v>15</v>
      </c>
      <c r="D1630" t="s">
        <v>17</v>
      </c>
      <c r="E1630">
        <v>1245.6400000000001</v>
      </c>
      <c r="F1630">
        <v>656.55</v>
      </c>
      <c r="G1630">
        <v>2</v>
      </c>
      <c r="H1630">
        <f t="shared" si="150"/>
        <v>2491.2800000000002</v>
      </c>
      <c r="I1630">
        <f t="shared" si="154"/>
        <v>1313.1</v>
      </c>
      <c r="J1630">
        <f t="shared" si="151"/>
        <v>1178.1800000000003</v>
      </c>
      <c r="K1630" s="8">
        <f t="shared" si="152"/>
        <v>0.47292155036768257</v>
      </c>
      <c r="L1630" t="str">
        <f t="shared" si="155"/>
        <v>2022-03</v>
      </c>
      <c r="M1630">
        <f t="shared" si="153"/>
        <v>1178.1800000000003</v>
      </c>
    </row>
    <row r="1631" spans="1:13" x14ac:dyDescent="0.25">
      <c r="A1631" s="1">
        <v>44699</v>
      </c>
      <c r="B1631" t="s">
        <v>22</v>
      </c>
      <c r="C1631" t="s">
        <v>8</v>
      </c>
      <c r="D1631" t="s">
        <v>9</v>
      </c>
      <c r="E1631">
        <v>206.45</v>
      </c>
      <c r="F1631">
        <v>142.72999999999999</v>
      </c>
      <c r="G1631">
        <v>3</v>
      </c>
      <c r="H1631">
        <f t="shared" si="150"/>
        <v>619.34999999999991</v>
      </c>
      <c r="I1631">
        <f t="shared" si="154"/>
        <v>428.18999999999994</v>
      </c>
      <c r="J1631">
        <f t="shared" si="151"/>
        <v>191.15999999999997</v>
      </c>
      <c r="K1631" s="8">
        <f t="shared" si="152"/>
        <v>0.30864616129813516</v>
      </c>
      <c r="L1631" t="str">
        <f t="shared" si="155"/>
        <v>2022-05</v>
      </c>
      <c r="M1631">
        <f t="shared" si="153"/>
        <v>191.15999999999997</v>
      </c>
    </row>
    <row r="1632" spans="1:13" x14ac:dyDescent="0.25">
      <c r="A1632" s="1">
        <v>45213</v>
      </c>
      <c r="B1632" t="s">
        <v>24</v>
      </c>
      <c r="C1632" t="s">
        <v>20</v>
      </c>
      <c r="D1632" t="s">
        <v>13</v>
      </c>
      <c r="E1632">
        <v>1312.97</v>
      </c>
      <c r="F1632">
        <v>1001.89</v>
      </c>
      <c r="G1632">
        <v>6</v>
      </c>
      <c r="H1632">
        <f t="shared" si="150"/>
        <v>7877.82</v>
      </c>
      <c r="I1632">
        <f t="shared" si="154"/>
        <v>6011.34</v>
      </c>
      <c r="J1632">
        <f t="shared" si="151"/>
        <v>1866.4799999999996</v>
      </c>
      <c r="K1632" s="8">
        <f t="shared" si="152"/>
        <v>0.236928490369163</v>
      </c>
      <c r="L1632" t="str">
        <f t="shared" si="155"/>
        <v>2023-10</v>
      </c>
      <c r="M1632">
        <f t="shared" si="153"/>
        <v>1866.4799999999996</v>
      </c>
    </row>
    <row r="1633" spans="1:13" x14ac:dyDescent="0.25">
      <c r="A1633" s="1">
        <v>45321</v>
      </c>
      <c r="B1633" t="s">
        <v>22</v>
      </c>
      <c r="C1633" t="s">
        <v>8</v>
      </c>
      <c r="D1633" t="s">
        <v>9</v>
      </c>
      <c r="E1633">
        <v>1429.75</v>
      </c>
      <c r="F1633">
        <v>1128.49</v>
      </c>
      <c r="G1633">
        <v>1</v>
      </c>
      <c r="H1633">
        <f t="shared" si="150"/>
        <v>1429.75</v>
      </c>
      <c r="I1633">
        <f t="shared" si="154"/>
        <v>1128.49</v>
      </c>
      <c r="J1633">
        <f t="shared" si="151"/>
        <v>301.26</v>
      </c>
      <c r="K1633" s="8">
        <f t="shared" si="152"/>
        <v>0.2107081657632453</v>
      </c>
      <c r="L1633" t="str">
        <f t="shared" si="155"/>
        <v>2024-01</v>
      </c>
      <c r="M1633">
        <f t="shared" si="153"/>
        <v>301.26</v>
      </c>
    </row>
    <row r="1634" spans="1:13" x14ac:dyDescent="0.25">
      <c r="A1634" s="1">
        <v>45217</v>
      </c>
      <c r="B1634" t="s">
        <v>12</v>
      </c>
      <c r="C1634" t="s">
        <v>8</v>
      </c>
      <c r="D1634" t="s">
        <v>18</v>
      </c>
      <c r="E1634">
        <v>1322.85</v>
      </c>
      <c r="F1634">
        <v>989.81</v>
      </c>
      <c r="G1634">
        <v>3</v>
      </c>
      <c r="H1634">
        <f t="shared" si="150"/>
        <v>3968.5499999999997</v>
      </c>
      <c r="I1634">
        <f t="shared" si="154"/>
        <v>2969.43</v>
      </c>
      <c r="J1634">
        <f t="shared" si="151"/>
        <v>999.11999999999989</v>
      </c>
      <c r="K1634" s="8">
        <f t="shared" si="152"/>
        <v>0.25175945874437766</v>
      </c>
      <c r="L1634" t="str">
        <f t="shared" si="155"/>
        <v>2023-10</v>
      </c>
      <c r="M1634">
        <f t="shared" si="153"/>
        <v>999.11999999999989</v>
      </c>
    </row>
    <row r="1635" spans="1:13" x14ac:dyDescent="0.25">
      <c r="A1635" s="1">
        <v>45555</v>
      </c>
      <c r="B1635" t="s">
        <v>19</v>
      </c>
      <c r="C1635" t="s">
        <v>20</v>
      </c>
      <c r="D1635" t="s">
        <v>13</v>
      </c>
      <c r="E1635">
        <v>127.72</v>
      </c>
      <c r="F1635">
        <v>114.25</v>
      </c>
      <c r="G1635">
        <v>4</v>
      </c>
      <c r="H1635">
        <f t="shared" si="150"/>
        <v>510.88</v>
      </c>
      <c r="I1635">
        <f t="shared" si="154"/>
        <v>457</v>
      </c>
      <c r="J1635">
        <f t="shared" si="151"/>
        <v>53.879999999999995</v>
      </c>
      <c r="K1635" s="8">
        <f t="shared" si="152"/>
        <v>0.10546507986219855</v>
      </c>
      <c r="L1635" t="str">
        <f t="shared" si="155"/>
        <v>2024-09</v>
      </c>
      <c r="M1635">
        <f t="shared" si="153"/>
        <v>53.879999999999995</v>
      </c>
    </row>
    <row r="1636" spans="1:13" x14ac:dyDescent="0.25">
      <c r="A1636" s="1">
        <v>45384</v>
      </c>
      <c r="B1636" t="s">
        <v>21</v>
      </c>
      <c r="C1636" t="s">
        <v>20</v>
      </c>
      <c r="D1636" t="s">
        <v>13</v>
      </c>
      <c r="E1636">
        <v>326.77</v>
      </c>
      <c r="F1636">
        <v>249.49</v>
      </c>
      <c r="G1636">
        <v>8</v>
      </c>
      <c r="H1636">
        <f t="shared" si="150"/>
        <v>2614.16</v>
      </c>
      <c r="I1636">
        <f t="shared" si="154"/>
        <v>1995.92</v>
      </c>
      <c r="J1636">
        <f t="shared" si="151"/>
        <v>618.23999999999978</v>
      </c>
      <c r="K1636" s="8">
        <f t="shared" si="152"/>
        <v>0.23649661841662326</v>
      </c>
      <c r="L1636" t="str">
        <f t="shared" si="155"/>
        <v>2024-04</v>
      </c>
      <c r="M1636">
        <f t="shared" si="153"/>
        <v>618.23999999999978</v>
      </c>
    </row>
    <row r="1637" spans="1:13" x14ac:dyDescent="0.25">
      <c r="A1637" s="1">
        <v>45161</v>
      </c>
      <c r="B1637" t="s">
        <v>16</v>
      </c>
      <c r="C1637" t="s">
        <v>15</v>
      </c>
      <c r="D1637" t="s">
        <v>18</v>
      </c>
      <c r="E1637">
        <v>1523.17</v>
      </c>
      <c r="F1637">
        <v>898.77</v>
      </c>
      <c r="G1637">
        <v>2</v>
      </c>
      <c r="H1637">
        <f t="shared" si="150"/>
        <v>3046.34</v>
      </c>
      <c r="I1637">
        <f t="shared" si="154"/>
        <v>1797.54</v>
      </c>
      <c r="J1637">
        <f t="shared" si="151"/>
        <v>1248.8000000000002</v>
      </c>
      <c r="K1637" s="8">
        <f t="shared" si="152"/>
        <v>0.40993454440410465</v>
      </c>
      <c r="L1637" t="str">
        <f t="shared" si="155"/>
        <v>2023-08</v>
      </c>
      <c r="M1637">
        <f t="shared" si="153"/>
        <v>1248.8000000000002</v>
      </c>
    </row>
    <row r="1638" spans="1:13" x14ac:dyDescent="0.25">
      <c r="A1638" s="1">
        <v>45642</v>
      </c>
      <c r="B1638" t="s">
        <v>16</v>
      </c>
      <c r="C1638" t="s">
        <v>15</v>
      </c>
      <c r="D1638" t="s">
        <v>17</v>
      </c>
      <c r="E1638">
        <v>1910.92</v>
      </c>
      <c r="F1638">
        <v>1417.72</v>
      </c>
      <c r="G1638">
        <v>10</v>
      </c>
      <c r="H1638">
        <f t="shared" si="150"/>
        <v>19109.2</v>
      </c>
      <c r="I1638">
        <f t="shared" si="154"/>
        <v>14177.2</v>
      </c>
      <c r="J1638">
        <f t="shared" si="151"/>
        <v>4932</v>
      </c>
      <c r="K1638" s="8">
        <f t="shared" si="152"/>
        <v>0.25809557699956043</v>
      </c>
      <c r="L1638" t="str">
        <f t="shared" si="155"/>
        <v>2024-12</v>
      </c>
      <c r="M1638">
        <f t="shared" si="153"/>
        <v>4932</v>
      </c>
    </row>
    <row r="1639" spans="1:13" x14ac:dyDescent="0.25">
      <c r="A1639" s="1">
        <v>45280</v>
      </c>
      <c r="B1639" t="s">
        <v>19</v>
      </c>
      <c r="C1639" t="s">
        <v>20</v>
      </c>
      <c r="D1639" t="s">
        <v>9</v>
      </c>
      <c r="E1639">
        <v>582.13</v>
      </c>
      <c r="F1639">
        <v>319.39</v>
      </c>
      <c r="G1639">
        <v>7</v>
      </c>
      <c r="H1639">
        <f t="shared" si="150"/>
        <v>4074.91</v>
      </c>
      <c r="I1639">
        <f t="shared" si="154"/>
        <v>2235.73</v>
      </c>
      <c r="J1639">
        <f t="shared" si="151"/>
        <v>1839.1799999999998</v>
      </c>
      <c r="K1639" s="8">
        <f t="shared" si="152"/>
        <v>0.45134248363767543</v>
      </c>
      <c r="L1639" t="str">
        <f t="shared" si="155"/>
        <v>2023-12</v>
      </c>
      <c r="M1639">
        <f t="shared" si="153"/>
        <v>1839.1799999999998</v>
      </c>
    </row>
    <row r="1640" spans="1:13" x14ac:dyDescent="0.25">
      <c r="A1640" s="1">
        <v>44958</v>
      </c>
      <c r="B1640" t="s">
        <v>19</v>
      </c>
      <c r="C1640" t="s">
        <v>20</v>
      </c>
      <c r="D1640" t="s">
        <v>13</v>
      </c>
      <c r="E1640">
        <v>1436.72</v>
      </c>
      <c r="F1640">
        <v>721.13</v>
      </c>
      <c r="G1640">
        <v>5</v>
      </c>
      <c r="H1640">
        <f t="shared" si="150"/>
        <v>7183.6</v>
      </c>
      <c r="I1640">
        <f t="shared" si="154"/>
        <v>3605.65</v>
      </c>
      <c r="J1640">
        <f t="shared" si="151"/>
        <v>3577.9500000000003</v>
      </c>
      <c r="K1640" s="8">
        <f t="shared" si="152"/>
        <v>0.49807199732724539</v>
      </c>
      <c r="L1640" t="str">
        <f t="shared" si="155"/>
        <v>2023-02</v>
      </c>
      <c r="M1640">
        <f t="shared" si="153"/>
        <v>3577.9500000000003</v>
      </c>
    </row>
    <row r="1641" spans="1:13" x14ac:dyDescent="0.25">
      <c r="A1641" s="1">
        <v>45519</v>
      </c>
      <c r="B1641" t="s">
        <v>12</v>
      </c>
      <c r="C1641" t="s">
        <v>8</v>
      </c>
      <c r="D1641" t="s">
        <v>17</v>
      </c>
      <c r="E1641">
        <v>1754.95</v>
      </c>
      <c r="F1641">
        <v>999.24</v>
      </c>
      <c r="G1641">
        <v>8</v>
      </c>
      <c r="H1641">
        <f t="shared" si="150"/>
        <v>14039.6</v>
      </c>
      <c r="I1641">
        <f t="shared" si="154"/>
        <v>7993.92</v>
      </c>
      <c r="J1641">
        <f t="shared" si="151"/>
        <v>6045.68</v>
      </c>
      <c r="K1641" s="8">
        <f t="shared" si="152"/>
        <v>0.4306162568734152</v>
      </c>
      <c r="L1641" t="str">
        <f t="shared" si="155"/>
        <v>2024-08</v>
      </c>
      <c r="M1641">
        <f t="shared" si="153"/>
        <v>6045.68</v>
      </c>
    </row>
    <row r="1642" spans="1:13" x14ac:dyDescent="0.25">
      <c r="A1642" s="1">
        <v>45404</v>
      </c>
      <c r="B1642" t="s">
        <v>16</v>
      </c>
      <c r="C1642" t="s">
        <v>15</v>
      </c>
      <c r="D1642" t="s">
        <v>18</v>
      </c>
      <c r="E1642">
        <v>711.09</v>
      </c>
      <c r="F1642">
        <v>501.03</v>
      </c>
      <c r="G1642">
        <v>4</v>
      </c>
      <c r="H1642">
        <f t="shared" si="150"/>
        <v>2844.36</v>
      </c>
      <c r="I1642">
        <f t="shared" si="154"/>
        <v>2004.12</v>
      </c>
      <c r="J1642">
        <f t="shared" si="151"/>
        <v>840.24000000000024</v>
      </c>
      <c r="K1642" s="8">
        <f t="shared" si="152"/>
        <v>0.29540564485508169</v>
      </c>
      <c r="L1642" t="str">
        <f t="shared" si="155"/>
        <v>2024-04</v>
      </c>
      <c r="M1642">
        <f t="shared" si="153"/>
        <v>840.24000000000024</v>
      </c>
    </row>
    <row r="1643" spans="1:13" x14ac:dyDescent="0.25">
      <c r="A1643" s="1">
        <v>44641</v>
      </c>
      <c r="B1643" t="s">
        <v>14</v>
      </c>
      <c r="C1643" t="s">
        <v>15</v>
      </c>
      <c r="D1643" t="s">
        <v>17</v>
      </c>
      <c r="E1643">
        <v>1567.11</v>
      </c>
      <c r="F1643">
        <v>943.38</v>
      </c>
      <c r="G1643">
        <v>5</v>
      </c>
      <c r="H1643">
        <f t="shared" si="150"/>
        <v>7835.5499999999993</v>
      </c>
      <c r="I1643">
        <f t="shared" si="154"/>
        <v>4716.8999999999996</v>
      </c>
      <c r="J1643">
        <f t="shared" si="151"/>
        <v>3118.6499999999996</v>
      </c>
      <c r="K1643" s="8">
        <f t="shared" si="152"/>
        <v>0.39801290273178014</v>
      </c>
      <c r="L1643" t="str">
        <f t="shared" si="155"/>
        <v>2022-03</v>
      </c>
      <c r="M1643">
        <f t="shared" si="153"/>
        <v>3118.6499999999996</v>
      </c>
    </row>
    <row r="1644" spans="1:13" x14ac:dyDescent="0.25">
      <c r="A1644" s="1">
        <v>45513</v>
      </c>
      <c r="B1644" t="s">
        <v>24</v>
      </c>
      <c r="C1644" t="s">
        <v>20</v>
      </c>
      <c r="D1644" t="s">
        <v>9</v>
      </c>
      <c r="E1644">
        <v>396.61</v>
      </c>
      <c r="F1644">
        <v>297.48</v>
      </c>
      <c r="G1644">
        <v>1</v>
      </c>
      <c r="H1644">
        <f t="shared" si="150"/>
        <v>396.61</v>
      </c>
      <c r="I1644">
        <f t="shared" si="154"/>
        <v>297.48</v>
      </c>
      <c r="J1644">
        <f t="shared" si="151"/>
        <v>99.13</v>
      </c>
      <c r="K1644" s="8">
        <f t="shared" si="152"/>
        <v>0.24994326920652529</v>
      </c>
      <c r="L1644" t="str">
        <f t="shared" si="155"/>
        <v>2024-08</v>
      </c>
      <c r="M1644">
        <f t="shared" si="153"/>
        <v>99.13</v>
      </c>
    </row>
    <row r="1645" spans="1:13" x14ac:dyDescent="0.25">
      <c r="A1645" s="1">
        <v>44998</v>
      </c>
      <c r="B1645" t="s">
        <v>10</v>
      </c>
      <c r="C1645" t="s">
        <v>11</v>
      </c>
      <c r="D1645" t="s">
        <v>9</v>
      </c>
      <c r="E1645">
        <v>101.67</v>
      </c>
      <c r="F1645">
        <v>56.31</v>
      </c>
      <c r="G1645">
        <v>1</v>
      </c>
      <c r="H1645">
        <f t="shared" si="150"/>
        <v>101.67</v>
      </c>
      <c r="I1645">
        <f t="shared" si="154"/>
        <v>56.31</v>
      </c>
      <c r="J1645">
        <f t="shared" si="151"/>
        <v>45.36</v>
      </c>
      <c r="K1645" s="8">
        <f t="shared" si="152"/>
        <v>0.44614930658011209</v>
      </c>
      <c r="L1645" t="str">
        <f t="shared" si="155"/>
        <v>2023-03</v>
      </c>
      <c r="M1645">
        <f t="shared" si="153"/>
        <v>45.36</v>
      </c>
    </row>
    <row r="1646" spans="1:13" x14ac:dyDescent="0.25">
      <c r="A1646" s="1">
        <v>44963</v>
      </c>
      <c r="B1646" t="s">
        <v>22</v>
      </c>
      <c r="C1646" t="s">
        <v>8</v>
      </c>
      <c r="D1646" t="s">
        <v>18</v>
      </c>
      <c r="E1646">
        <v>1419.64</v>
      </c>
      <c r="F1646">
        <v>722.04</v>
      </c>
      <c r="G1646">
        <v>9</v>
      </c>
      <c r="H1646">
        <f t="shared" si="150"/>
        <v>12776.76</v>
      </c>
      <c r="I1646">
        <f t="shared" si="154"/>
        <v>6498.36</v>
      </c>
      <c r="J1646">
        <f t="shared" si="151"/>
        <v>6278.4000000000005</v>
      </c>
      <c r="K1646" s="8">
        <f t="shared" si="152"/>
        <v>0.49139218393395512</v>
      </c>
      <c r="L1646" t="str">
        <f t="shared" si="155"/>
        <v>2023-02</v>
      </c>
      <c r="M1646">
        <f t="shared" si="153"/>
        <v>6278.4000000000005</v>
      </c>
    </row>
    <row r="1647" spans="1:13" x14ac:dyDescent="0.25">
      <c r="A1647" s="1">
        <v>45405</v>
      </c>
      <c r="B1647" t="s">
        <v>12</v>
      </c>
      <c r="C1647" t="s">
        <v>8</v>
      </c>
      <c r="D1647" t="s">
        <v>13</v>
      </c>
      <c r="E1647">
        <v>1311.75</v>
      </c>
      <c r="F1647">
        <v>1008.82</v>
      </c>
      <c r="G1647">
        <v>10</v>
      </c>
      <c r="H1647">
        <f t="shared" si="150"/>
        <v>13117.5</v>
      </c>
      <c r="I1647">
        <f t="shared" si="154"/>
        <v>10088.200000000001</v>
      </c>
      <c r="J1647">
        <f t="shared" si="151"/>
        <v>3029.2999999999993</v>
      </c>
      <c r="K1647" s="8">
        <f t="shared" si="152"/>
        <v>0.23093577282256522</v>
      </c>
      <c r="L1647" t="str">
        <f t="shared" si="155"/>
        <v>2024-04</v>
      </c>
      <c r="M1647">
        <f t="shared" si="153"/>
        <v>3029.2999999999993</v>
      </c>
    </row>
    <row r="1648" spans="1:13" x14ac:dyDescent="0.25">
      <c r="A1648" s="1">
        <v>45237</v>
      </c>
      <c r="B1648" t="s">
        <v>24</v>
      </c>
      <c r="C1648" t="s">
        <v>20</v>
      </c>
      <c r="D1648" t="s">
        <v>13</v>
      </c>
      <c r="E1648">
        <v>1679.22</v>
      </c>
      <c r="F1648">
        <v>1485.17</v>
      </c>
      <c r="G1648">
        <v>7</v>
      </c>
      <c r="H1648">
        <f t="shared" si="150"/>
        <v>11754.54</v>
      </c>
      <c r="I1648">
        <f t="shared" si="154"/>
        <v>10396.19</v>
      </c>
      <c r="J1648">
        <f t="shared" si="151"/>
        <v>1358.3500000000004</v>
      </c>
      <c r="K1648" s="8">
        <f t="shared" si="152"/>
        <v>0.11555960505472782</v>
      </c>
      <c r="L1648" t="str">
        <f t="shared" si="155"/>
        <v>2023-11</v>
      </c>
      <c r="M1648">
        <f t="shared" si="153"/>
        <v>1358.3500000000004</v>
      </c>
    </row>
    <row r="1649" spans="1:13" x14ac:dyDescent="0.25">
      <c r="A1649" s="1">
        <v>45613</v>
      </c>
      <c r="B1649" t="s">
        <v>10</v>
      </c>
      <c r="C1649" t="s">
        <v>11</v>
      </c>
      <c r="D1649" t="s">
        <v>17</v>
      </c>
      <c r="E1649">
        <v>1860.27</v>
      </c>
      <c r="F1649">
        <v>1612.47</v>
      </c>
      <c r="G1649">
        <v>2</v>
      </c>
      <c r="H1649">
        <f t="shared" si="150"/>
        <v>3720.54</v>
      </c>
      <c r="I1649">
        <f t="shared" si="154"/>
        <v>3224.94</v>
      </c>
      <c r="J1649">
        <f t="shared" si="151"/>
        <v>495.59999999999991</v>
      </c>
      <c r="K1649" s="8">
        <f t="shared" si="152"/>
        <v>0.13320647002854422</v>
      </c>
      <c r="L1649" t="str">
        <f t="shared" si="155"/>
        <v>2024-11</v>
      </c>
      <c r="M1649">
        <f t="shared" si="153"/>
        <v>495.59999999999991</v>
      </c>
    </row>
    <row r="1650" spans="1:13" x14ac:dyDescent="0.25">
      <c r="A1650" s="1">
        <v>44695</v>
      </c>
      <c r="B1650" t="s">
        <v>7</v>
      </c>
      <c r="C1650" t="s">
        <v>8</v>
      </c>
      <c r="D1650" t="s">
        <v>17</v>
      </c>
      <c r="E1650">
        <v>1582.6</v>
      </c>
      <c r="F1650">
        <v>1416.49</v>
      </c>
      <c r="G1650">
        <v>2</v>
      </c>
      <c r="H1650">
        <f t="shared" si="150"/>
        <v>3165.2</v>
      </c>
      <c r="I1650">
        <f t="shared" si="154"/>
        <v>2832.98</v>
      </c>
      <c r="J1650">
        <f t="shared" si="151"/>
        <v>332.2199999999998</v>
      </c>
      <c r="K1650" s="8">
        <f t="shared" si="152"/>
        <v>0.10496019208896747</v>
      </c>
      <c r="L1650" t="str">
        <f t="shared" si="155"/>
        <v>2022-05</v>
      </c>
      <c r="M1650">
        <f t="shared" si="153"/>
        <v>332.2199999999998</v>
      </c>
    </row>
    <row r="1651" spans="1:13" x14ac:dyDescent="0.25">
      <c r="A1651" s="1">
        <v>44982</v>
      </c>
      <c r="B1651" t="s">
        <v>19</v>
      </c>
      <c r="C1651" t="s">
        <v>20</v>
      </c>
      <c r="D1651" t="s">
        <v>13</v>
      </c>
      <c r="E1651">
        <v>109.77</v>
      </c>
      <c r="F1651">
        <v>69.09</v>
      </c>
      <c r="G1651">
        <v>10</v>
      </c>
      <c r="H1651">
        <f t="shared" si="150"/>
        <v>1097.7</v>
      </c>
      <c r="I1651">
        <f t="shared" si="154"/>
        <v>690.90000000000009</v>
      </c>
      <c r="J1651">
        <f t="shared" si="151"/>
        <v>406.79999999999995</v>
      </c>
      <c r="K1651" s="8">
        <f t="shared" si="152"/>
        <v>0.37059305821262634</v>
      </c>
      <c r="L1651" t="str">
        <f t="shared" si="155"/>
        <v>2023-02</v>
      </c>
      <c r="M1651">
        <f t="shared" si="153"/>
        <v>406.79999999999995</v>
      </c>
    </row>
    <row r="1652" spans="1:13" x14ac:dyDescent="0.25">
      <c r="A1652" s="1">
        <v>44952</v>
      </c>
      <c r="B1652" t="s">
        <v>10</v>
      </c>
      <c r="C1652" t="s">
        <v>11</v>
      </c>
      <c r="D1652" t="s">
        <v>18</v>
      </c>
      <c r="E1652">
        <v>310.26</v>
      </c>
      <c r="F1652">
        <v>166.85</v>
      </c>
      <c r="G1652">
        <v>6</v>
      </c>
      <c r="H1652">
        <f t="shared" si="150"/>
        <v>1861.56</v>
      </c>
      <c r="I1652">
        <f t="shared" si="154"/>
        <v>1001.0999999999999</v>
      </c>
      <c r="J1652">
        <f t="shared" si="151"/>
        <v>860.46</v>
      </c>
      <c r="K1652" s="8">
        <f t="shared" si="152"/>
        <v>0.46222523045187908</v>
      </c>
      <c r="L1652" t="str">
        <f t="shared" si="155"/>
        <v>2023-01</v>
      </c>
      <c r="M1652">
        <f t="shared" si="153"/>
        <v>860.46</v>
      </c>
    </row>
    <row r="1653" spans="1:13" x14ac:dyDescent="0.25">
      <c r="A1653" s="1">
        <v>45187</v>
      </c>
      <c r="B1653" t="s">
        <v>21</v>
      </c>
      <c r="C1653" t="s">
        <v>20</v>
      </c>
      <c r="D1653" t="s">
        <v>17</v>
      </c>
      <c r="E1653">
        <v>875.88</v>
      </c>
      <c r="F1653">
        <v>511.88</v>
      </c>
      <c r="G1653">
        <v>9</v>
      </c>
      <c r="H1653">
        <f t="shared" si="150"/>
        <v>7882.92</v>
      </c>
      <c r="I1653">
        <f t="shared" si="154"/>
        <v>4606.92</v>
      </c>
      <c r="J1653">
        <f t="shared" si="151"/>
        <v>3276</v>
      </c>
      <c r="K1653" s="8">
        <f t="shared" si="152"/>
        <v>0.41558204320226516</v>
      </c>
      <c r="L1653" t="str">
        <f t="shared" si="155"/>
        <v>2023-09</v>
      </c>
      <c r="M1653">
        <f t="shared" si="153"/>
        <v>3276</v>
      </c>
    </row>
    <row r="1654" spans="1:13" x14ac:dyDescent="0.25">
      <c r="A1654" s="1">
        <v>44628</v>
      </c>
      <c r="B1654" t="s">
        <v>24</v>
      </c>
      <c r="C1654" t="s">
        <v>20</v>
      </c>
      <c r="D1654" t="s">
        <v>9</v>
      </c>
      <c r="E1654">
        <v>682.52</v>
      </c>
      <c r="F1654">
        <v>395.32</v>
      </c>
      <c r="G1654">
        <v>6</v>
      </c>
      <c r="H1654">
        <f t="shared" si="150"/>
        <v>4095.12</v>
      </c>
      <c r="I1654">
        <f t="shared" si="154"/>
        <v>2371.92</v>
      </c>
      <c r="J1654">
        <f t="shared" si="151"/>
        <v>1723.1999999999998</v>
      </c>
      <c r="K1654" s="8">
        <f t="shared" si="152"/>
        <v>0.42079352985993079</v>
      </c>
      <c r="L1654" t="str">
        <f t="shared" si="155"/>
        <v>2022-03</v>
      </c>
      <c r="M1654">
        <f t="shared" si="153"/>
        <v>1723.1999999999998</v>
      </c>
    </row>
    <row r="1655" spans="1:13" x14ac:dyDescent="0.25">
      <c r="A1655" s="1">
        <v>45227</v>
      </c>
      <c r="B1655" t="s">
        <v>10</v>
      </c>
      <c r="C1655" t="s">
        <v>11</v>
      </c>
      <c r="D1655" t="s">
        <v>18</v>
      </c>
      <c r="E1655">
        <v>1548.32</v>
      </c>
      <c r="F1655">
        <v>1136.53</v>
      </c>
      <c r="G1655">
        <v>1</v>
      </c>
      <c r="H1655">
        <f t="shared" si="150"/>
        <v>1548.32</v>
      </c>
      <c r="I1655">
        <f t="shared" si="154"/>
        <v>1136.53</v>
      </c>
      <c r="J1655">
        <f t="shared" si="151"/>
        <v>411.78999999999996</v>
      </c>
      <c r="K1655" s="8">
        <f t="shared" si="152"/>
        <v>0.26595923323344012</v>
      </c>
      <c r="L1655" t="str">
        <f t="shared" si="155"/>
        <v>2023-10</v>
      </c>
      <c r="M1655">
        <f t="shared" si="153"/>
        <v>411.78999999999996</v>
      </c>
    </row>
    <row r="1656" spans="1:13" x14ac:dyDescent="0.25">
      <c r="A1656" s="1">
        <v>44779</v>
      </c>
      <c r="B1656" t="s">
        <v>16</v>
      </c>
      <c r="C1656" t="s">
        <v>15</v>
      </c>
      <c r="D1656" t="s">
        <v>17</v>
      </c>
      <c r="E1656">
        <v>673.68</v>
      </c>
      <c r="F1656">
        <v>454.26</v>
      </c>
      <c r="G1656">
        <v>10</v>
      </c>
      <c r="H1656">
        <f t="shared" si="150"/>
        <v>6736.7999999999993</v>
      </c>
      <c r="I1656">
        <f t="shared" si="154"/>
        <v>4542.6000000000004</v>
      </c>
      <c r="J1656">
        <f t="shared" si="151"/>
        <v>2194.1999999999989</v>
      </c>
      <c r="K1656" s="8">
        <f t="shared" si="152"/>
        <v>0.32570359814748828</v>
      </c>
      <c r="L1656" t="str">
        <f t="shared" si="155"/>
        <v>2022-08</v>
      </c>
      <c r="M1656">
        <f t="shared" si="153"/>
        <v>2194.1999999999989</v>
      </c>
    </row>
    <row r="1657" spans="1:13" x14ac:dyDescent="0.25">
      <c r="A1657" s="1">
        <v>45059</v>
      </c>
      <c r="B1657" t="s">
        <v>14</v>
      </c>
      <c r="C1657" t="s">
        <v>15</v>
      </c>
      <c r="D1657" t="s">
        <v>17</v>
      </c>
      <c r="E1657">
        <v>689.14</v>
      </c>
      <c r="F1657">
        <v>464.55</v>
      </c>
      <c r="G1657">
        <v>4</v>
      </c>
      <c r="H1657">
        <f t="shared" si="150"/>
        <v>2756.56</v>
      </c>
      <c r="I1657">
        <f t="shared" si="154"/>
        <v>1858.2</v>
      </c>
      <c r="J1657">
        <f t="shared" si="151"/>
        <v>898.3599999999999</v>
      </c>
      <c r="K1657" s="8">
        <f t="shared" si="152"/>
        <v>0.32589894651304524</v>
      </c>
      <c r="L1657" t="str">
        <f t="shared" si="155"/>
        <v>2023-05</v>
      </c>
      <c r="M1657">
        <f t="shared" si="153"/>
        <v>898.3599999999999</v>
      </c>
    </row>
    <row r="1658" spans="1:13" x14ac:dyDescent="0.25">
      <c r="A1658" s="1">
        <v>45321</v>
      </c>
      <c r="B1658" t="s">
        <v>22</v>
      </c>
      <c r="C1658" t="s">
        <v>8</v>
      </c>
      <c r="D1658" t="s">
        <v>17</v>
      </c>
      <c r="E1658">
        <v>221.74</v>
      </c>
      <c r="F1658">
        <v>179.21</v>
      </c>
      <c r="G1658">
        <v>8</v>
      </c>
      <c r="H1658">
        <f t="shared" si="150"/>
        <v>1773.92</v>
      </c>
      <c r="I1658">
        <f t="shared" si="154"/>
        <v>1433.68</v>
      </c>
      <c r="J1658">
        <f t="shared" si="151"/>
        <v>340.24</v>
      </c>
      <c r="K1658" s="8">
        <f t="shared" si="152"/>
        <v>0.19180120862271127</v>
      </c>
      <c r="L1658" t="str">
        <f t="shared" si="155"/>
        <v>2024-01</v>
      </c>
      <c r="M1658">
        <f t="shared" si="153"/>
        <v>340.24</v>
      </c>
    </row>
    <row r="1659" spans="1:13" x14ac:dyDescent="0.25">
      <c r="A1659" s="1">
        <v>44802</v>
      </c>
      <c r="B1659" t="s">
        <v>7</v>
      </c>
      <c r="C1659" t="s">
        <v>8</v>
      </c>
      <c r="D1659" t="s">
        <v>18</v>
      </c>
      <c r="E1659">
        <v>1969.75</v>
      </c>
      <c r="F1659">
        <v>1016.69</v>
      </c>
      <c r="G1659">
        <v>3</v>
      </c>
      <c r="H1659">
        <f t="shared" si="150"/>
        <v>5909.25</v>
      </c>
      <c r="I1659">
        <f t="shared" si="154"/>
        <v>3050.07</v>
      </c>
      <c r="J1659">
        <f t="shared" si="151"/>
        <v>2859.18</v>
      </c>
      <c r="K1659" s="8">
        <f t="shared" si="152"/>
        <v>0.48384820408681301</v>
      </c>
      <c r="L1659" t="str">
        <f t="shared" si="155"/>
        <v>2022-08</v>
      </c>
      <c r="M1659">
        <f t="shared" si="153"/>
        <v>2859.18</v>
      </c>
    </row>
    <row r="1660" spans="1:13" x14ac:dyDescent="0.25">
      <c r="A1660" s="1">
        <v>44777</v>
      </c>
      <c r="B1660" t="s">
        <v>10</v>
      </c>
      <c r="C1660" t="s">
        <v>11</v>
      </c>
      <c r="D1660" t="s">
        <v>13</v>
      </c>
      <c r="E1660">
        <v>466.18</v>
      </c>
      <c r="F1660">
        <v>407.42</v>
      </c>
      <c r="G1660">
        <v>5</v>
      </c>
      <c r="H1660">
        <f t="shared" si="150"/>
        <v>2330.9</v>
      </c>
      <c r="I1660">
        <f t="shared" si="154"/>
        <v>2037.1000000000001</v>
      </c>
      <c r="J1660">
        <f t="shared" si="151"/>
        <v>293.79999999999995</v>
      </c>
      <c r="K1660" s="8">
        <f t="shared" si="152"/>
        <v>0.12604573340769656</v>
      </c>
      <c r="L1660" t="str">
        <f t="shared" si="155"/>
        <v>2022-08</v>
      </c>
      <c r="M1660">
        <f t="shared" si="153"/>
        <v>293.79999999999995</v>
      </c>
    </row>
    <row r="1661" spans="1:13" x14ac:dyDescent="0.25">
      <c r="A1661" s="1">
        <v>45449</v>
      </c>
      <c r="B1661" t="s">
        <v>24</v>
      </c>
      <c r="C1661" t="s">
        <v>20</v>
      </c>
      <c r="D1661" t="s">
        <v>17</v>
      </c>
      <c r="E1661">
        <v>864.05</v>
      </c>
      <c r="F1661">
        <v>565.85</v>
      </c>
      <c r="G1661">
        <v>5</v>
      </c>
      <c r="H1661">
        <f t="shared" si="150"/>
        <v>4320.25</v>
      </c>
      <c r="I1661">
        <f t="shared" si="154"/>
        <v>2829.25</v>
      </c>
      <c r="J1661">
        <f t="shared" si="151"/>
        <v>1491</v>
      </c>
      <c r="K1661" s="8">
        <f t="shared" si="152"/>
        <v>0.34511891672935596</v>
      </c>
      <c r="L1661" t="str">
        <f t="shared" si="155"/>
        <v>2024-06</v>
      </c>
      <c r="M1661">
        <f t="shared" si="153"/>
        <v>1491</v>
      </c>
    </row>
    <row r="1662" spans="1:13" x14ac:dyDescent="0.25">
      <c r="A1662" s="1">
        <v>45430</v>
      </c>
      <c r="B1662" t="s">
        <v>7</v>
      </c>
      <c r="C1662" t="s">
        <v>8</v>
      </c>
      <c r="D1662" t="s">
        <v>17</v>
      </c>
      <c r="E1662">
        <v>903.41</v>
      </c>
      <c r="F1662">
        <v>478.91</v>
      </c>
      <c r="G1662">
        <v>2</v>
      </c>
      <c r="H1662">
        <f t="shared" si="150"/>
        <v>1806.82</v>
      </c>
      <c r="I1662">
        <f t="shared" si="154"/>
        <v>957.82</v>
      </c>
      <c r="J1662">
        <f t="shared" si="151"/>
        <v>848.99999999999989</v>
      </c>
      <c r="K1662" s="8">
        <f t="shared" si="152"/>
        <v>0.46988631961125066</v>
      </c>
      <c r="L1662" t="str">
        <f t="shared" si="155"/>
        <v>2024-05</v>
      </c>
      <c r="M1662">
        <f t="shared" si="153"/>
        <v>848.99999999999989</v>
      </c>
    </row>
    <row r="1663" spans="1:13" x14ac:dyDescent="0.25">
      <c r="A1663" s="1">
        <v>44833</v>
      </c>
      <c r="B1663" t="s">
        <v>24</v>
      </c>
      <c r="C1663" t="s">
        <v>20</v>
      </c>
      <c r="D1663" t="s">
        <v>13</v>
      </c>
      <c r="E1663">
        <v>52.16</v>
      </c>
      <c r="F1663">
        <v>33.15</v>
      </c>
      <c r="G1663">
        <v>2</v>
      </c>
      <c r="H1663">
        <f t="shared" si="150"/>
        <v>104.32</v>
      </c>
      <c r="I1663">
        <f t="shared" si="154"/>
        <v>66.3</v>
      </c>
      <c r="J1663">
        <f t="shared" si="151"/>
        <v>38.019999999999996</v>
      </c>
      <c r="K1663" s="8">
        <f t="shared" si="152"/>
        <v>0.36445552147239263</v>
      </c>
      <c r="L1663" t="str">
        <f t="shared" si="155"/>
        <v>2022-09</v>
      </c>
      <c r="M1663">
        <f t="shared" si="153"/>
        <v>38.019999999999996</v>
      </c>
    </row>
    <row r="1664" spans="1:13" x14ac:dyDescent="0.25">
      <c r="A1664" s="1">
        <v>45389</v>
      </c>
      <c r="B1664" t="s">
        <v>19</v>
      </c>
      <c r="C1664" t="s">
        <v>20</v>
      </c>
      <c r="D1664" t="s">
        <v>9</v>
      </c>
      <c r="E1664">
        <v>1763.13</v>
      </c>
      <c r="F1664">
        <v>1352.47</v>
      </c>
      <c r="G1664">
        <v>5</v>
      </c>
      <c r="H1664">
        <f t="shared" si="150"/>
        <v>8815.6500000000015</v>
      </c>
      <c r="I1664">
        <f t="shared" si="154"/>
        <v>6762.35</v>
      </c>
      <c r="J1664">
        <f t="shared" si="151"/>
        <v>2053.3000000000011</v>
      </c>
      <c r="K1664" s="8">
        <f t="shared" si="152"/>
        <v>0.23291532672009446</v>
      </c>
      <c r="L1664" t="str">
        <f t="shared" si="155"/>
        <v>2024-04</v>
      </c>
      <c r="M1664">
        <f t="shared" si="153"/>
        <v>2053.3000000000011</v>
      </c>
    </row>
    <row r="1665" spans="1:13" x14ac:dyDescent="0.25">
      <c r="A1665" s="1">
        <v>45087</v>
      </c>
      <c r="B1665" t="s">
        <v>21</v>
      </c>
      <c r="C1665" t="s">
        <v>20</v>
      </c>
      <c r="D1665" t="s">
        <v>9</v>
      </c>
      <c r="E1665">
        <v>202.75</v>
      </c>
      <c r="F1665">
        <v>174.47</v>
      </c>
      <c r="G1665">
        <v>6</v>
      </c>
      <c r="H1665">
        <f t="shared" si="150"/>
        <v>1216.5</v>
      </c>
      <c r="I1665">
        <f t="shared" si="154"/>
        <v>1046.82</v>
      </c>
      <c r="J1665">
        <f t="shared" si="151"/>
        <v>169.68000000000006</v>
      </c>
      <c r="K1665" s="8">
        <f t="shared" si="152"/>
        <v>0.13948212083847109</v>
      </c>
      <c r="L1665" t="str">
        <f t="shared" si="155"/>
        <v>2023-06</v>
      </c>
      <c r="M1665">
        <f t="shared" si="153"/>
        <v>169.68000000000006</v>
      </c>
    </row>
    <row r="1666" spans="1:13" x14ac:dyDescent="0.25">
      <c r="A1666" s="1">
        <v>44948</v>
      </c>
      <c r="B1666" t="s">
        <v>12</v>
      </c>
      <c r="C1666" t="s">
        <v>8</v>
      </c>
      <c r="D1666" t="s">
        <v>13</v>
      </c>
      <c r="E1666">
        <v>1129.1600000000001</v>
      </c>
      <c r="F1666">
        <v>981.3</v>
      </c>
      <c r="G1666">
        <v>1</v>
      </c>
      <c r="H1666">
        <f t="shared" si="150"/>
        <v>1129.1600000000001</v>
      </c>
      <c r="I1666">
        <f t="shared" si="154"/>
        <v>981.3</v>
      </c>
      <c r="J1666">
        <f t="shared" si="151"/>
        <v>147.86000000000013</v>
      </c>
      <c r="K1666" s="8">
        <f t="shared" si="152"/>
        <v>0.13094689857947511</v>
      </c>
      <c r="L1666" t="str">
        <f t="shared" si="155"/>
        <v>2023-01</v>
      </c>
      <c r="M1666">
        <f t="shared" si="153"/>
        <v>147.86000000000013</v>
      </c>
    </row>
    <row r="1667" spans="1:13" x14ac:dyDescent="0.25">
      <c r="A1667" s="1">
        <v>44751</v>
      </c>
      <c r="B1667" t="s">
        <v>25</v>
      </c>
      <c r="C1667" t="s">
        <v>15</v>
      </c>
      <c r="D1667" t="s">
        <v>13</v>
      </c>
      <c r="E1667">
        <v>1033.0999999999999</v>
      </c>
      <c r="F1667">
        <v>721.29</v>
      </c>
      <c r="G1667">
        <v>5</v>
      </c>
      <c r="H1667">
        <f t="shared" ref="H1667:H1730" si="156">E1667*G1667</f>
        <v>5165.5</v>
      </c>
      <c r="I1667">
        <f t="shared" si="154"/>
        <v>3606.45</v>
      </c>
      <c r="J1667">
        <f t="shared" ref="J1667:J1730" si="157">H1667-I1667</f>
        <v>1559.0500000000002</v>
      </c>
      <c r="K1667" s="8">
        <f t="shared" ref="K1667:K1730" si="158">(H1667-I1667)/H1667</f>
        <v>0.30181976575355729</v>
      </c>
      <c r="L1667" t="str">
        <f t="shared" si="155"/>
        <v>2022-07</v>
      </c>
      <c r="M1667">
        <f t="shared" ref="M1667:M1730" si="159">H1667-I1667</f>
        <v>1559.0500000000002</v>
      </c>
    </row>
    <row r="1668" spans="1:13" x14ac:dyDescent="0.25">
      <c r="A1668" s="1">
        <v>45104</v>
      </c>
      <c r="B1668" t="s">
        <v>7</v>
      </c>
      <c r="C1668" t="s">
        <v>8</v>
      </c>
      <c r="D1668" t="s">
        <v>17</v>
      </c>
      <c r="E1668">
        <v>854.64</v>
      </c>
      <c r="F1668">
        <v>668.66</v>
      </c>
      <c r="G1668">
        <v>1</v>
      </c>
      <c r="H1668">
        <f t="shared" si="156"/>
        <v>854.64</v>
      </c>
      <c r="I1668">
        <f t="shared" ref="I1668:I1731" si="160">F1668*G1668</f>
        <v>668.66</v>
      </c>
      <c r="J1668">
        <f t="shared" si="157"/>
        <v>185.98000000000002</v>
      </c>
      <c r="K1668" s="8">
        <f t="shared" si="158"/>
        <v>0.21761209398109149</v>
      </c>
      <c r="L1668" t="str">
        <f t="shared" ref="L1668:L1731" si="161">TEXT(A1668,"rrrr-mm")</f>
        <v>2023-06</v>
      </c>
      <c r="M1668">
        <f t="shared" si="159"/>
        <v>185.98000000000002</v>
      </c>
    </row>
    <row r="1669" spans="1:13" x14ac:dyDescent="0.25">
      <c r="A1669" s="1">
        <v>44796</v>
      </c>
      <c r="B1669" t="s">
        <v>12</v>
      </c>
      <c r="C1669" t="s">
        <v>8</v>
      </c>
      <c r="D1669" t="s">
        <v>18</v>
      </c>
      <c r="E1669">
        <v>1230.94</v>
      </c>
      <c r="F1669">
        <v>1073.5</v>
      </c>
      <c r="G1669">
        <v>3</v>
      </c>
      <c r="H1669">
        <f t="shared" si="156"/>
        <v>3692.82</v>
      </c>
      <c r="I1669">
        <f t="shared" si="160"/>
        <v>3220.5</v>
      </c>
      <c r="J1669">
        <f t="shared" si="157"/>
        <v>472.32000000000016</v>
      </c>
      <c r="K1669" s="8">
        <f t="shared" si="158"/>
        <v>0.12790225356231827</v>
      </c>
      <c r="L1669" t="str">
        <f t="shared" si="161"/>
        <v>2022-08</v>
      </c>
      <c r="M1669">
        <f t="shared" si="159"/>
        <v>472.32000000000016</v>
      </c>
    </row>
    <row r="1670" spans="1:13" x14ac:dyDescent="0.25">
      <c r="A1670" s="1">
        <v>44683</v>
      </c>
      <c r="B1670" t="s">
        <v>16</v>
      </c>
      <c r="C1670" t="s">
        <v>15</v>
      </c>
      <c r="D1670" t="s">
        <v>13</v>
      </c>
      <c r="E1670">
        <v>1352.58</v>
      </c>
      <c r="F1670">
        <v>1085.5999999999999</v>
      </c>
      <c r="G1670">
        <v>2</v>
      </c>
      <c r="H1670">
        <f t="shared" si="156"/>
        <v>2705.16</v>
      </c>
      <c r="I1670">
        <f t="shared" si="160"/>
        <v>2171.1999999999998</v>
      </c>
      <c r="J1670">
        <f t="shared" si="157"/>
        <v>533.96</v>
      </c>
      <c r="K1670" s="8">
        <f t="shared" si="158"/>
        <v>0.19738573688802144</v>
      </c>
      <c r="L1670" t="str">
        <f t="shared" si="161"/>
        <v>2022-05</v>
      </c>
      <c r="M1670">
        <f t="shared" si="159"/>
        <v>533.96</v>
      </c>
    </row>
    <row r="1671" spans="1:13" x14ac:dyDescent="0.25">
      <c r="A1671" s="1">
        <v>44726</v>
      </c>
      <c r="B1671" t="s">
        <v>25</v>
      </c>
      <c r="C1671" t="s">
        <v>15</v>
      </c>
      <c r="D1671" t="s">
        <v>9</v>
      </c>
      <c r="E1671">
        <v>294.63</v>
      </c>
      <c r="F1671">
        <v>152.97</v>
      </c>
      <c r="G1671">
        <v>2</v>
      </c>
      <c r="H1671">
        <f t="shared" si="156"/>
        <v>589.26</v>
      </c>
      <c r="I1671">
        <f t="shared" si="160"/>
        <v>305.94</v>
      </c>
      <c r="J1671">
        <f t="shared" si="157"/>
        <v>283.32</v>
      </c>
      <c r="K1671" s="8">
        <f t="shared" si="158"/>
        <v>0.48080643518989918</v>
      </c>
      <c r="L1671" t="str">
        <f t="shared" si="161"/>
        <v>2022-06</v>
      </c>
      <c r="M1671">
        <f t="shared" si="159"/>
        <v>283.32</v>
      </c>
    </row>
    <row r="1672" spans="1:13" x14ac:dyDescent="0.25">
      <c r="A1672" s="1">
        <v>44757</v>
      </c>
      <c r="B1672" t="s">
        <v>10</v>
      </c>
      <c r="C1672" t="s">
        <v>11</v>
      </c>
      <c r="D1672" t="s">
        <v>17</v>
      </c>
      <c r="E1672">
        <v>1180.1099999999999</v>
      </c>
      <c r="F1672">
        <v>1053.6400000000001</v>
      </c>
      <c r="G1672">
        <v>5</v>
      </c>
      <c r="H1672">
        <f t="shared" si="156"/>
        <v>5900.5499999999993</v>
      </c>
      <c r="I1672">
        <f t="shared" si="160"/>
        <v>5268.2000000000007</v>
      </c>
      <c r="J1672">
        <f t="shared" si="157"/>
        <v>632.34999999999854</v>
      </c>
      <c r="K1672" s="8">
        <f t="shared" si="158"/>
        <v>0.10716797586665626</v>
      </c>
      <c r="L1672" t="str">
        <f t="shared" si="161"/>
        <v>2022-07</v>
      </c>
      <c r="M1672">
        <f t="shared" si="159"/>
        <v>632.34999999999854</v>
      </c>
    </row>
    <row r="1673" spans="1:13" x14ac:dyDescent="0.25">
      <c r="A1673" s="1">
        <v>45535</v>
      </c>
      <c r="B1673" t="s">
        <v>24</v>
      </c>
      <c r="C1673" t="s">
        <v>20</v>
      </c>
      <c r="D1673" t="s">
        <v>18</v>
      </c>
      <c r="E1673">
        <v>71.44</v>
      </c>
      <c r="F1673">
        <v>41.37</v>
      </c>
      <c r="G1673">
        <v>9</v>
      </c>
      <c r="H1673">
        <f t="shared" si="156"/>
        <v>642.96</v>
      </c>
      <c r="I1673">
        <f t="shared" si="160"/>
        <v>372.33</v>
      </c>
      <c r="J1673">
        <f t="shared" si="157"/>
        <v>270.63000000000005</v>
      </c>
      <c r="K1673" s="8">
        <f t="shared" si="158"/>
        <v>0.42091265397536398</v>
      </c>
      <c r="L1673" t="str">
        <f t="shared" si="161"/>
        <v>2024-08</v>
      </c>
      <c r="M1673">
        <f t="shared" si="159"/>
        <v>270.63000000000005</v>
      </c>
    </row>
    <row r="1674" spans="1:13" x14ac:dyDescent="0.25">
      <c r="A1674" s="1">
        <v>45055</v>
      </c>
      <c r="B1674" t="s">
        <v>12</v>
      </c>
      <c r="C1674" t="s">
        <v>8</v>
      </c>
      <c r="D1674" t="s">
        <v>17</v>
      </c>
      <c r="E1674">
        <v>1530.1</v>
      </c>
      <c r="F1674">
        <v>1293.83</v>
      </c>
      <c r="G1674">
        <v>8</v>
      </c>
      <c r="H1674">
        <f t="shared" si="156"/>
        <v>12240.8</v>
      </c>
      <c r="I1674">
        <f t="shared" si="160"/>
        <v>10350.64</v>
      </c>
      <c r="J1674">
        <f t="shared" si="157"/>
        <v>1890.1599999999999</v>
      </c>
      <c r="K1674" s="8">
        <f t="shared" si="158"/>
        <v>0.15441474413437031</v>
      </c>
      <c r="L1674" t="str">
        <f t="shared" si="161"/>
        <v>2023-05</v>
      </c>
      <c r="M1674">
        <f t="shared" si="159"/>
        <v>1890.1599999999999</v>
      </c>
    </row>
    <row r="1675" spans="1:13" x14ac:dyDescent="0.25">
      <c r="A1675" s="1">
        <v>45088</v>
      </c>
      <c r="B1675" t="s">
        <v>7</v>
      </c>
      <c r="C1675" t="s">
        <v>8</v>
      </c>
      <c r="D1675" t="s">
        <v>18</v>
      </c>
      <c r="E1675">
        <v>251.51</v>
      </c>
      <c r="F1675">
        <v>208</v>
      </c>
      <c r="G1675">
        <v>1</v>
      </c>
      <c r="H1675">
        <f t="shared" si="156"/>
        <v>251.51</v>
      </c>
      <c r="I1675">
        <f t="shared" si="160"/>
        <v>208</v>
      </c>
      <c r="J1675">
        <f t="shared" si="157"/>
        <v>43.509999999999991</v>
      </c>
      <c r="K1675" s="8">
        <f t="shared" si="158"/>
        <v>0.17299510953838809</v>
      </c>
      <c r="L1675" t="str">
        <f t="shared" si="161"/>
        <v>2023-06</v>
      </c>
      <c r="M1675">
        <f t="shared" si="159"/>
        <v>43.509999999999991</v>
      </c>
    </row>
    <row r="1676" spans="1:13" x14ac:dyDescent="0.25">
      <c r="A1676" s="1">
        <v>45100</v>
      </c>
      <c r="B1676" t="s">
        <v>14</v>
      </c>
      <c r="C1676" t="s">
        <v>15</v>
      </c>
      <c r="D1676" t="s">
        <v>17</v>
      </c>
      <c r="E1676">
        <v>673.45</v>
      </c>
      <c r="F1676">
        <v>439.64</v>
      </c>
      <c r="G1676">
        <v>7</v>
      </c>
      <c r="H1676">
        <f t="shared" si="156"/>
        <v>4714.1500000000005</v>
      </c>
      <c r="I1676">
        <f t="shared" si="160"/>
        <v>3077.48</v>
      </c>
      <c r="J1676">
        <f t="shared" si="157"/>
        <v>1636.6700000000005</v>
      </c>
      <c r="K1676" s="8">
        <f t="shared" si="158"/>
        <v>0.34718241888781654</v>
      </c>
      <c r="L1676" t="str">
        <f t="shared" si="161"/>
        <v>2023-06</v>
      </c>
      <c r="M1676">
        <f t="shared" si="159"/>
        <v>1636.6700000000005</v>
      </c>
    </row>
    <row r="1677" spans="1:13" x14ac:dyDescent="0.25">
      <c r="A1677" s="1">
        <v>44692</v>
      </c>
      <c r="B1677" t="s">
        <v>16</v>
      </c>
      <c r="C1677" t="s">
        <v>15</v>
      </c>
      <c r="D1677" t="s">
        <v>9</v>
      </c>
      <c r="E1677">
        <v>1702.84</v>
      </c>
      <c r="F1677">
        <v>1290.3900000000001</v>
      </c>
      <c r="G1677">
        <v>4</v>
      </c>
      <c r="H1677">
        <f t="shared" si="156"/>
        <v>6811.36</v>
      </c>
      <c r="I1677">
        <f t="shared" si="160"/>
        <v>5161.5600000000004</v>
      </c>
      <c r="J1677">
        <f t="shared" si="157"/>
        <v>1649.7999999999993</v>
      </c>
      <c r="K1677" s="8">
        <f t="shared" si="158"/>
        <v>0.24221300885579375</v>
      </c>
      <c r="L1677" t="str">
        <f t="shared" si="161"/>
        <v>2022-05</v>
      </c>
      <c r="M1677">
        <f t="shared" si="159"/>
        <v>1649.7999999999993</v>
      </c>
    </row>
    <row r="1678" spans="1:13" x14ac:dyDescent="0.25">
      <c r="A1678" s="1">
        <v>45141</v>
      </c>
      <c r="B1678" t="s">
        <v>19</v>
      </c>
      <c r="C1678" t="s">
        <v>20</v>
      </c>
      <c r="D1678" t="s">
        <v>9</v>
      </c>
      <c r="E1678">
        <v>452.17</v>
      </c>
      <c r="F1678">
        <v>335.1</v>
      </c>
      <c r="G1678">
        <v>1</v>
      </c>
      <c r="H1678">
        <f t="shared" si="156"/>
        <v>452.17</v>
      </c>
      <c r="I1678">
        <f t="shared" si="160"/>
        <v>335.1</v>
      </c>
      <c r="J1678">
        <f t="shared" si="157"/>
        <v>117.07</v>
      </c>
      <c r="K1678" s="8">
        <f t="shared" si="158"/>
        <v>0.25890704823407124</v>
      </c>
      <c r="L1678" t="str">
        <f t="shared" si="161"/>
        <v>2023-08</v>
      </c>
      <c r="M1678">
        <f t="shared" si="159"/>
        <v>117.07</v>
      </c>
    </row>
    <row r="1679" spans="1:13" x14ac:dyDescent="0.25">
      <c r="A1679" s="1">
        <v>45375</v>
      </c>
      <c r="B1679" t="s">
        <v>7</v>
      </c>
      <c r="C1679" t="s">
        <v>8</v>
      </c>
      <c r="D1679" t="s">
        <v>9</v>
      </c>
      <c r="E1679">
        <v>1824.28</v>
      </c>
      <c r="F1679">
        <v>1622.36</v>
      </c>
      <c r="G1679">
        <v>5</v>
      </c>
      <c r="H1679">
        <f t="shared" si="156"/>
        <v>9121.4</v>
      </c>
      <c r="I1679">
        <f t="shared" si="160"/>
        <v>8111.7999999999993</v>
      </c>
      <c r="J1679">
        <f t="shared" si="157"/>
        <v>1009.6000000000004</v>
      </c>
      <c r="K1679" s="8">
        <f t="shared" si="158"/>
        <v>0.11068476330387883</v>
      </c>
      <c r="L1679" t="str">
        <f t="shared" si="161"/>
        <v>2024-03</v>
      </c>
      <c r="M1679">
        <f t="shared" si="159"/>
        <v>1009.6000000000004</v>
      </c>
    </row>
    <row r="1680" spans="1:13" x14ac:dyDescent="0.25">
      <c r="A1680" s="1">
        <v>44866</v>
      </c>
      <c r="B1680" t="s">
        <v>10</v>
      </c>
      <c r="C1680" t="s">
        <v>11</v>
      </c>
      <c r="D1680" t="s">
        <v>17</v>
      </c>
      <c r="E1680">
        <v>940.8</v>
      </c>
      <c r="F1680">
        <v>826.46</v>
      </c>
      <c r="G1680">
        <v>6</v>
      </c>
      <c r="H1680">
        <f t="shared" si="156"/>
        <v>5644.7999999999993</v>
      </c>
      <c r="I1680">
        <f t="shared" si="160"/>
        <v>4958.76</v>
      </c>
      <c r="J1680">
        <f t="shared" si="157"/>
        <v>686.03999999999905</v>
      </c>
      <c r="K1680" s="8">
        <f t="shared" si="158"/>
        <v>0.12153486394557808</v>
      </c>
      <c r="L1680" t="str">
        <f t="shared" si="161"/>
        <v>2022-11</v>
      </c>
      <c r="M1680">
        <f t="shared" si="159"/>
        <v>686.03999999999905</v>
      </c>
    </row>
    <row r="1681" spans="1:13" x14ac:dyDescent="0.25">
      <c r="A1681" s="1">
        <v>45563</v>
      </c>
      <c r="B1681" t="s">
        <v>12</v>
      </c>
      <c r="C1681" t="s">
        <v>8</v>
      </c>
      <c r="D1681" t="s">
        <v>13</v>
      </c>
      <c r="E1681">
        <v>1588.04</v>
      </c>
      <c r="F1681">
        <v>1214.47</v>
      </c>
      <c r="G1681">
        <v>2</v>
      </c>
      <c r="H1681">
        <f t="shared" si="156"/>
        <v>3176.08</v>
      </c>
      <c r="I1681">
        <f t="shared" si="160"/>
        <v>2428.94</v>
      </c>
      <c r="J1681">
        <f t="shared" si="157"/>
        <v>747.13999999999987</v>
      </c>
      <c r="K1681" s="8">
        <f t="shared" si="158"/>
        <v>0.23523966650714084</v>
      </c>
      <c r="L1681" t="str">
        <f t="shared" si="161"/>
        <v>2024-09</v>
      </c>
      <c r="M1681">
        <f t="shared" si="159"/>
        <v>747.13999999999987</v>
      </c>
    </row>
    <row r="1682" spans="1:13" x14ac:dyDescent="0.25">
      <c r="A1682" s="1">
        <v>45019</v>
      </c>
      <c r="B1682" t="s">
        <v>12</v>
      </c>
      <c r="C1682" t="s">
        <v>8</v>
      </c>
      <c r="D1682" t="s">
        <v>9</v>
      </c>
      <c r="E1682">
        <v>1565.78</v>
      </c>
      <c r="F1682">
        <v>918.84</v>
      </c>
      <c r="G1682">
        <v>5</v>
      </c>
      <c r="H1682">
        <f t="shared" si="156"/>
        <v>7828.9</v>
      </c>
      <c r="I1682">
        <f t="shared" si="160"/>
        <v>4594.2</v>
      </c>
      <c r="J1682">
        <f t="shared" si="157"/>
        <v>3234.7</v>
      </c>
      <c r="K1682" s="8">
        <f t="shared" si="158"/>
        <v>0.4131742645837857</v>
      </c>
      <c r="L1682" t="str">
        <f t="shared" si="161"/>
        <v>2023-04</v>
      </c>
      <c r="M1682">
        <f t="shared" si="159"/>
        <v>3234.7</v>
      </c>
    </row>
    <row r="1683" spans="1:13" x14ac:dyDescent="0.25">
      <c r="A1683" s="1">
        <v>45006</v>
      </c>
      <c r="B1683" t="s">
        <v>21</v>
      </c>
      <c r="C1683" t="s">
        <v>20</v>
      </c>
      <c r="D1683" t="s">
        <v>13</v>
      </c>
      <c r="E1683">
        <v>1409.56</v>
      </c>
      <c r="F1683">
        <v>766.08</v>
      </c>
      <c r="G1683">
        <v>4</v>
      </c>
      <c r="H1683">
        <f t="shared" si="156"/>
        <v>5638.24</v>
      </c>
      <c r="I1683">
        <f t="shared" si="160"/>
        <v>3064.32</v>
      </c>
      <c r="J1683">
        <f t="shared" si="157"/>
        <v>2573.9199999999996</v>
      </c>
      <c r="K1683" s="8">
        <f t="shared" si="158"/>
        <v>0.45651125173813101</v>
      </c>
      <c r="L1683" t="str">
        <f t="shared" si="161"/>
        <v>2023-03</v>
      </c>
      <c r="M1683">
        <f t="shared" si="159"/>
        <v>2573.9199999999996</v>
      </c>
    </row>
    <row r="1684" spans="1:13" x14ac:dyDescent="0.25">
      <c r="A1684" s="1">
        <v>45305</v>
      </c>
      <c r="B1684" t="s">
        <v>24</v>
      </c>
      <c r="C1684" t="s">
        <v>20</v>
      </c>
      <c r="D1684" t="s">
        <v>17</v>
      </c>
      <c r="E1684">
        <v>1155.4000000000001</v>
      </c>
      <c r="F1684">
        <v>648.33000000000004</v>
      </c>
      <c r="G1684">
        <v>6</v>
      </c>
      <c r="H1684">
        <f t="shared" si="156"/>
        <v>6932.4000000000005</v>
      </c>
      <c r="I1684">
        <f t="shared" si="160"/>
        <v>3889.9800000000005</v>
      </c>
      <c r="J1684">
        <f t="shared" si="157"/>
        <v>3042.42</v>
      </c>
      <c r="K1684" s="8">
        <f t="shared" si="158"/>
        <v>0.43886965553055218</v>
      </c>
      <c r="L1684" t="str">
        <f t="shared" si="161"/>
        <v>2024-01</v>
      </c>
      <c r="M1684">
        <f t="shared" si="159"/>
        <v>3042.42</v>
      </c>
    </row>
    <row r="1685" spans="1:13" x14ac:dyDescent="0.25">
      <c r="A1685" s="1">
        <v>44844</v>
      </c>
      <c r="B1685" t="s">
        <v>22</v>
      </c>
      <c r="C1685" t="s">
        <v>8</v>
      </c>
      <c r="D1685" t="s">
        <v>18</v>
      </c>
      <c r="E1685">
        <v>280.33999999999997</v>
      </c>
      <c r="F1685">
        <v>242.19</v>
      </c>
      <c r="G1685">
        <v>7</v>
      </c>
      <c r="H1685">
        <f t="shared" si="156"/>
        <v>1962.3799999999999</v>
      </c>
      <c r="I1685">
        <f t="shared" si="160"/>
        <v>1695.33</v>
      </c>
      <c r="J1685">
        <f t="shared" si="157"/>
        <v>267.04999999999995</v>
      </c>
      <c r="K1685" s="8">
        <f t="shared" si="158"/>
        <v>0.13608475422701005</v>
      </c>
      <c r="L1685" t="str">
        <f t="shared" si="161"/>
        <v>2022-10</v>
      </c>
      <c r="M1685">
        <f t="shared" si="159"/>
        <v>267.04999999999995</v>
      </c>
    </row>
    <row r="1686" spans="1:13" x14ac:dyDescent="0.25">
      <c r="A1686" s="1">
        <v>44703</v>
      </c>
      <c r="B1686" t="s">
        <v>14</v>
      </c>
      <c r="C1686" t="s">
        <v>15</v>
      </c>
      <c r="D1686" t="s">
        <v>9</v>
      </c>
      <c r="E1686">
        <v>870.13</v>
      </c>
      <c r="F1686">
        <v>609.67999999999995</v>
      </c>
      <c r="G1686">
        <v>7</v>
      </c>
      <c r="H1686">
        <f t="shared" si="156"/>
        <v>6090.91</v>
      </c>
      <c r="I1686">
        <f t="shared" si="160"/>
        <v>4267.7599999999993</v>
      </c>
      <c r="J1686">
        <f t="shared" si="157"/>
        <v>1823.1500000000005</v>
      </c>
      <c r="K1686" s="8">
        <f t="shared" si="158"/>
        <v>0.29932308965327031</v>
      </c>
      <c r="L1686" t="str">
        <f t="shared" si="161"/>
        <v>2022-05</v>
      </c>
      <c r="M1686">
        <f t="shared" si="159"/>
        <v>1823.1500000000005</v>
      </c>
    </row>
    <row r="1687" spans="1:13" x14ac:dyDescent="0.25">
      <c r="A1687" s="1">
        <v>45623</v>
      </c>
      <c r="B1687" t="s">
        <v>21</v>
      </c>
      <c r="C1687" t="s">
        <v>20</v>
      </c>
      <c r="D1687" t="s">
        <v>13</v>
      </c>
      <c r="E1687">
        <v>1999.62</v>
      </c>
      <c r="F1687">
        <v>1026.07</v>
      </c>
      <c r="G1687">
        <v>6</v>
      </c>
      <c r="H1687">
        <f t="shared" si="156"/>
        <v>11997.72</v>
      </c>
      <c r="I1687">
        <f t="shared" si="160"/>
        <v>6156.42</v>
      </c>
      <c r="J1687">
        <f t="shared" si="157"/>
        <v>5841.2999999999993</v>
      </c>
      <c r="K1687" s="8">
        <f t="shared" si="158"/>
        <v>0.4868675048259169</v>
      </c>
      <c r="L1687" t="str">
        <f t="shared" si="161"/>
        <v>2024-11</v>
      </c>
      <c r="M1687">
        <f t="shared" si="159"/>
        <v>5841.2999999999993</v>
      </c>
    </row>
    <row r="1688" spans="1:13" x14ac:dyDescent="0.25">
      <c r="A1688" s="1">
        <v>45077</v>
      </c>
      <c r="B1688" t="s">
        <v>12</v>
      </c>
      <c r="C1688" t="s">
        <v>8</v>
      </c>
      <c r="D1688" t="s">
        <v>18</v>
      </c>
      <c r="E1688">
        <v>1959.06</v>
      </c>
      <c r="F1688">
        <v>1623.59</v>
      </c>
      <c r="G1688">
        <v>5</v>
      </c>
      <c r="H1688">
        <f t="shared" si="156"/>
        <v>9795.2999999999993</v>
      </c>
      <c r="I1688">
        <f t="shared" si="160"/>
        <v>8117.95</v>
      </c>
      <c r="J1688">
        <f t="shared" si="157"/>
        <v>1677.3499999999995</v>
      </c>
      <c r="K1688" s="8">
        <f t="shared" si="158"/>
        <v>0.17124028870989144</v>
      </c>
      <c r="L1688" t="str">
        <f t="shared" si="161"/>
        <v>2023-05</v>
      </c>
      <c r="M1688">
        <f t="shared" si="159"/>
        <v>1677.3499999999995</v>
      </c>
    </row>
    <row r="1689" spans="1:13" x14ac:dyDescent="0.25">
      <c r="A1689" s="1">
        <v>45232</v>
      </c>
      <c r="B1689" t="s">
        <v>24</v>
      </c>
      <c r="C1689" t="s">
        <v>20</v>
      </c>
      <c r="D1689" t="s">
        <v>9</v>
      </c>
      <c r="E1689">
        <v>1350.69</v>
      </c>
      <c r="F1689">
        <v>782.69</v>
      </c>
      <c r="G1689">
        <v>4</v>
      </c>
      <c r="H1689">
        <f t="shared" si="156"/>
        <v>5402.76</v>
      </c>
      <c r="I1689">
        <f t="shared" si="160"/>
        <v>3130.76</v>
      </c>
      <c r="J1689">
        <f t="shared" si="157"/>
        <v>2272</v>
      </c>
      <c r="K1689" s="8">
        <f t="shared" si="158"/>
        <v>0.42052580532912803</v>
      </c>
      <c r="L1689" t="str">
        <f t="shared" si="161"/>
        <v>2023-11</v>
      </c>
      <c r="M1689">
        <f t="shared" si="159"/>
        <v>2272</v>
      </c>
    </row>
    <row r="1690" spans="1:13" x14ac:dyDescent="0.25">
      <c r="A1690" s="1">
        <v>45535</v>
      </c>
      <c r="B1690" t="s">
        <v>19</v>
      </c>
      <c r="C1690" t="s">
        <v>20</v>
      </c>
      <c r="D1690" t="s">
        <v>9</v>
      </c>
      <c r="E1690">
        <v>72.239999999999995</v>
      </c>
      <c r="F1690">
        <v>49.78</v>
      </c>
      <c r="G1690">
        <v>5</v>
      </c>
      <c r="H1690">
        <f t="shared" si="156"/>
        <v>361.2</v>
      </c>
      <c r="I1690">
        <f t="shared" si="160"/>
        <v>248.9</v>
      </c>
      <c r="J1690">
        <f t="shared" si="157"/>
        <v>112.29999999999998</v>
      </c>
      <c r="K1690" s="8">
        <f t="shared" si="158"/>
        <v>0.31090808416389809</v>
      </c>
      <c r="L1690" t="str">
        <f t="shared" si="161"/>
        <v>2024-08</v>
      </c>
      <c r="M1690">
        <f t="shared" si="159"/>
        <v>112.29999999999998</v>
      </c>
    </row>
    <row r="1691" spans="1:13" x14ac:dyDescent="0.25">
      <c r="A1691" s="1">
        <v>45470</v>
      </c>
      <c r="B1691" t="s">
        <v>10</v>
      </c>
      <c r="C1691" t="s">
        <v>11</v>
      </c>
      <c r="D1691" t="s">
        <v>18</v>
      </c>
      <c r="E1691">
        <v>1573.99</v>
      </c>
      <c r="F1691">
        <v>987.83</v>
      </c>
      <c r="G1691">
        <v>2</v>
      </c>
      <c r="H1691">
        <f t="shared" si="156"/>
        <v>3147.98</v>
      </c>
      <c r="I1691">
        <f t="shared" si="160"/>
        <v>1975.66</v>
      </c>
      <c r="J1691">
        <f t="shared" si="157"/>
        <v>1172.32</v>
      </c>
      <c r="K1691" s="8">
        <f t="shared" si="158"/>
        <v>0.37240389074898822</v>
      </c>
      <c r="L1691" t="str">
        <f t="shared" si="161"/>
        <v>2024-06</v>
      </c>
      <c r="M1691">
        <f t="shared" si="159"/>
        <v>1172.32</v>
      </c>
    </row>
    <row r="1692" spans="1:13" x14ac:dyDescent="0.25">
      <c r="A1692" s="1">
        <v>45079</v>
      </c>
      <c r="B1692" t="s">
        <v>14</v>
      </c>
      <c r="C1692" t="s">
        <v>15</v>
      </c>
      <c r="D1692" t="s">
        <v>18</v>
      </c>
      <c r="E1692">
        <v>382.42</v>
      </c>
      <c r="F1692">
        <v>327.77</v>
      </c>
      <c r="G1692">
        <v>3</v>
      </c>
      <c r="H1692">
        <f t="shared" si="156"/>
        <v>1147.26</v>
      </c>
      <c r="I1692">
        <f t="shared" si="160"/>
        <v>983.31</v>
      </c>
      <c r="J1692">
        <f t="shared" si="157"/>
        <v>163.95000000000005</v>
      </c>
      <c r="K1692" s="8">
        <f t="shared" si="158"/>
        <v>0.14290570576852679</v>
      </c>
      <c r="L1692" t="str">
        <f t="shared" si="161"/>
        <v>2023-06</v>
      </c>
      <c r="M1692">
        <f t="shared" si="159"/>
        <v>163.95000000000005</v>
      </c>
    </row>
    <row r="1693" spans="1:13" x14ac:dyDescent="0.25">
      <c r="A1693" s="1">
        <v>44754</v>
      </c>
      <c r="B1693" t="s">
        <v>25</v>
      </c>
      <c r="C1693" t="s">
        <v>15</v>
      </c>
      <c r="D1693" t="s">
        <v>9</v>
      </c>
      <c r="E1693">
        <v>189.94</v>
      </c>
      <c r="F1693">
        <v>102.19</v>
      </c>
      <c r="G1693">
        <v>10</v>
      </c>
      <c r="H1693">
        <f t="shared" si="156"/>
        <v>1899.4</v>
      </c>
      <c r="I1693">
        <f t="shared" si="160"/>
        <v>1021.9</v>
      </c>
      <c r="J1693">
        <f t="shared" si="157"/>
        <v>877.50000000000011</v>
      </c>
      <c r="K1693" s="8">
        <f t="shared" si="158"/>
        <v>0.46198799620932929</v>
      </c>
      <c r="L1693" t="str">
        <f t="shared" si="161"/>
        <v>2022-07</v>
      </c>
      <c r="M1693">
        <f t="shared" si="159"/>
        <v>877.50000000000011</v>
      </c>
    </row>
    <row r="1694" spans="1:13" x14ac:dyDescent="0.25">
      <c r="A1694" s="1">
        <v>45530</v>
      </c>
      <c r="B1694" t="s">
        <v>22</v>
      </c>
      <c r="C1694" t="s">
        <v>8</v>
      </c>
      <c r="D1694" t="s">
        <v>17</v>
      </c>
      <c r="E1694">
        <v>1572.1</v>
      </c>
      <c r="F1694">
        <v>1341.06</v>
      </c>
      <c r="G1694">
        <v>8</v>
      </c>
      <c r="H1694">
        <f t="shared" si="156"/>
        <v>12576.8</v>
      </c>
      <c r="I1694">
        <f t="shared" si="160"/>
        <v>10728.48</v>
      </c>
      <c r="J1694">
        <f t="shared" si="157"/>
        <v>1848.3199999999997</v>
      </c>
      <c r="K1694" s="8">
        <f t="shared" si="158"/>
        <v>0.14696266140830735</v>
      </c>
      <c r="L1694" t="str">
        <f t="shared" si="161"/>
        <v>2024-08</v>
      </c>
      <c r="M1694">
        <f t="shared" si="159"/>
        <v>1848.3199999999997</v>
      </c>
    </row>
    <row r="1695" spans="1:13" x14ac:dyDescent="0.25">
      <c r="A1695" s="1">
        <v>44778</v>
      </c>
      <c r="B1695" t="s">
        <v>21</v>
      </c>
      <c r="C1695" t="s">
        <v>20</v>
      </c>
      <c r="D1695" t="s">
        <v>18</v>
      </c>
      <c r="E1695">
        <v>563.97</v>
      </c>
      <c r="F1695">
        <v>488.52</v>
      </c>
      <c r="G1695">
        <v>9</v>
      </c>
      <c r="H1695">
        <f t="shared" si="156"/>
        <v>5075.7300000000005</v>
      </c>
      <c r="I1695">
        <f t="shared" si="160"/>
        <v>4396.68</v>
      </c>
      <c r="J1695">
        <f t="shared" si="157"/>
        <v>679.05000000000018</v>
      </c>
      <c r="K1695" s="8">
        <f t="shared" si="158"/>
        <v>0.13378371189956914</v>
      </c>
      <c r="L1695" t="str">
        <f t="shared" si="161"/>
        <v>2022-08</v>
      </c>
      <c r="M1695">
        <f t="shared" si="159"/>
        <v>679.05000000000018</v>
      </c>
    </row>
    <row r="1696" spans="1:13" x14ac:dyDescent="0.25">
      <c r="A1696" s="1">
        <v>45226</v>
      </c>
      <c r="B1696" t="s">
        <v>7</v>
      </c>
      <c r="C1696" t="s">
        <v>8</v>
      </c>
      <c r="D1696" t="s">
        <v>13</v>
      </c>
      <c r="E1696">
        <v>1697.16</v>
      </c>
      <c r="F1696">
        <v>880.25</v>
      </c>
      <c r="G1696">
        <v>1</v>
      </c>
      <c r="H1696">
        <f t="shared" si="156"/>
        <v>1697.16</v>
      </c>
      <c r="I1696">
        <f t="shared" si="160"/>
        <v>880.25</v>
      </c>
      <c r="J1696">
        <f t="shared" si="157"/>
        <v>816.91000000000008</v>
      </c>
      <c r="K1696" s="8">
        <f t="shared" si="158"/>
        <v>0.48133941407999248</v>
      </c>
      <c r="L1696" t="str">
        <f t="shared" si="161"/>
        <v>2023-10</v>
      </c>
      <c r="M1696">
        <f t="shared" si="159"/>
        <v>816.91000000000008</v>
      </c>
    </row>
    <row r="1697" spans="1:13" x14ac:dyDescent="0.25">
      <c r="A1697" s="1">
        <v>44968</v>
      </c>
      <c r="B1697" t="s">
        <v>25</v>
      </c>
      <c r="C1697" t="s">
        <v>15</v>
      </c>
      <c r="D1697" t="s">
        <v>13</v>
      </c>
      <c r="E1697">
        <v>1130.51</v>
      </c>
      <c r="F1697">
        <v>966.45</v>
      </c>
      <c r="G1697">
        <v>5</v>
      </c>
      <c r="H1697">
        <f t="shared" si="156"/>
        <v>5652.55</v>
      </c>
      <c r="I1697">
        <f t="shared" si="160"/>
        <v>4832.25</v>
      </c>
      <c r="J1697">
        <f t="shared" si="157"/>
        <v>820.30000000000018</v>
      </c>
      <c r="K1697" s="8">
        <f t="shared" si="158"/>
        <v>0.14512034391557796</v>
      </c>
      <c r="L1697" t="str">
        <f t="shared" si="161"/>
        <v>2023-02</v>
      </c>
      <c r="M1697">
        <f t="shared" si="159"/>
        <v>820.30000000000018</v>
      </c>
    </row>
    <row r="1698" spans="1:13" x14ac:dyDescent="0.25">
      <c r="A1698" s="1">
        <v>44736</v>
      </c>
      <c r="B1698" t="s">
        <v>23</v>
      </c>
      <c r="C1698" t="s">
        <v>11</v>
      </c>
      <c r="D1698" t="s">
        <v>9</v>
      </c>
      <c r="E1698">
        <v>560.53</v>
      </c>
      <c r="F1698">
        <v>493.64</v>
      </c>
      <c r="G1698">
        <v>5</v>
      </c>
      <c r="H1698">
        <f t="shared" si="156"/>
        <v>2802.6499999999996</v>
      </c>
      <c r="I1698">
        <f t="shared" si="160"/>
        <v>2468.1999999999998</v>
      </c>
      <c r="J1698">
        <f t="shared" si="157"/>
        <v>334.44999999999982</v>
      </c>
      <c r="K1698" s="8">
        <f t="shared" si="158"/>
        <v>0.11933348794890546</v>
      </c>
      <c r="L1698" t="str">
        <f t="shared" si="161"/>
        <v>2022-06</v>
      </c>
      <c r="M1698">
        <f t="shared" si="159"/>
        <v>334.44999999999982</v>
      </c>
    </row>
    <row r="1699" spans="1:13" x14ac:dyDescent="0.25">
      <c r="A1699" s="1">
        <v>44768</v>
      </c>
      <c r="B1699" t="s">
        <v>12</v>
      </c>
      <c r="C1699" t="s">
        <v>8</v>
      </c>
      <c r="D1699" t="s">
        <v>9</v>
      </c>
      <c r="E1699">
        <v>1717.31</v>
      </c>
      <c r="F1699">
        <v>1217.77</v>
      </c>
      <c r="G1699">
        <v>5</v>
      </c>
      <c r="H1699">
        <f t="shared" si="156"/>
        <v>8586.5499999999993</v>
      </c>
      <c r="I1699">
        <f t="shared" si="160"/>
        <v>6088.85</v>
      </c>
      <c r="J1699">
        <f t="shared" si="157"/>
        <v>2497.6999999999989</v>
      </c>
      <c r="K1699" s="8">
        <f t="shared" si="158"/>
        <v>0.29088516342419241</v>
      </c>
      <c r="L1699" t="str">
        <f t="shared" si="161"/>
        <v>2022-07</v>
      </c>
      <c r="M1699">
        <f t="shared" si="159"/>
        <v>2497.6999999999989</v>
      </c>
    </row>
    <row r="1700" spans="1:13" x14ac:dyDescent="0.25">
      <c r="A1700" s="1">
        <v>45288</v>
      </c>
      <c r="B1700" t="s">
        <v>10</v>
      </c>
      <c r="C1700" t="s">
        <v>11</v>
      </c>
      <c r="D1700" t="s">
        <v>13</v>
      </c>
      <c r="E1700">
        <v>519.5</v>
      </c>
      <c r="F1700">
        <v>262.72000000000003</v>
      </c>
      <c r="G1700">
        <v>1</v>
      </c>
      <c r="H1700">
        <f t="shared" si="156"/>
        <v>519.5</v>
      </c>
      <c r="I1700">
        <f t="shared" si="160"/>
        <v>262.72000000000003</v>
      </c>
      <c r="J1700">
        <f t="shared" si="157"/>
        <v>256.77999999999997</v>
      </c>
      <c r="K1700" s="8">
        <f t="shared" si="158"/>
        <v>0.49428296438883534</v>
      </c>
      <c r="L1700" t="str">
        <f t="shared" si="161"/>
        <v>2023-12</v>
      </c>
      <c r="M1700">
        <f t="shared" si="159"/>
        <v>256.77999999999997</v>
      </c>
    </row>
    <row r="1701" spans="1:13" x14ac:dyDescent="0.25">
      <c r="A1701" s="1">
        <v>44566</v>
      </c>
      <c r="B1701" t="s">
        <v>24</v>
      </c>
      <c r="C1701" t="s">
        <v>20</v>
      </c>
      <c r="D1701" t="s">
        <v>18</v>
      </c>
      <c r="E1701">
        <v>1026.8800000000001</v>
      </c>
      <c r="F1701">
        <v>830.61</v>
      </c>
      <c r="G1701">
        <v>1</v>
      </c>
      <c r="H1701">
        <f t="shared" si="156"/>
        <v>1026.8800000000001</v>
      </c>
      <c r="I1701">
        <f t="shared" si="160"/>
        <v>830.61</v>
      </c>
      <c r="J1701">
        <f t="shared" si="157"/>
        <v>196.2700000000001</v>
      </c>
      <c r="K1701" s="8">
        <f t="shared" si="158"/>
        <v>0.19113236210657533</v>
      </c>
      <c r="L1701" t="str">
        <f t="shared" si="161"/>
        <v>2022-01</v>
      </c>
      <c r="M1701">
        <f t="shared" si="159"/>
        <v>196.2700000000001</v>
      </c>
    </row>
    <row r="1702" spans="1:13" x14ac:dyDescent="0.25">
      <c r="A1702" s="1">
        <v>45112</v>
      </c>
      <c r="B1702" t="s">
        <v>10</v>
      </c>
      <c r="C1702" t="s">
        <v>11</v>
      </c>
      <c r="D1702" t="s">
        <v>9</v>
      </c>
      <c r="E1702">
        <v>1190.3900000000001</v>
      </c>
      <c r="F1702">
        <v>819.74</v>
      </c>
      <c r="G1702">
        <v>8</v>
      </c>
      <c r="H1702">
        <f t="shared" si="156"/>
        <v>9523.1200000000008</v>
      </c>
      <c r="I1702">
        <f t="shared" si="160"/>
        <v>6557.92</v>
      </c>
      <c r="J1702">
        <f t="shared" si="157"/>
        <v>2965.2000000000007</v>
      </c>
      <c r="K1702" s="8">
        <f t="shared" si="158"/>
        <v>0.31136854308251921</v>
      </c>
      <c r="L1702" t="str">
        <f t="shared" si="161"/>
        <v>2023-07</v>
      </c>
      <c r="M1702">
        <f t="shared" si="159"/>
        <v>2965.2000000000007</v>
      </c>
    </row>
    <row r="1703" spans="1:13" x14ac:dyDescent="0.25">
      <c r="A1703" s="1">
        <v>44687</v>
      </c>
      <c r="B1703" t="s">
        <v>14</v>
      </c>
      <c r="C1703" t="s">
        <v>15</v>
      </c>
      <c r="D1703" t="s">
        <v>9</v>
      </c>
      <c r="E1703">
        <v>1963.72</v>
      </c>
      <c r="F1703">
        <v>1477.72</v>
      </c>
      <c r="G1703">
        <v>3</v>
      </c>
      <c r="H1703">
        <f t="shared" si="156"/>
        <v>5891.16</v>
      </c>
      <c r="I1703">
        <f t="shared" si="160"/>
        <v>4433.16</v>
      </c>
      <c r="J1703">
        <f t="shared" si="157"/>
        <v>1458</v>
      </c>
      <c r="K1703" s="8">
        <f t="shared" si="158"/>
        <v>0.24748945878231113</v>
      </c>
      <c r="L1703" t="str">
        <f t="shared" si="161"/>
        <v>2022-05</v>
      </c>
      <c r="M1703">
        <f t="shared" si="159"/>
        <v>1458</v>
      </c>
    </row>
    <row r="1704" spans="1:13" x14ac:dyDescent="0.25">
      <c r="A1704" s="1">
        <v>45100</v>
      </c>
      <c r="B1704" t="s">
        <v>24</v>
      </c>
      <c r="C1704" t="s">
        <v>20</v>
      </c>
      <c r="D1704" t="s">
        <v>17</v>
      </c>
      <c r="E1704">
        <v>552.99</v>
      </c>
      <c r="F1704">
        <v>388.21</v>
      </c>
      <c r="G1704">
        <v>7</v>
      </c>
      <c r="H1704">
        <f t="shared" si="156"/>
        <v>3870.9300000000003</v>
      </c>
      <c r="I1704">
        <f t="shared" si="160"/>
        <v>2717.47</v>
      </c>
      <c r="J1704">
        <f t="shared" si="157"/>
        <v>1153.4600000000005</v>
      </c>
      <c r="K1704" s="8">
        <f t="shared" si="158"/>
        <v>0.29798007197236848</v>
      </c>
      <c r="L1704" t="str">
        <f t="shared" si="161"/>
        <v>2023-06</v>
      </c>
      <c r="M1704">
        <f t="shared" si="159"/>
        <v>1153.4600000000005</v>
      </c>
    </row>
    <row r="1705" spans="1:13" x14ac:dyDescent="0.25">
      <c r="A1705" s="1">
        <v>45312</v>
      </c>
      <c r="B1705" t="s">
        <v>10</v>
      </c>
      <c r="C1705" t="s">
        <v>11</v>
      </c>
      <c r="D1705" t="s">
        <v>9</v>
      </c>
      <c r="E1705">
        <v>832.11</v>
      </c>
      <c r="F1705">
        <v>672.82</v>
      </c>
      <c r="G1705">
        <v>5</v>
      </c>
      <c r="H1705">
        <f t="shared" si="156"/>
        <v>4160.55</v>
      </c>
      <c r="I1705">
        <f t="shared" si="160"/>
        <v>3364.1000000000004</v>
      </c>
      <c r="J1705">
        <f t="shared" si="157"/>
        <v>796.44999999999982</v>
      </c>
      <c r="K1705" s="8">
        <f t="shared" si="158"/>
        <v>0.1914290177981276</v>
      </c>
      <c r="L1705" t="str">
        <f t="shared" si="161"/>
        <v>2024-01</v>
      </c>
      <c r="M1705">
        <f t="shared" si="159"/>
        <v>796.44999999999982</v>
      </c>
    </row>
    <row r="1706" spans="1:13" x14ac:dyDescent="0.25">
      <c r="A1706" s="1">
        <v>45133</v>
      </c>
      <c r="B1706" t="s">
        <v>16</v>
      </c>
      <c r="C1706" t="s">
        <v>15</v>
      </c>
      <c r="D1706" t="s">
        <v>18</v>
      </c>
      <c r="E1706">
        <v>532.20000000000005</v>
      </c>
      <c r="F1706">
        <v>371.3</v>
      </c>
      <c r="G1706">
        <v>6</v>
      </c>
      <c r="H1706">
        <f t="shared" si="156"/>
        <v>3193.2000000000003</v>
      </c>
      <c r="I1706">
        <f t="shared" si="160"/>
        <v>2227.8000000000002</v>
      </c>
      <c r="J1706">
        <f t="shared" si="157"/>
        <v>965.40000000000009</v>
      </c>
      <c r="K1706" s="8">
        <f t="shared" si="158"/>
        <v>0.30232995114618566</v>
      </c>
      <c r="L1706" t="str">
        <f t="shared" si="161"/>
        <v>2023-07</v>
      </c>
      <c r="M1706">
        <f t="shared" si="159"/>
        <v>965.40000000000009</v>
      </c>
    </row>
    <row r="1707" spans="1:13" x14ac:dyDescent="0.25">
      <c r="A1707" s="1">
        <v>45179</v>
      </c>
      <c r="B1707" t="s">
        <v>22</v>
      </c>
      <c r="C1707" t="s">
        <v>8</v>
      </c>
      <c r="D1707" t="s">
        <v>13</v>
      </c>
      <c r="E1707">
        <v>1379.96</v>
      </c>
      <c r="F1707">
        <v>720.1</v>
      </c>
      <c r="G1707">
        <v>10</v>
      </c>
      <c r="H1707">
        <f t="shared" si="156"/>
        <v>13799.6</v>
      </c>
      <c r="I1707">
        <f t="shared" si="160"/>
        <v>7201</v>
      </c>
      <c r="J1707">
        <f t="shared" si="157"/>
        <v>6598.6</v>
      </c>
      <c r="K1707" s="8">
        <f t="shared" si="158"/>
        <v>0.47817328038493873</v>
      </c>
      <c r="L1707" t="str">
        <f t="shared" si="161"/>
        <v>2023-09</v>
      </c>
      <c r="M1707">
        <f t="shared" si="159"/>
        <v>6598.6</v>
      </c>
    </row>
    <row r="1708" spans="1:13" x14ac:dyDescent="0.25">
      <c r="A1708" s="1">
        <v>44607</v>
      </c>
      <c r="B1708" t="s">
        <v>7</v>
      </c>
      <c r="C1708" t="s">
        <v>8</v>
      </c>
      <c r="D1708" t="s">
        <v>13</v>
      </c>
      <c r="E1708">
        <v>176.41</v>
      </c>
      <c r="F1708">
        <v>105.7</v>
      </c>
      <c r="G1708">
        <v>2</v>
      </c>
      <c r="H1708">
        <f t="shared" si="156"/>
        <v>352.82</v>
      </c>
      <c r="I1708">
        <f t="shared" si="160"/>
        <v>211.4</v>
      </c>
      <c r="J1708">
        <f t="shared" si="157"/>
        <v>141.41999999999999</v>
      </c>
      <c r="K1708" s="8">
        <f t="shared" si="158"/>
        <v>0.40082761748200213</v>
      </c>
      <c r="L1708" t="str">
        <f t="shared" si="161"/>
        <v>2022-02</v>
      </c>
      <c r="M1708">
        <f t="shared" si="159"/>
        <v>141.41999999999999</v>
      </c>
    </row>
    <row r="1709" spans="1:13" x14ac:dyDescent="0.25">
      <c r="A1709" s="1">
        <v>45582</v>
      </c>
      <c r="B1709" t="s">
        <v>24</v>
      </c>
      <c r="C1709" t="s">
        <v>20</v>
      </c>
      <c r="D1709" t="s">
        <v>17</v>
      </c>
      <c r="E1709">
        <v>1764.66</v>
      </c>
      <c r="F1709">
        <v>1000.16</v>
      </c>
      <c r="G1709">
        <v>6</v>
      </c>
      <c r="H1709">
        <f t="shared" si="156"/>
        <v>10587.960000000001</v>
      </c>
      <c r="I1709">
        <f t="shared" si="160"/>
        <v>6000.96</v>
      </c>
      <c r="J1709">
        <f t="shared" si="157"/>
        <v>4587.0000000000009</v>
      </c>
      <c r="K1709" s="8">
        <f t="shared" si="158"/>
        <v>0.43322793059286213</v>
      </c>
      <c r="L1709" t="str">
        <f t="shared" si="161"/>
        <v>2024-10</v>
      </c>
      <c r="M1709">
        <f t="shared" si="159"/>
        <v>4587.0000000000009</v>
      </c>
    </row>
    <row r="1710" spans="1:13" x14ac:dyDescent="0.25">
      <c r="A1710" s="1">
        <v>45490</v>
      </c>
      <c r="B1710" t="s">
        <v>12</v>
      </c>
      <c r="C1710" t="s">
        <v>8</v>
      </c>
      <c r="D1710" t="s">
        <v>9</v>
      </c>
      <c r="E1710">
        <v>469.29</v>
      </c>
      <c r="F1710">
        <v>385.73</v>
      </c>
      <c r="G1710">
        <v>4</v>
      </c>
      <c r="H1710">
        <f t="shared" si="156"/>
        <v>1877.16</v>
      </c>
      <c r="I1710">
        <f t="shared" si="160"/>
        <v>1542.92</v>
      </c>
      <c r="J1710">
        <f t="shared" si="157"/>
        <v>334.24</v>
      </c>
      <c r="K1710" s="8">
        <f t="shared" si="158"/>
        <v>0.17805621257644527</v>
      </c>
      <c r="L1710" t="str">
        <f t="shared" si="161"/>
        <v>2024-07</v>
      </c>
      <c r="M1710">
        <f t="shared" si="159"/>
        <v>334.24</v>
      </c>
    </row>
    <row r="1711" spans="1:13" x14ac:dyDescent="0.25">
      <c r="A1711" s="1">
        <v>44793</v>
      </c>
      <c r="B1711" t="s">
        <v>23</v>
      </c>
      <c r="C1711" t="s">
        <v>11</v>
      </c>
      <c r="D1711" t="s">
        <v>18</v>
      </c>
      <c r="E1711">
        <v>201.66</v>
      </c>
      <c r="F1711">
        <v>155.80000000000001</v>
      </c>
      <c r="G1711">
        <v>6</v>
      </c>
      <c r="H1711">
        <f t="shared" si="156"/>
        <v>1209.96</v>
      </c>
      <c r="I1711">
        <f t="shared" si="160"/>
        <v>934.80000000000007</v>
      </c>
      <c r="J1711">
        <f t="shared" si="157"/>
        <v>275.15999999999997</v>
      </c>
      <c r="K1711" s="8">
        <f t="shared" si="158"/>
        <v>0.2274124764455023</v>
      </c>
      <c r="L1711" t="str">
        <f t="shared" si="161"/>
        <v>2022-08</v>
      </c>
      <c r="M1711">
        <f t="shared" si="159"/>
        <v>275.15999999999997</v>
      </c>
    </row>
    <row r="1712" spans="1:13" x14ac:dyDescent="0.25">
      <c r="A1712" s="1">
        <v>45261</v>
      </c>
      <c r="B1712" t="s">
        <v>16</v>
      </c>
      <c r="C1712" t="s">
        <v>15</v>
      </c>
      <c r="D1712" t="s">
        <v>9</v>
      </c>
      <c r="E1712">
        <v>1940.59</v>
      </c>
      <c r="F1712">
        <v>1194.21</v>
      </c>
      <c r="G1712">
        <v>10</v>
      </c>
      <c r="H1712">
        <f t="shared" si="156"/>
        <v>19405.899999999998</v>
      </c>
      <c r="I1712">
        <f t="shared" si="160"/>
        <v>11942.1</v>
      </c>
      <c r="J1712">
        <f t="shared" si="157"/>
        <v>7463.7999999999975</v>
      </c>
      <c r="K1712" s="8">
        <f t="shared" si="158"/>
        <v>0.38461498822523038</v>
      </c>
      <c r="L1712" t="str">
        <f t="shared" si="161"/>
        <v>2023-12</v>
      </c>
      <c r="M1712">
        <f t="shared" si="159"/>
        <v>7463.7999999999975</v>
      </c>
    </row>
    <row r="1713" spans="1:13" x14ac:dyDescent="0.25">
      <c r="A1713" s="1">
        <v>45502</v>
      </c>
      <c r="B1713" t="s">
        <v>24</v>
      </c>
      <c r="C1713" t="s">
        <v>20</v>
      </c>
      <c r="D1713" t="s">
        <v>18</v>
      </c>
      <c r="E1713">
        <v>594.61</v>
      </c>
      <c r="F1713">
        <v>352.28</v>
      </c>
      <c r="G1713">
        <v>1</v>
      </c>
      <c r="H1713">
        <f t="shared" si="156"/>
        <v>594.61</v>
      </c>
      <c r="I1713">
        <f t="shared" si="160"/>
        <v>352.28</v>
      </c>
      <c r="J1713">
        <f t="shared" si="157"/>
        <v>242.33000000000004</v>
      </c>
      <c r="K1713" s="8">
        <f t="shared" si="158"/>
        <v>0.40754444089403147</v>
      </c>
      <c r="L1713" t="str">
        <f t="shared" si="161"/>
        <v>2024-07</v>
      </c>
      <c r="M1713">
        <f t="shared" si="159"/>
        <v>242.33000000000004</v>
      </c>
    </row>
    <row r="1714" spans="1:13" x14ac:dyDescent="0.25">
      <c r="A1714" s="1">
        <v>44609</v>
      </c>
      <c r="B1714" t="s">
        <v>21</v>
      </c>
      <c r="C1714" t="s">
        <v>20</v>
      </c>
      <c r="D1714" t="s">
        <v>18</v>
      </c>
      <c r="E1714">
        <v>614.88</v>
      </c>
      <c r="F1714">
        <v>377.6</v>
      </c>
      <c r="G1714">
        <v>3</v>
      </c>
      <c r="H1714">
        <f t="shared" si="156"/>
        <v>1844.6399999999999</v>
      </c>
      <c r="I1714">
        <f t="shared" si="160"/>
        <v>1132.8000000000002</v>
      </c>
      <c r="J1714">
        <f t="shared" si="157"/>
        <v>711.83999999999969</v>
      </c>
      <c r="K1714" s="8">
        <f t="shared" si="158"/>
        <v>0.3858964350767628</v>
      </c>
      <c r="L1714" t="str">
        <f t="shared" si="161"/>
        <v>2022-02</v>
      </c>
      <c r="M1714">
        <f t="shared" si="159"/>
        <v>711.83999999999969</v>
      </c>
    </row>
    <row r="1715" spans="1:13" x14ac:dyDescent="0.25">
      <c r="A1715" s="1">
        <v>44974</v>
      </c>
      <c r="B1715" t="s">
        <v>23</v>
      </c>
      <c r="C1715" t="s">
        <v>11</v>
      </c>
      <c r="D1715" t="s">
        <v>13</v>
      </c>
      <c r="E1715">
        <v>1300.8599999999999</v>
      </c>
      <c r="F1715">
        <v>756.12</v>
      </c>
      <c r="G1715">
        <v>7</v>
      </c>
      <c r="H1715">
        <f t="shared" si="156"/>
        <v>9106.0199999999986</v>
      </c>
      <c r="I1715">
        <f t="shared" si="160"/>
        <v>5292.84</v>
      </c>
      <c r="J1715">
        <f t="shared" si="157"/>
        <v>3813.1799999999985</v>
      </c>
      <c r="K1715" s="8">
        <f t="shared" si="158"/>
        <v>0.41875374752087069</v>
      </c>
      <c r="L1715" t="str">
        <f t="shared" si="161"/>
        <v>2023-02</v>
      </c>
      <c r="M1715">
        <f t="shared" si="159"/>
        <v>3813.1799999999985</v>
      </c>
    </row>
    <row r="1716" spans="1:13" x14ac:dyDescent="0.25">
      <c r="A1716" s="1">
        <v>45263</v>
      </c>
      <c r="B1716" t="s">
        <v>21</v>
      </c>
      <c r="C1716" t="s">
        <v>20</v>
      </c>
      <c r="D1716" t="s">
        <v>18</v>
      </c>
      <c r="E1716">
        <v>1093.57</v>
      </c>
      <c r="F1716">
        <v>782.85</v>
      </c>
      <c r="G1716">
        <v>9</v>
      </c>
      <c r="H1716">
        <f t="shared" si="156"/>
        <v>9842.1299999999992</v>
      </c>
      <c r="I1716">
        <f t="shared" si="160"/>
        <v>7045.6500000000005</v>
      </c>
      <c r="J1716">
        <f t="shared" si="157"/>
        <v>2796.4799999999987</v>
      </c>
      <c r="K1716" s="8">
        <f t="shared" si="158"/>
        <v>0.28413361741818072</v>
      </c>
      <c r="L1716" t="str">
        <f t="shared" si="161"/>
        <v>2023-12</v>
      </c>
      <c r="M1716">
        <f t="shared" si="159"/>
        <v>2796.4799999999987</v>
      </c>
    </row>
    <row r="1717" spans="1:13" x14ac:dyDescent="0.25">
      <c r="A1717" s="1">
        <v>44772</v>
      </c>
      <c r="B1717" t="s">
        <v>25</v>
      </c>
      <c r="C1717" t="s">
        <v>15</v>
      </c>
      <c r="D1717" t="s">
        <v>9</v>
      </c>
      <c r="E1717">
        <v>543.71</v>
      </c>
      <c r="F1717">
        <v>465.9</v>
      </c>
      <c r="G1717">
        <v>8</v>
      </c>
      <c r="H1717">
        <f t="shared" si="156"/>
        <v>4349.68</v>
      </c>
      <c r="I1717">
        <f t="shared" si="160"/>
        <v>3727.2</v>
      </c>
      <c r="J1717">
        <f t="shared" si="157"/>
        <v>622.48000000000047</v>
      </c>
      <c r="K1717" s="8">
        <f t="shared" si="158"/>
        <v>0.14310937816115218</v>
      </c>
      <c r="L1717" t="str">
        <f t="shared" si="161"/>
        <v>2022-07</v>
      </c>
      <c r="M1717">
        <f t="shared" si="159"/>
        <v>622.48000000000047</v>
      </c>
    </row>
    <row r="1718" spans="1:13" x14ac:dyDescent="0.25">
      <c r="A1718" s="1">
        <v>45335</v>
      </c>
      <c r="B1718" t="s">
        <v>16</v>
      </c>
      <c r="C1718" t="s">
        <v>15</v>
      </c>
      <c r="D1718" t="s">
        <v>17</v>
      </c>
      <c r="E1718">
        <v>1467.11</v>
      </c>
      <c r="F1718">
        <v>1249.74</v>
      </c>
      <c r="G1718">
        <v>8</v>
      </c>
      <c r="H1718">
        <f t="shared" si="156"/>
        <v>11736.88</v>
      </c>
      <c r="I1718">
        <f t="shared" si="160"/>
        <v>9997.92</v>
      </c>
      <c r="J1718">
        <f t="shared" si="157"/>
        <v>1738.9599999999991</v>
      </c>
      <c r="K1718" s="8">
        <f t="shared" si="158"/>
        <v>0.14816203284007329</v>
      </c>
      <c r="L1718" t="str">
        <f t="shared" si="161"/>
        <v>2024-02</v>
      </c>
      <c r="M1718">
        <f t="shared" si="159"/>
        <v>1738.9599999999991</v>
      </c>
    </row>
    <row r="1719" spans="1:13" x14ac:dyDescent="0.25">
      <c r="A1719" s="1">
        <v>44570</v>
      </c>
      <c r="B1719" t="s">
        <v>24</v>
      </c>
      <c r="C1719" t="s">
        <v>20</v>
      </c>
      <c r="D1719" t="s">
        <v>13</v>
      </c>
      <c r="E1719">
        <v>1421.35</v>
      </c>
      <c r="F1719">
        <v>1065.58</v>
      </c>
      <c r="G1719">
        <v>7</v>
      </c>
      <c r="H1719">
        <f t="shared" si="156"/>
        <v>9949.4499999999989</v>
      </c>
      <c r="I1719">
        <f t="shared" si="160"/>
        <v>7459.0599999999995</v>
      </c>
      <c r="J1719">
        <f t="shared" si="157"/>
        <v>2490.3899999999994</v>
      </c>
      <c r="K1719" s="8">
        <f t="shared" si="158"/>
        <v>0.25030428817673334</v>
      </c>
      <c r="L1719" t="str">
        <f t="shared" si="161"/>
        <v>2022-01</v>
      </c>
      <c r="M1719">
        <f t="shared" si="159"/>
        <v>2490.3899999999994</v>
      </c>
    </row>
    <row r="1720" spans="1:13" x14ac:dyDescent="0.25">
      <c r="A1720" s="1">
        <v>45157</v>
      </c>
      <c r="B1720" t="s">
        <v>19</v>
      </c>
      <c r="C1720" t="s">
        <v>20</v>
      </c>
      <c r="D1720" t="s">
        <v>17</v>
      </c>
      <c r="E1720">
        <v>1467.71</v>
      </c>
      <c r="F1720">
        <v>845.31</v>
      </c>
      <c r="G1720">
        <v>9</v>
      </c>
      <c r="H1720">
        <f t="shared" si="156"/>
        <v>13209.39</v>
      </c>
      <c r="I1720">
        <f t="shared" si="160"/>
        <v>7607.7899999999991</v>
      </c>
      <c r="J1720">
        <f t="shared" si="157"/>
        <v>5601.6</v>
      </c>
      <c r="K1720" s="8">
        <f t="shared" si="158"/>
        <v>0.42406197409570018</v>
      </c>
      <c r="L1720" t="str">
        <f t="shared" si="161"/>
        <v>2023-08</v>
      </c>
      <c r="M1720">
        <f t="shared" si="159"/>
        <v>5601.6</v>
      </c>
    </row>
    <row r="1721" spans="1:13" x14ac:dyDescent="0.25">
      <c r="A1721" s="1">
        <v>44669</v>
      </c>
      <c r="B1721" t="s">
        <v>23</v>
      </c>
      <c r="C1721" t="s">
        <v>11</v>
      </c>
      <c r="D1721" t="s">
        <v>9</v>
      </c>
      <c r="E1721">
        <v>1271.26</v>
      </c>
      <c r="F1721">
        <v>1137.73</v>
      </c>
      <c r="G1721">
        <v>4</v>
      </c>
      <c r="H1721">
        <f t="shared" si="156"/>
        <v>5085.04</v>
      </c>
      <c r="I1721">
        <f t="shared" si="160"/>
        <v>4550.92</v>
      </c>
      <c r="J1721">
        <f t="shared" si="157"/>
        <v>534.11999999999989</v>
      </c>
      <c r="K1721" s="8">
        <f t="shared" si="158"/>
        <v>0.10503752182873682</v>
      </c>
      <c r="L1721" t="str">
        <f t="shared" si="161"/>
        <v>2022-04</v>
      </c>
      <c r="M1721">
        <f t="shared" si="159"/>
        <v>534.11999999999989</v>
      </c>
    </row>
    <row r="1722" spans="1:13" x14ac:dyDescent="0.25">
      <c r="A1722" s="1">
        <v>45207</v>
      </c>
      <c r="B1722" t="s">
        <v>10</v>
      </c>
      <c r="C1722" t="s">
        <v>11</v>
      </c>
      <c r="D1722" t="s">
        <v>17</v>
      </c>
      <c r="E1722">
        <v>761.95</v>
      </c>
      <c r="F1722">
        <v>513.44000000000005</v>
      </c>
      <c r="G1722">
        <v>4</v>
      </c>
      <c r="H1722">
        <f t="shared" si="156"/>
        <v>3047.8</v>
      </c>
      <c r="I1722">
        <f t="shared" si="160"/>
        <v>2053.7600000000002</v>
      </c>
      <c r="J1722">
        <f t="shared" si="157"/>
        <v>994.04</v>
      </c>
      <c r="K1722" s="8">
        <f t="shared" si="158"/>
        <v>0.32615000984316556</v>
      </c>
      <c r="L1722" t="str">
        <f t="shared" si="161"/>
        <v>2023-10</v>
      </c>
      <c r="M1722">
        <f t="shared" si="159"/>
        <v>994.04</v>
      </c>
    </row>
    <row r="1723" spans="1:13" x14ac:dyDescent="0.25">
      <c r="A1723" s="1">
        <v>45395</v>
      </c>
      <c r="B1723" t="s">
        <v>7</v>
      </c>
      <c r="C1723" t="s">
        <v>8</v>
      </c>
      <c r="D1723" t="s">
        <v>13</v>
      </c>
      <c r="E1723">
        <v>1607.95</v>
      </c>
      <c r="F1723">
        <v>1368.59</v>
      </c>
      <c r="G1723">
        <v>1</v>
      </c>
      <c r="H1723">
        <f t="shared" si="156"/>
        <v>1607.95</v>
      </c>
      <c r="I1723">
        <f t="shared" si="160"/>
        <v>1368.59</v>
      </c>
      <c r="J1723">
        <f t="shared" si="157"/>
        <v>239.36000000000013</v>
      </c>
      <c r="K1723" s="8">
        <f t="shared" si="158"/>
        <v>0.14886035013526547</v>
      </c>
      <c r="L1723" t="str">
        <f t="shared" si="161"/>
        <v>2024-04</v>
      </c>
      <c r="M1723">
        <f t="shared" si="159"/>
        <v>239.36000000000013</v>
      </c>
    </row>
    <row r="1724" spans="1:13" x14ac:dyDescent="0.25">
      <c r="A1724" s="1">
        <v>45428</v>
      </c>
      <c r="B1724" t="s">
        <v>24</v>
      </c>
      <c r="C1724" t="s">
        <v>20</v>
      </c>
      <c r="D1724" t="s">
        <v>18</v>
      </c>
      <c r="E1724">
        <v>758.29</v>
      </c>
      <c r="F1724">
        <v>653.4</v>
      </c>
      <c r="G1724">
        <v>8</v>
      </c>
      <c r="H1724">
        <f t="shared" si="156"/>
        <v>6066.32</v>
      </c>
      <c r="I1724">
        <f t="shared" si="160"/>
        <v>5227.2</v>
      </c>
      <c r="J1724">
        <f t="shared" si="157"/>
        <v>839.11999999999989</v>
      </c>
      <c r="K1724" s="8">
        <f t="shared" si="158"/>
        <v>0.13832438776721306</v>
      </c>
      <c r="L1724" t="str">
        <f t="shared" si="161"/>
        <v>2024-05</v>
      </c>
      <c r="M1724">
        <f t="shared" si="159"/>
        <v>839.11999999999989</v>
      </c>
    </row>
    <row r="1725" spans="1:13" x14ac:dyDescent="0.25">
      <c r="A1725" s="1">
        <v>45101</v>
      </c>
      <c r="B1725" t="s">
        <v>21</v>
      </c>
      <c r="C1725" t="s">
        <v>20</v>
      </c>
      <c r="D1725" t="s">
        <v>9</v>
      </c>
      <c r="E1725">
        <v>1060.79</v>
      </c>
      <c r="F1725">
        <v>889.68</v>
      </c>
      <c r="G1725">
        <v>7</v>
      </c>
      <c r="H1725">
        <f t="shared" si="156"/>
        <v>7425.53</v>
      </c>
      <c r="I1725">
        <f t="shared" si="160"/>
        <v>6227.7599999999993</v>
      </c>
      <c r="J1725">
        <f t="shared" si="157"/>
        <v>1197.7700000000004</v>
      </c>
      <c r="K1725" s="8">
        <f t="shared" si="158"/>
        <v>0.16130431093807451</v>
      </c>
      <c r="L1725" t="str">
        <f t="shared" si="161"/>
        <v>2023-06</v>
      </c>
      <c r="M1725">
        <f t="shared" si="159"/>
        <v>1197.7700000000004</v>
      </c>
    </row>
    <row r="1726" spans="1:13" x14ac:dyDescent="0.25">
      <c r="A1726" s="1">
        <v>45115</v>
      </c>
      <c r="B1726" t="s">
        <v>21</v>
      </c>
      <c r="C1726" t="s">
        <v>20</v>
      </c>
      <c r="D1726" t="s">
        <v>18</v>
      </c>
      <c r="E1726">
        <v>887.26</v>
      </c>
      <c r="F1726">
        <v>795.34</v>
      </c>
      <c r="G1726">
        <v>3</v>
      </c>
      <c r="H1726">
        <f t="shared" si="156"/>
        <v>2661.7799999999997</v>
      </c>
      <c r="I1726">
        <f t="shared" si="160"/>
        <v>2386.02</v>
      </c>
      <c r="J1726">
        <f t="shared" si="157"/>
        <v>275.75999999999976</v>
      </c>
      <c r="K1726" s="8">
        <f t="shared" si="158"/>
        <v>0.1035998467191127</v>
      </c>
      <c r="L1726" t="str">
        <f t="shared" si="161"/>
        <v>2023-07</v>
      </c>
      <c r="M1726">
        <f t="shared" si="159"/>
        <v>275.75999999999976</v>
      </c>
    </row>
    <row r="1727" spans="1:13" x14ac:dyDescent="0.25">
      <c r="A1727" s="1">
        <v>45057</v>
      </c>
      <c r="B1727" t="s">
        <v>10</v>
      </c>
      <c r="C1727" t="s">
        <v>11</v>
      </c>
      <c r="D1727" t="s">
        <v>9</v>
      </c>
      <c r="E1727">
        <v>833.16</v>
      </c>
      <c r="F1727">
        <v>488.12</v>
      </c>
      <c r="G1727">
        <v>2</v>
      </c>
      <c r="H1727">
        <f t="shared" si="156"/>
        <v>1666.32</v>
      </c>
      <c r="I1727">
        <f t="shared" si="160"/>
        <v>976.24</v>
      </c>
      <c r="J1727">
        <f t="shared" si="157"/>
        <v>690.07999999999993</v>
      </c>
      <c r="K1727" s="8">
        <f t="shared" si="158"/>
        <v>0.41413413990109937</v>
      </c>
      <c r="L1727" t="str">
        <f t="shared" si="161"/>
        <v>2023-05</v>
      </c>
      <c r="M1727">
        <f t="shared" si="159"/>
        <v>690.07999999999993</v>
      </c>
    </row>
    <row r="1728" spans="1:13" x14ac:dyDescent="0.25">
      <c r="A1728" s="1">
        <v>44630</v>
      </c>
      <c r="B1728" t="s">
        <v>24</v>
      </c>
      <c r="C1728" t="s">
        <v>20</v>
      </c>
      <c r="D1728" t="s">
        <v>18</v>
      </c>
      <c r="E1728">
        <v>1670.55</v>
      </c>
      <c r="F1728">
        <v>1251.2</v>
      </c>
      <c r="G1728">
        <v>4</v>
      </c>
      <c r="H1728">
        <f t="shared" si="156"/>
        <v>6682.2</v>
      </c>
      <c r="I1728">
        <f t="shared" si="160"/>
        <v>5004.8</v>
      </c>
      <c r="J1728">
        <f t="shared" si="157"/>
        <v>1677.3999999999996</v>
      </c>
      <c r="K1728" s="8">
        <f t="shared" si="158"/>
        <v>0.25102511149022771</v>
      </c>
      <c r="L1728" t="str">
        <f t="shared" si="161"/>
        <v>2022-03</v>
      </c>
      <c r="M1728">
        <f t="shared" si="159"/>
        <v>1677.3999999999996</v>
      </c>
    </row>
    <row r="1729" spans="1:13" x14ac:dyDescent="0.25">
      <c r="A1729" s="1">
        <v>44591</v>
      </c>
      <c r="B1729" t="s">
        <v>12</v>
      </c>
      <c r="C1729" t="s">
        <v>8</v>
      </c>
      <c r="D1729" t="s">
        <v>9</v>
      </c>
      <c r="E1729">
        <v>1215.18</v>
      </c>
      <c r="F1729">
        <v>1060.8900000000001</v>
      </c>
      <c r="G1729">
        <v>1</v>
      </c>
      <c r="H1729">
        <f t="shared" si="156"/>
        <v>1215.18</v>
      </c>
      <c r="I1729">
        <f t="shared" si="160"/>
        <v>1060.8900000000001</v>
      </c>
      <c r="J1729">
        <f t="shared" si="157"/>
        <v>154.28999999999996</v>
      </c>
      <c r="K1729" s="8">
        <f t="shared" si="158"/>
        <v>0.12696884412185847</v>
      </c>
      <c r="L1729" t="str">
        <f t="shared" si="161"/>
        <v>2022-01</v>
      </c>
      <c r="M1729">
        <f t="shared" si="159"/>
        <v>154.28999999999996</v>
      </c>
    </row>
    <row r="1730" spans="1:13" x14ac:dyDescent="0.25">
      <c r="A1730" s="1">
        <v>44721</v>
      </c>
      <c r="B1730" t="s">
        <v>25</v>
      </c>
      <c r="C1730" t="s">
        <v>15</v>
      </c>
      <c r="D1730" t="s">
        <v>13</v>
      </c>
      <c r="E1730">
        <v>1286.78</v>
      </c>
      <c r="F1730">
        <v>1141.74</v>
      </c>
      <c r="G1730">
        <v>7</v>
      </c>
      <c r="H1730">
        <f t="shared" si="156"/>
        <v>9007.4599999999991</v>
      </c>
      <c r="I1730">
        <f t="shared" si="160"/>
        <v>7992.18</v>
      </c>
      <c r="J1730">
        <f t="shared" si="157"/>
        <v>1015.2799999999988</v>
      </c>
      <c r="K1730" s="8">
        <f t="shared" si="158"/>
        <v>0.11271546029624321</v>
      </c>
      <c r="L1730" t="str">
        <f t="shared" si="161"/>
        <v>2022-06</v>
      </c>
      <c r="M1730">
        <f t="shared" si="159"/>
        <v>1015.2799999999988</v>
      </c>
    </row>
    <row r="1731" spans="1:13" x14ac:dyDescent="0.25">
      <c r="A1731" s="1">
        <v>45526</v>
      </c>
      <c r="B1731" t="s">
        <v>22</v>
      </c>
      <c r="C1731" t="s">
        <v>8</v>
      </c>
      <c r="D1731" t="s">
        <v>9</v>
      </c>
      <c r="E1731">
        <v>779.02</v>
      </c>
      <c r="F1731">
        <v>591.75</v>
      </c>
      <c r="G1731">
        <v>6</v>
      </c>
      <c r="H1731">
        <f t="shared" ref="H1731:H1794" si="162">E1731*G1731</f>
        <v>4674.12</v>
      </c>
      <c r="I1731">
        <f t="shared" si="160"/>
        <v>3550.5</v>
      </c>
      <c r="J1731">
        <f t="shared" ref="J1731:J1794" si="163">H1731-I1731</f>
        <v>1123.6199999999999</v>
      </c>
      <c r="K1731" s="8">
        <f t="shared" ref="K1731:K1794" si="164">(H1731-I1731)/H1731</f>
        <v>0.24039177428050626</v>
      </c>
      <c r="L1731" t="str">
        <f t="shared" si="161"/>
        <v>2024-08</v>
      </c>
      <c r="M1731">
        <f t="shared" ref="M1731:M1794" si="165">H1731-I1731</f>
        <v>1123.6199999999999</v>
      </c>
    </row>
    <row r="1732" spans="1:13" x14ac:dyDescent="0.25">
      <c r="A1732" s="1">
        <v>44878</v>
      </c>
      <c r="B1732" t="s">
        <v>10</v>
      </c>
      <c r="C1732" t="s">
        <v>11</v>
      </c>
      <c r="D1732" t="s">
        <v>13</v>
      </c>
      <c r="E1732">
        <v>712.91</v>
      </c>
      <c r="F1732">
        <v>563.45000000000005</v>
      </c>
      <c r="G1732">
        <v>8</v>
      </c>
      <c r="H1732">
        <f t="shared" si="162"/>
        <v>5703.28</v>
      </c>
      <c r="I1732">
        <f t="shared" ref="I1732:I1795" si="166">F1732*G1732</f>
        <v>4507.6000000000004</v>
      </c>
      <c r="J1732">
        <f t="shared" si="163"/>
        <v>1195.6799999999994</v>
      </c>
      <c r="K1732" s="8">
        <f t="shared" si="164"/>
        <v>0.20964778162741429</v>
      </c>
      <c r="L1732" t="str">
        <f t="shared" ref="L1732:L1795" si="167">TEXT(A1732,"rrrr-mm")</f>
        <v>2022-11</v>
      </c>
      <c r="M1732">
        <f t="shared" si="165"/>
        <v>1195.6799999999994</v>
      </c>
    </row>
    <row r="1733" spans="1:13" x14ac:dyDescent="0.25">
      <c r="A1733" s="1">
        <v>45314</v>
      </c>
      <c r="B1733" t="s">
        <v>10</v>
      </c>
      <c r="C1733" t="s">
        <v>11</v>
      </c>
      <c r="D1733" t="s">
        <v>17</v>
      </c>
      <c r="E1733">
        <v>1728.86</v>
      </c>
      <c r="F1733">
        <v>939.96</v>
      </c>
      <c r="G1733">
        <v>5</v>
      </c>
      <c r="H1733">
        <f t="shared" si="162"/>
        <v>8644.2999999999993</v>
      </c>
      <c r="I1733">
        <f t="shared" si="166"/>
        <v>4699.8</v>
      </c>
      <c r="J1733">
        <f t="shared" si="163"/>
        <v>3944.4999999999991</v>
      </c>
      <c r="K1733" s="8">
        <f t="shared" si="164"/>
        <v>0.45631225200421083</v>
      </c>
      <c r="L1733" t="str">
        <f t="shared" si="167"/>
        <v>2024-01</v>
      </c>
      <c r="M1733">
        <f t="shared" si="165"/>
        <v>3944.4999999999991</v>
      </c>
    </row>
    <row r="1734" spans="1:13" x14ac:dyDescent="0.25">
      <c r="A1734" s="1">
        <v>45324</v>
      </c>
      <c r="B1734" t="s">
        <v>21</v>
      </c>
      <c r="C1734" t="s">
        <v>20</v>
      </c>
      <c r="D1734" t="s">
        <v>13</v>
      </c>
      <c r="E1734">
        <v>94.44</v>
      </c>
      <c r="F1734">
        <v>63.53</v>
      </c>
      <c r="G1734">
        <v>9</v>
      </c>
      <c r="H1734">
        <f t="shared" si="162"/>
        <v>849.96</v>
      </c>
      <c r="I1734">
        <f t="shared" si="166"/>
        <v>571.77</v>
      </c>
      <c r="J1734">
        <f t="shared" si="163"/>
        <v>278.19000000000005</v>
      </c>
      <c r="K1734" s="8">
        <f t="shared" si="164"/>
        <v>0.32729775518847953</v>
      </c>
      <c r="L1734" t="str">
        <f t="shared" si="167"/>
        <v>2024-02</v>
      </c>
      <c r="M1734">
        <f t="shared" si="165"/>
        <v>278.19000000000005</v>
      </c>
    </row>
    <row r="1735" spans="1:13" x14ac:dyDescent="0.25">
      <c r="A1735" s="1">
        <v>45473</v>
      </c>
      <c r="B1735" t="s">
        <v>16</v>
      </c>
      <c r="C1735" t="s">
        <v>15</v>
      </c>
      <c r="D1735" t="s">
        <v>18</v>
      </c>
      <c r="E1735">
        <v>1861.71</v>
      </c>
      <c r="F1735">
        <v>1051.1199999999999</v>
      </c>
      <c r="G1735">
        <v>1</v>
      </c>
      <c r="H1735">
        <f t="shared" si="162"/>
        <v>1861.71</v>
      </c>
      <c r="I1735">
        <f t="shared" si="166"/>
        <v>1051.1199999999999</v>
      </c>
      <c r="J1735">
        <f t="shared" si="163"/>
        <v>810.59000000000015</v>
      </c>
      <c r="K1735" s="8">
        <f t="shared" si="164"/>
        <v>0.43540078744809885</v>
      </c>
      <c r="L1735" t="str">
        <f t="shared" si="167"/>
        <v>2024-06</v>
      </c>
      <c r="M1735">
        <f t="shared" si="165"/>
        <v>810.59000000000015</v>
      </c>
    </row>
    <row r="1736" spans="1:13" x14ac:dyDescent="0.25">
      <c r="A1736" s="1">
        <v>45294</v>
      </c>
      <c r="B1736" t="s">
        <v>7</v>
      </c>
      <c r="C1736" t="s">
        <v>8</v>
      </c>
      <c r="D1736" t="s">
        <v>13</v>
      </c>
      <c r="E1736">
        <v>1283.02</v>
      </c>
      <c r="F1736">
        <v>962.84</v>
      </c>
      <c r="G1736">
        <v>3</v>
      </c>
      <c r="H1736">
        <f t="shared" si="162"/>
        <v>3849.06</v>
      </c>
      <c r="I1736">
        <f t="shared" si="166"/>
        <v>2888.52</v>
      </c>
      <c r="J1736">
        <f t="shared" si="163"/>
        <v>960.54</v>
      </c>
      <c r="K1736" s="8">
        <f t="shared" si="164"/>
        <v>0.2495518386307306</v>
      </c>
      <c r="L1736" t="str">
        <f t="shared" si="167"/>
        <v>2024-01</v>
      </c>
      <c r="M1736">
        <f t="shared" si="165"/>
        <v>960.54</v>
      </c>
    </row>
    <row r="1737" spans="1:13" x14ac:dyDescent="0.25">
      <c r="A1737" s="1">
        <v>44802</v>
      </c>
      <c r="B1737" t="s">
        <v>19</v>
      </c>
      <c r="C1737" t="s">
        <v>20</v>
      </c>
      <c r="D1737" t="s">
        <v>13</v>
      </c>
      <c r="E1737">
        <v>637.72</v>
      </c>
      <c r="F1737">
        <v>422.04</v>
      </c>
      <c r="G1737">
        <v>6</v>
      </c>
      <c r="H1737">
        <f t="shared" si="162"/>
        <v>3826.32</v>
      </c>
      <c r="I1737">
        <f t="shared" si="166"/>
        <v>2532.2400000000002</v>
      </c>
      <c r="J1737">
        <f t="shared" si="163"/>
        <v>1294.08</v>
      </c>
      <c r="K1737" s="8">
        <f t="shared" si="164"/>
        <v>0.3382048547952079</v>
      </c>
      <c r="L1737" t="str">
        <f t="shared" si="167"/>
        <v>2022-08</v>
      </c>
      <c r="M1737">
        <f t="shared" si="165"/>
        <v>1294.08</v>
      </c>
    </row>
    <row r="1738" spans="1:13" x14ac:dyDescent="0.25">
      <c r="A1738" s="1">
        <v>44828</v>
      </c>
      <c r="B1738" t="s">
        <v>21</v>
      </c>
      <c r="C1738" t="s">
        <v>20</v>
      </c>
      <c r="D1738" t="s">
        <v>13</v>
      </c>
      <c r="E1738">
        <v>1792.1</v>
      </c>
      <c r="F1738">
        <v>1054.03</v>
      </c>
      <c r="G1738">
        <v>10</v>
      </c>
      <c r="H1738">
        <f t="shared" si="162"/>
        <v>17921</v>
      </c>
      <c r="I1738">
        <f t="shared" si="166"/>
        <v>10540.3</v>
      </c>
      <c r="J1738">
        <f t="shared" si="163"/>
        <v>7380.7000000000007</v>
      </c>
      <c r="K1738" s="8">
        <f t="shared" si="164"/>
        <v>0.41184643714078462</v>
      </c>
      <c r="L1738" t="str">
        <f t="shared" si="167"/>
        <v>2022-09</v>
      </c>
      <c r="M1738">
        <f t="shared" si="165"/>
        <v>7380.7000000000007</v>
      </c>
    </row>
    <row r="1739" spans="1:13" x14ac:dyDescent="0.25">
      <c r="A1739" s="1">
        <v>45221</v>
      </c>
      <c r="B1739" t="s">
        <v>21</v>
      </c>
      <c r="C1739" t="s">
        <v>20</v>
      </c>
      <c r="D1739" t="s">
        <v>13</v>
      </c>
      <c r="E1739">
        <v>1164.92</v>
      </c>
      <c r="F1739">
        <v>958.24</v>
      </c>
      <c r="G1739">
        <v>1</v>
      </c>
      <c r="H1739">
        <f t="shared" si="162"/>
        <v>1164.92</v>
      </c>
      <c r="I1739">
        <f t="shared" si="166"/>
        <v>958.24</v>
      </c>
      <c r="J1739">
        <f t="shared" si="163"/>
        <v>206.68000000000006</v>
      </c>
      <c r="K1739" s="8">
        <f t="shared" si="164"/>
        <v>0.17741990866325588</v>
      </c>
      <c r="L1739" t="str">
        <f t="shared" si="167"/>
        <v>2023-10</v>
      </c>
      <c r="M1739">
        <f t="shared" si="165"/>
        <v>206.68000000000006</v>
      </c>
    </row>
    <row r="1740" spans="1:13" x14ac:dyDescent="0.25">
      <c r="A1740" s="1">
        <v>45435</v>
      </c>
      <c r="B1740" t="s">
        <v>7</v>
      </c>
      <c r="C1740" t="s">
        <v>8</v>
      </c>
      <c r="D1740" t="s">
        <v>17</v>
      </c>
      <c r="E1740">
        <v>1141.3399999999999</v>
      </c>
      <c r="F1740">
        <v>774.74</v>
      </c>
      <c r="G1740">
        <v>2</v>
      </c>
      <c r="H1740">
        <f t="shared" si="162"/>
        <v>2282.6799999999998</v>
      </c>
      <c r="I1740">
        <f t="shared" si="166"/>
        <v>1549.48</v>
      </c>
      <c r="J1740">
        <f t="shared" si="163"/>
        <v>733.19999999999982</v>
      </c>
      <c r="K1740" s="8">
        <f t="shared" si="164"/>
        <v>0.32120139485166554</v>
      </c>
      <c r="L1740" t="str">
        <f t="shared" si="167"/>
        <v>2024-05</v>
      </c>
      <c r="M1740">
        <f t="shared" si="165"/>
        <v>733.19999999999982</v>
      </c>
    </row>
    <row r="1741" spans="1:13" x14ac:dyDescent="0.25">
      <c r="A1741" s="1">
        <v>45550</v>
      </c>
      <c r="B1741" t="s">
        <v>19</v>
      </c>
      <c r="C1741" t="s">
        <v>20</v>
      </c>
      <c r="D1741" t="s">
        <v>18</v>
      </c>
      <c r="E1741">
        <v>1092.1300000000001</v>
      </c>
      <c r="F1741">
        <v>839.51</v>
      </c>
      <c r="G1741">
        <v>6</v>
      </c>
      <c r="H1741">
        <f t="shared" si="162"/>
        <v>6552.7800000000007</v>
      </c>
      <c r="I1741">
        <f t="shared" si="166"/>
        <v>5037.0599999999995</v>
      </c>
      <c r="J1741">
        <f t="shared" si="163"/>
        <v>1515.7200000000012</v>
      </c>
      <c r="K1741" s="8">
        <f t="shared" si="164"/>
        <v>0.23130945949658024</v>
      </c>
      <c r="L1741" t="str">
        <f t="shared" si="167"/>
        <v>2024-09</v>
      </c>
      <c r="M1741">
        <f t="shared" si="165"/>
        <v>1515.7200000000012</v>
      </c>
    </row>
    <row r="1742" spans="1:13" x14ac:dyDescent="0.25">
      <c r="A1742" s="1">
        <v>45012</v>
      </c>
      <c r="B1742" t="s">
        <v>19</v>
      </c>
      <c r="C1742" t="s">
        <v>20</v>
      </c>
      <c r="D1742" t="s">
        <v>13</v>
      </c>
      <c r="E1742">
        <v>184.06</v>
      </c>
      <c r="F1742">
        <v>133.22999999999999</v>
      </c>
      <c r="G1742">
        <v>4</v>
      </c>
      <c r="H1742">
        <f t="shared" si="162"/>
        <v>736.24</v>
      </c>
      <c r="I1742">
        <f t="shared" si="166"/>
        <v>532.91999999999996</v>
      </c>
      <c r="J1742">
        <f t="shared" si="163"/>
        <v>203.32000000000005</v>
      </c>
      <c r="K1742" s="8">
        <f t="shared" si="164"/>
        <v>0.27615994784309472</v>
      </c>
      <c r="L1742" t="str">
        <f t="shared" si="167"/>
        <v>2023-03</v>
      </c>
      <c r="M1742">
        <f t="shared" si="165"/>
        <v>203.32000000000005</v>
      </c>
    </row>
    <row r="1743" spans="1:13" x14ac:dyDescent="0.25">
      <c r="A1743" s="1">
        <v>44658</v>
      </c>
      <c r="B1743" t="s">
        <v>21</v>
      </c>
      <c r="C1743" t="s">
        <v>20</v>
      </c>
      <c r="D1743" t="s">
        <v>18</v>
      </c>
      <c r="E1743">
        <v>1690.5</v>
      </c>
      <c r="F1743">
        <v>1341.63</v>
      </c>
      <c r="G1743">
        <v>2</v>
      </c>
      <c r="H1743">
        <f t="shared" si="162"/>
        <v>3381</v>
      </c>
      <c r="I1743">
        <f t="shared" si="166"/>
        <v>2683.26</v>
      </c>
      <c r="J1743">
        <f t="shared" si="163"/>
        <v>697.73999999999978</v>
      </c>
      <c r="K1743" s="8">
        <f t="shared" si="164"/>
        <v>0.20637089618456073</v>
      </c>
      <c r="L1743" t="str">
        <f t="shared" si="167"/>
        <v>2022-04</v>
      </c>
      <c r="M1743">
        <f t="shared" si="165"/>
        <v>697.73999999999978</v>
      </c>
    </row>
    <row r="1744" spans="1:13" x14ac:dyDescent="0.25">
      <c r="A1744" s="1">
        <v>45524</v>
      </c>
      <c r="B1744" t="s">
        <v>21</v>
      </c>
      <c r="C1744" t="s">
        <v>20</v>
      </c>
      <c r="D1744" t="s">
        <v>17</v>
      </c>
      <c r="E1744">
        <v>1453.11</v>
      </c>
      <c r="F1744">
        <v>913.55</v>
      </c>
      <c r="G1744">
        <v>8</v>
      </c>
      <c r="H1744">
        <f t="shared" si="162"/>
        <v>11624.88</v>
      </c>
      <c r="I1744">
        <f t="shared" si="166"/>
        <v>7308.4</v>
      </c>
      <c r="J1744">
        <f t="shared" si="163"/>
        <v>4316.4799999999996</v>
      </c>
      <c r="K1744" s="8">
        <f t="shared" si="164"/>
        <v>0.37131394044497662</v>
      </c>
      <c r="L1744" t="str">
        <f t="shared" si="167"/>
        <v>2024-08</v>
      </c>
      <c r="M1744">
        <f t="shared" si="165"/>
        <v>4316.4799999999996</v>
      </c>
    </row>
    <row r="1745" spans="1:13" x14ac:dyDescent="0.25">
      <c r="A1745" s="1">
        <v>44927</v>
      </c>
      <c r="B1745" t="s">
        <v>16</v>
      </c>
      <c r="C1745" t="s">
        <v>15</v>
      </c>
      <c r="D1745" t="s">
        <v>9</v>
      </c>
      <c r="E1745">
        <v>1187.95</v>
      </c>
      <c r="F1745">
        <v>781.99</v>
      </c>
      <c r="G1745">
        <v>3</v>
      </c>
      <c r="H1745">
        <f t="shared" si="162"/>
        <v>3563.8500000000004</v>
      </c>
      <c r="I1745">
        <f t="shared" si="166"/>
        <v>2345.9700000000003</v>
      </c>
      <c r="J1745">
        <f t="shared" si="163"/>
        <v>1217.8800000000001</v>
      </c>
      <c r="K1745" s="8">
        <f t="shared" si="164"/>
        <v>0.3417315543583484</v>
      </c>
      <c r="L1745" t="str">
        <f t="shared" si="167"/>
        <v>2023-01</v>
      </c>
      <c r="M1745">
        <f t="shared" si="165"/>
        <v>1217.8800000000001</v>
      </c>
    </row>
    <row r="1746" spans="1:13" x14ac:dyDescent="0.25">
      <c r="A1746" s="1">
        <v>45230</v>
      </c>
      <c r="B1746" t="s">
        <v>23</v>
      </c>
      <c r="C1746" t="s">
        <v>11</v>
      </c>
      <c r="D1746" t="s">
        <v>13</v>
      </c>
      <c r="E1746">
        <v>1857.88</v>
      </c>
      <c r="F1746">
        <v>1671.47</v>
      </c>
      <c r="G1746">
        <v>4</v>
      </c>
      <c r="H1746">
        <f t="shared" si="162"/>
        <v>7431.52</v>
      </c>
      <c r="I1746">
        <f t="shared" si="166"/>
        <v>6685.88</v>
      </c>
      <c r="J1746">
        <f t="shared" si="163"/>
        <v>745.64000000000033</v>
      </c>
      <c r="K1746" s="8">
        <f t="shared" si="164"/>
        <v>0.10033479019097039</v>
      </c>
      <c r="L1746" t="str">
        <f t="shared" si="167"/>
        <v>2023-10</v>
      </c>
      <c r="M1746">
        <f t="shared" si="165"/>
        <v>745.64000000000033</v>
      </c>
    </row>
    <row r="1747" spans="1:13" x14ac:dyDescent="0.25">
      <c r="A1747" s="1">
        <v>44823</v>
      </c>
      <c r="B1747" t="s">
        <v>16</v>
      </c>
      <c r="C1747" t="s">
        <v>15</v>
      </c>
      <c r="D1747" t="s">
        <v>18</v>
      </c>
      <c r="E1747">
        <v>925.87</v>
      </c>
      <c r="F1747">
        <v>482.91</v>
      </c>
      <c r="G1747">
        <v>9</v>
      </c>
      <c r="H1747">
        <f t="shared" si="162"/>
        <v>8332.83</v>
      </c>
      <c r="I1747">
        <f t="shared" si="166"/>
        <v>4346.1900000000005</v>
      </c>
      <c r="J1747">
        <f t="shared" si="163"/>
        <v>3986.6399999999994</v>
      </c>
      <c r="K1747" s="8">
        <f t="shared" si="164"/>
        <v>0.47842569691209341</v>
      </c>
      <c r="L1747" t="str">
        <f t="shared" si="167"/>
        <v>2022-09</v>
      </c>
      <c r="M1747">
        <f t="shared" si="165"/>
        <v>3986.6399999999994</v>
      </c>
    </row>
    <row r="1748" spans="1:13" x14ac:dyDescent="0.25">
      <c r="A1748" s="1">
        <v>44638</v>
      </c>
      <c r="B1748" t="s">
        <v>22</v>
      </c>
      <c r="C1748" t="s">
        <v>8</v>
      </c>
      <c r="D1748" t="s">
        <v>13</v>
      </c>
      <c r="E1748">
        <v>999.61</v>
      </c>
      <c r="F1748">
        <v>689.3</v>
      </c>
      <c r="G1748">
        <v>8</v>
      </c>
      <c r="H1748">
        <f t="shared" si="162"/>
        <v>7996.88</v>
      </c>
      <c r="I1748">
        <f t="shared" si="166"/>
        <v>5514.4</v>
      </c>
      <c r="J1748">
        <f t="shared" si="163"/>
        <v>2482.4800000000005</v>
      </c>
      <c r="K1748" s="8">
        <f t="shared" si="164"/>
        <v>0.31043106811656551</v>
      </c>
      <c r="L1748" t="str">
        <f t="shared" si="167"/>
        <v>2022-03</v>
      </c>
      <c r="M1748">
        <f t="shared" si="165"/>
        <v>2482.4800000000005</v>
      </c>
    </row>
    <row r="1749" spans="1:13" x14ac:dyDescent="0.25">
      <c r="A1749" s="1">
        <v>45108</v>
      </c>
      <c r="B1749" t="s">
        <v>16</v>
      </c>
      <c r="C1749" t="s">
        <v>15</v>
      </c>
      <c r="D1749" t="s">
        <v>18</v>
      </c>
      <c r="E1749">
        <v>69.180000000000007</v>
      </c>
      <c r="F1749">
        <v>60.72</v>
      </c>
      <c r="G1749">
        <v>8</v>
      </c>
      <c r="H1749">
        <f t="shared" si="162"/>
        <v>553.44000000000005</v>
      </c>
      <c r="I1749">
        <f t="shared" si="166"/>
        <v>485.76</v>
      </c>
      <c r="J1749">
        <f t="shared" si="163"/>
        <v>67.680000000000064</v>
      </c>
      <c r="K1749" s="8">
        <f t="shared" si="164"/>
        <v>0.12228967909800531</v>
      </c>
      <c r="L1749" t="str">
        <f t="shared" si="167"/>
        <v>2023-07</v>
      </c>
      <c r="M1749">
        <f t="shared" si="165"/>
        <v>67.680000000000064</v>
      </c>
    </row>
    <row r="1750" spans="1:13" x14ac:dyDescent="0.25">
      <c r="A1750" s="1">
        <v>44604</v>
      </c>
      <c r="B1750" t="s">
        <v>7</v>
      </c>
      <c r="C1750" t="s">
        <v>8</v>
      </c>
      <c r="D1750" t="s">
        <v>9</v>
      </c>
      <c r="E1750">
        <v>1618.41</v>
      </c>
      <c r="F1750">
        <v>1321.49</v>
      </c>
      <c r="G1750">
        <v>7</v>
      </c>
      <c r="H1750">
        <f t="shared" si="162"/>
        <v>11328.87</v>
      </c>
      <c r="I1750">
        <f t="shared" si="166"/>
        <v>9250.43</v>
      </c>
      <c r="J1750">
        <f t="shared" si="163"/>
        <v>2078.4400000000005</v>
      </c>
      <c r="K1750" s="8">
        <f t="shared" si="164"/>
        <v>0.18346401715263749</v>
      </c>
      <c r="L1750" t="str">
        <f t="shared" si="167"/>
        <v>2022-02</v>
      </c>
      <c r="M1750">
        <f t="shared" si="165"/>
        <v>2078.4400000000005</v>
      </c>
    </row>
    <row r="1751" spans="1:13" x14ac:dyDescent="0.25">
      <c r="A1751" s="1">
        <v>45336</v>
      </c>
      <c r="B1751" t="s">
        <v>10</v>
      </c>
      <c r="C1751" t="s">
        <v>11</v>
      </c>
      <c r="D1751" t="s">
        <v>18</v>
      </c>
      <c r="E1751">
        <v>1961.91</v>
      </c>
      <c r="F1751">
        <v>1725.04</v>
      </c>
      <c r="G1751">
        <v>3</v>
      </c>
      <c r="H1751">
        <f t="shared" si="162"/>
        <v>5885.7300000000005</v>
      </c>
      <c r="I1751">
        <f t="shared" si="166"/>
        <v>5175.12</v>
      </c>
      <c r="J1751">
        <f t="shared" si="163"/>
        <v>710.61000000000058</v>
      </c>
      <c r="K1751" s="8">
        <f t="shared" si="164"/>
        <v>0.12073438638877429</v>
      </c>
      <c r="L1751" t="str">
        <f t="shared" si="167"/>
        <v>2024-02</v>
      </c>
      <c r="M1751">
        <f t="shared" si="165"/>
        <v>710.61000000000058</v>
      </c>
    </row>
    <row r="1752" spans="1:13" x14ac:dyDescent="0.25">
      <c r="A1752" s="1">
        <v>45334</v>
      </c>
      <c r="B1752" t="s">
        <v>19</v>
      </c>
      <c r="C1752" t="s">
        <v>20</v>
      </c>
      <c r="D1752" t="s">
        <v>13</v>
      </c>
      <c r="E1752">
        <v>947.17</v>
      </c>
      <c r="F1752">
        <v>652.76</v>
      </c>
      <c r="G1752">
        <v>8</v>
      </c>
      <c r="H1752">
        <f t="shared" si="162"/>
        <v>7577.36</v>
      </c>
      <c r="I1752">
        <f t="shared" si="166"/>
        <v>5222.08</v>
      </c>
      <c r="J1752">
        <f t="shared" si="163"/>
        <v>2355.2799999999997</v>
      </c>
      <c r="K1752" s="8">
        <f t="shared" si="164"/>
        <v>0.31083121298183009</v>
      </c>
      <c r="L1752" t="str">
        <f t="shared" si="167"/>
        <v>2024-02</v>
      </c>
      <c r="M1752">
        <f t="shared" si="165"/>
        <v>2355.2799999999997</v>
      </c>
    </row>
    <row r="1753" spans="1:13" x14ac:dyDescent="0.25">
      <c r="A1753" s="1">
        <v>44946</v>
      </c>
      <c r="B1753" t="s">
        <v>23</v>
      </c>
      <c r="C1753" t="s">
        <v>11</v>
      </c>
      <c r="D1753" t="s">
        <v>13</v>
      </c>
      <c r="E1753">
        <v>1724.47</v>
      </c>
      <c r="F1753">
        <v>1375.09</v>
      </c>
      <c r="G1753">
        <v>4</v>
      </c>
      <c r="H1753">
        <f t="shared" si="162"/>
        <v>6897.88</v>
      </c>
      <c r="I1753">
        <f t="shared" si="166"/>
        <v>5500.36</v>
      </c>
      <c r="J1753">
        <f t="shared" si="163"/>
        <v>1397.5200000000004</v>
      </c>
      <c r="K1753" s="8">
        <f t="shared" si="164"/>
        <v>0.20260137897440958</v>
      </c>
      <c r="L1753" t="str">
        <f t="shared" si="167"/>
        <v>2023-01</v>
      </c>
      <c r="M1753">
        <f t="shared" si="165"/>
        <v>1397.5200000000004</v>
      </c>
    </row>
    <row r="1754" spans="1:13" x14ac:dyDescent="0.25">
      <c r="A1754" s="1">
        <v>44701</v>
      </c>
      <c r="B1754" t="s">
        <v>10</v>
      </c>
      <c r="C1754" t="s">
        <v>11</v>
      </c>
      <c r="D1754" t="s">
        <v>18</v>
      </c>
      <c r="E1754">
        <v>1882.44</v>
      </c>
      <c r="F1754">
        <v>1300.8499999999999</v>
      </c>
      <c r="G1754">
        <v>9</v>
      </c>
      <c r="H1754">
        <f t="shared" si="162"/>
        <v>16941.96</v>
      </c>
      <c r="I1754">
        <f t="shared" si="166"/>
        <v>11707.65</v>
      </c>
      <c r="J1754">
        <f t="shared" si="163"/>
        <v>5234.3099999999995</v>
      </c>
      <c r="K1754" s="8">
        <f t="shared" si="164"/>
        <v>0.30895539831282803</v>
      </c>
      <c r="L1754" t="str">
        <f t="shared" si="167"/>
        <v>2022-05</v>
      </c>
      <c r="M1754">
        <f t="shared" si="165"/>
        <v>5234.3099999999995</v>
      </c>
    </row>
    <row r="1755" spans="1:13" x14ac:dyDescent="0.25">
      <c r="A1755" s="1">
        <v>45304</v>
      </c>
      <c r="B1755" t="s">
        <v>10</v>
      </c>
      <c r="C1755" t="s">
        <v>11</v>
      </c>
      <c r="D1755" t="s">
        <v>9</v>
      </c>
      <c r="E1755">
        <v>1618.05</v>
      </c>
      <c r="F1755">
        <v>1084.2</v>
      </c>
      <c r="G1755">
        <v>5</v>
      </c>
      <c r="H1755">
        <f t="shared" si="162"/>
        <v>8090.25</v>
      </c>
      <c r="I1755">
        <f t="shared" si="166"/>
        <v>5421</v>
      </c>
      <c r="J1755">
        <f t="shared" si="163"/>
        <v>2669.25</v>
      </c>
      <c r="K1755" s="8">
        <f t="shared" si="164"/>
        <v>0.32993418003151942</v>
      </c>
      <c r="L1755" t="str">
        <f t="shared" si="167"/>
        <v>2024-01</v>
      </c>
      <c r="M1755">
        <f t="shared" si="165"/>
        <v>2669.25</v>
      </c>
    </row>
    <row r="1756" spans="1:13" x14ac:dyDescent="0.25">
      <c r="A1756" s="1">
        <v>44994</v>
      </c>
      <c r="B1756" t="s">
        <v>16</v>
      </c>
      <c r="C1756" t="s">
        <v>15</v>
      </c>
      <c r="D1756" t="s">
        <v>18</v>
      </c>
      <c r="E1756">
        <v>95.65</v>
      </c>
      <c r="F1756">
        <v>47.92</v>
      </c>
      <c r="G1756">
        <v>6</v>
      </c>
      <c r="H1756">
        <f t="shared" si="162"/>
        <v>573.90000000000009</v>
      </c>
      <c r="I1756">
        <f t="shared" si="166"/>
        <v>287.52</v>
      </c>
      <c r="J1756">
        <f t="shared" si="163"/>
        <v>286.38000000000011</v>
      </c>
      <c r="K1756" s="8">
        <f t="shared" si="164"/>
        <v>0.49900679560899125</v>
      </c>
      <c r="L1756" t="str">
        <f t="shared" si="167"/>
        <v>2023-03</v>
      </c>
      <c r="M1756">
        <f t="shared" si="165"/>
        <v>286.38000000000011</v>
      </c>
    </row>
    <row r="1757" spans="1:13" x14ac:dyDescent="0.25">
      <c r="A1757" s="1">
        <v>44687</v>
      </c>
      <c r="B1757" t="s">
        <v>12</v>
      </c>
      <c r="C1757" t="s">
        <v>8</v>
      </c>
      <c r="D1757" t="s">
        <v>17</v>
      </c>
      <c r="E1757">
        <v>1799.67</v>
      </c>
      <c r="F1757">
        <v>1378.68</v>
      </c>
      <c r="G1757">
        <v>2</v>
      </c>
      <c r="H1757">
        <f t="shared" si="162"/>
        <v>3599.34</v>
      </c>
      <c r="I1757">
        <f t="shared" si="166"/>
        <v>2757.36</v>
      </c>
      <c r="J1757">
        <f t="shared" si="163"/>
        <v>841.98</v>
      </c>
      <c r="K1757" s="8">
        <f t="shared" si="164"/>
        <v>0.2339262198069646</v>
      </c>
      <c r="L1757" t="str">
        <f t="shared" si="167"/>
        <v>2022-05</v>
      </c>
      <c r="M1757">
        <f t="shared" si="165"/>
        <v>841.98</v>
      </c>
    </row>
    <row r="1758" spans="1:13" x14ac:dyDescent="0.25">
      <c r="A1758" s="1">
        <v>45291</v>
      </c>
      <c r="B1758" t="s">
        <v>14</v>
      </c>
      <c r="C1758" t="s">
        <v>15</v>
      </c>
      <c r="D1758" t="s">
        <v>13</v>
      </c>
      <c r="E1758">
        <v>130.19999999999999</v>
      </c>
      <c r="F1758">
        <v>100.52</v>
      </c>
      <c r="G1758">
        <v>9</v>
      </c>
      <c r="H1758">
        <f t="shared" si="162"/>
        <v>1171.8</v>
      </c>
      <c r="I1758">
        <f t="shared" si="166"/>
        <v>904.68</v>
      </c>
      <c r="J1758">
        <f t="shared" si="163"/>
        <v>267.12</v>
      </c>
      <c r="K1758" s="8">
        <f t="shared" si="164"/>
        <v>0.22795698924731184</v>
      </c>
      <c r="L1758" t="str">
        <f t="shared" si="167"/>
        <v>2023-12</v>
      </c>
      <c r="M1758">
        <f t="shared" si="165"/>
        <v>267.12</v>
      </c>
    </row>
    <row r="1759" spans="1:13" x14ac:dyDescent="0.25">
      <c r="A1759" s="1">
        <v>44669</v>
      </c>
      <c r="B1759" t="s">
        <v>22</v>
      </c>
      <c r="C1759" t="s">
        <v>8</v>
      </c>
      <c r="D1759" t="s">
        <v>9</v>
      </c>
      <c r="E1759">
        <v>269.57</v>
      </c>
      <c r="F1759">
        <v>182.43</v>
      </c>
      <c r="G1759">
        <v>1</v>
      </c>
      <c r="H1759">
        <f t="shared" si="162"/>
        <v>269.57</v>
      </c>
      <c r="I1759">
        <f t="shared" si="166"/>
        <v>182.43</v>
      </c>
      <c r="J1759">
        <f t="shared" si="163"/>
        <v>87.139999999999986</v>
      </c>
      <c r="K1759" s="8">
        <f t="shared" si="164"/>
        <v>0.32325555514337645</v>
      </c>
      <c r="L1759" t="str">
        <f t="shared" si="167"/>
        <v>2022-04</v>
      </c>
      <c r="M1759">
        <f t="shared" si="165"/>
        <v>87.139999999999986</v>
      </c>
    </row>
    <row r="1760" spans="1:13" x14ac:dyDescent="0.25">
      <c r="A1760" s="1">
        <v>45268</v>
      </c>
      <c r="B1760" t="s">
        <v>7</v>
      </c>
      <c r="C1760" t="s">
        <v>8</v>
      </c>
      <c r="D1760" t="s">
        <v>17</v>
      </c>
      <c r="E1760">
        <v>1608.36</v>
      </c>
      <c r="F1760">
        <v>1062.23</v>
      </c>
      <c r="G1760">
        <v>10</v>
      </c>
      <c r="H1760">
        <f t="shared" si="162"/>
        <v>16083.599999999999</v>
      </c>
      <c r="I1760">
        <f t="shared" si="166"/>
        <v>10622.3</v>
      </c>
      <c r="J1760">
        <f t="shared" si="163"/>
        <v>5461.2999999999993</v>
      </c>
      <c r="K1760" s="8">
        <f t="shared" si="164"/>
        <v>0.3395570643388296</v>
      </c>
      <c r="L1760" t="str">
        <f t="shared" si="167"/>
        <v>2023-12</v>
      </c>
      <c r="M1760">
        <f t="shared" si="165"/>
        <v>5461.2999999999993</v>
      </c>
    </row>
    <row r="1761" spans="1:13" x14ac:dyDescent="0.25">
      <c r="A1761" s="1">
        <v>44623</v>
      </c>
      <c r="B1761" t="s">
        <v>14</v>
      </c>
      <c r="C1761" t="s">
        <v>15</v>
      </c>
      <c r="D1761" t="s">
        <v>17</v>
      </c>
      <c r="E1761">
        <v>1981.65</v>
      </c>
      <c r="F1761">
        <v>1121.26</v>
      </c>
      <c r="G1761">
        <v>1</v>
      </c>
      <c r="H1761">
        <f t="shared" si="162"/>
        <v>1981.65</v>
      </c>
      <c r="I1761">
        <f t="shared" si="166"/>
        <v>1121.26</v>
      </c>
      <c r="J1761">
        <f t="shared" si="163"/>
        <v>860.3900000000001</v>
      </c>
      <c r="K1761" s="8">
        <f t="shared" si="164"/>
        <v>0.43417858854994579</v>
      </c>
      <c r="L1761" t="str">
        <f t="shared" si="167"/>
        <v>2022-03</v>
      </c>
      <c r="M1761">
        <f t="shared" si="165"/>
        <v>860.3900000000001</v>
      </c>
    </row>
    <row r="1762" spans="1:13" x14ac:dyDescent="0.25">
      <c r="A1762" s="1">
        <v>45041</v>
      </c>
      <c r="B1762" t="s">
        <v>19</v>
      </c>
      <c r="C1762" t="s">
        <v>20</v>
      </c>
      <c r="D1762" t="s">
        <v>9</v>
      </c>
      <c r="E1762">
        <v>1218.56</v>
      </c>
      <c r="F1762">
        <v>651.89</v>
      </c>
      <c r="G1762">
        <v>9</v>
      </c>
      <c r="H1762">
        <f t="shared" si="162"/>
        <v>10967.039999999999</v>
      </c>
      <c r="I1762">
        <f t="shared" si="166"/>
        <v>5867.01</v>
      </c>
      <c r="J1762">
        <f t="shared" si="163"/>
        <v>5100.0299999999988</v>
      </c>
      <c r="K1762" s="8">
        <f t="shared" si="164"/>
        <v>0.46503249737394953</v>
      </c>
      <c r="L1762" t="str">
        <f t="shared" si="167"/>
        <v>2023-04</v>
      </c>
      <c r="M1762">
        <f t="shared" si="165"/>
        <v>5100.0299999999988</v>
      </c>
    </row>
    <row r="1763" spans="1:13" x14ac:dyDescent="0.25">
      <c r="A1763" s="1">
        <v>44709</v>
      </c>
      <c r="B1763" t="s">
        <v>7</v>
      </c>
      <c r="C1763" t="s">
        <v>8</v>
      </c>
      <c r="D1763" t="s">
        <v>18</v>
      </c>
      <c r="E1763">
        <v>1229.46</v>
      </c>
      <c r="F1763">
        <v>636.86</v>
      </c>
      <c r="G1763">
        <v>7</v>
      </c>
      <c r="H1763">
        <f t="shared" si="162"/>
        <v>8606.2200000000012</v>
      </c>
      <c r="I1763">
        <f t="shared" si="166"/>
        <v>4458.0200000000004</v>
      </c>
      <c r="J1763">
        <f t="shared" si="163"/>
        <v>4148.2000000000007</v>
      </c>
      <c r="K1763" s="8">
        <f t="shared" si="164"/>
        <v>0.48200022774226087</v>
      </c>
      <c r="L1763" t="str">
        <f t="shared" si="167"/>
        <v>2022-05</v>
      </c>
      <c r="M1763">
        <f t="shared" si="165"/>
        <v>4148.2000000000007</v>
      </c>
    </row>
    <row r="1764" spans="1:13" x14ac:dyDescent="0.25">
      <c r="A1764" s="1">
        <v>45167</v>
      </c>
      <c r="B1764" t="s">
        <v>23</v>
      </c>
      <c r="C1764" t="s">
        <v>11</v>
      </c>
      <c r="D1764" t="s">
        <v>13</v>
      </c>
      <c r="E1764">
        <v>815.93</v>
      </c>
      <c r="F1764">
        <v>593.21</v>
      </c>
      <c r="G1764">
        <v>8</v>
      </c>
      <c r="H1764">
        <f t="shared" si="162"/>
        <v>6527.44</v>
      </c>
      <c r="I1764">
        <f t="shared" si="166"/>
        <v>4745.68</v>
      </c>
      <c r="J1764">
        <f t="shared" si="163"/>
        <v>1781.7599999999993</v>
      </c>
      <c r="K1764" s="8">
        <f t="shared" si="164"/>
        <v>0.2729645925508315</v>
      </c>
      <c r="L1764" t="str">
        <f t="shared" si="167"/>
        <v>2023-08</v>
      </c>
      <c r="M1764">
        <f t="shared" si="165"/>
        <v>1781.7599999999993</v>
      </c>
    </row>
    <row r="1765" spans="1:13" x14ac:dyDescent="0.25">
      <c r="A1765" s="1">
        <v>45416</v>
      </c>
      <c r="B1765" t="s">
        <v>10</v>
      </c>
      <c r="C1765" t="s">
        <v>11</v>
      </c>
      <c r="D1765" t="s">
        <v>13</v>
      </c>
      <c r="E1765">
        <v>947.22</v>
      </c>
      <c r="F1765">
        <v>762.71</v>
      </c>
      <c r="G1765">
        <v>10</v>
      </c>
      <c r="H1765">
        <f t="shared" si="162"/>
        <v>9472.2000000000007</v>
      </c>
      <c r="I1765">
        <f t="shared" si="166"/>
        <v>7627.1</v>
      </c>
      <c r="J1765">
        <f t="shared" si="163"/>
        <v>1845.1000000000004</v>
      </c>
      <c r="K1765" s="8">
        <f t="shared" si="164"/>
        <v>0.19479107282363128</v>
      </c>
      <c r="L1765" t="str">
        <f t="shared" si="167"/>
        <v>2024-05</v>
      </c>
      <c r="M1765">
        <f t="shared" si="165"/>
        <v>1845.1000000000004</v>
      </c>
    </row>
    <row r="1766" spans="1:13" x14ac:dyDescent="0.25">
      <c r="A1766" s="1">
        <v>45388</v>
      </c>
      <c r="B1766" t="s">
        <v>14</v>
      </c>
      <c r="C1766" t="s">
        <v>15</v>
      </c>
      <c r="D1766" t="s">
        <v>18</v>
      </c>
      <c r="E1766">
        <v>867.26</v>
      </c>
      <c r="F1766">
        <v>622.23</v>
      </c>
      <c r="G1766">
        <v>2</v>
      </c>
      <c r="H1766">
        <f t="shared" si="162"/>
        <v>1734.52</v>
      </c>
      <c r="I1766">
        <f t="shared" si="166"/>
        <v>1244.46</v>
      </c>
      <c r="J1766">
        <f t="shared" si="163"/>
        <v>490.05999999999995</v>
      </c>
      <c r="K1766" s="8">
        <f t="shared" si="164"/>
        <v>0.28253349629868779</v>
      </c>
      <c r="L1766" t="str">
        <f t="shared" si="167"/>
        <v>2024-04</v>
      </c>
      <c r="M1766">
        <f t="shared" si="165"/>
        <v>490.05999999999995</v>
      </c>
    </row>
    <row r="1767" spans="1:13" x14ac:dyDescent="0.25">
      <c r="A1767" s="1">
        <v>44946</v>
      </c>
      <c r="B1767" t="s">
        <v>21</v>
      </c>
      <c r="C1767" t="s">
        <v>20</v>
      </c>
      <c r="D1767" t="s">
        <v>13</v>
      </c>
      <c r="E1767">
        <v>556.21</v>
      </c>
      <c r="F1767">
        <v>382.81</v>
      </c>
      <c r="G1767">
        <v>1</v>
      </c>
      <c r="H1767">
        <f t="shared" si="162"/>
        <v>556.21</v>
      </c>
      <c r="I1767">
        <f t="shared" si="166"/>
        <v>382.81</v>
      </c>
      <c r="J1767">
        <f t="shared" si="163"/>
        <v>173.40000000000003</v>
      </c>
      <c r="K1767" s="8">
        <f t="shared" si="164"/>
        <v>0.31175275525431045</v>
      </c>
      <c r="L1767" t="str">
        <f t="shared" si="167"/>
        <v>2023-01</v>
      </c>
      <c r="M1767">
        <f t="shared" si="165"/>
        <v>173.40000000000003</v>
      </c>
    </row>
    <row r="1768" spans="1:13" x14ac:dyDescent="0.25">
      <c r="A1768" s="1">
        <v>44692</v>
      </c>
      <c r="B1768" t="s">
        <v>7</v>
      </c>
      <c r="C1768" t="s">
        <v>8</v>
      </c>
      <c r="D1768" t="s">
        <v>18</v>
      </c>
      <c r="E1768">
        <v>1216.7</v>
      </c>
      <c r="F1768">
        <v>698.46</v>
      </c>
      <c r="G1768">
        <v>2</v>
      </c>
      <c r="H1768">
        <f t="shared" si="162"/>
        <v>2433.4</v>
      </c>
      <c r="I1768">
        <f t="shared" si="166"/>
        <v>1396.92</v>
      </c>
      <c r="J1768">
        <f t="shared" si="163"/>
        <v>1036.48</v>
      </c>
      <c r="K1768" s="8">
        <f t="shared" si="164"/>
        <v>0.4259390153694419</v>
      </c>
      <c r="L1768" t="str">
        <f t="shared" si="167"/>
        <v>2022-05</v>
      </c>
      <c r="M1768">
        <f t="shared" si="165"/>
        <v>1036.48</v>
      </c>
    </row>
    <row r="1769" spans="1:13" x14ac:dyDescent="0.25">
      <c r="A1769" s="1">
        <v>45190</v>
      </c>
      <c r="B1769" t="s">
        <v>12</v>
      </c>
      <c r="C1769" t="s">
        <v>8</v>
      </c>
      <c r="D1769" t="s">
        <v>18</v>
      </c>
      <c r="E1769">
        <v>1555.9</v>
      </c>
      <c r="F1769">
        <v>1189.6600000000001</v>
      </c>
      <c r="G1769">
        <v>6</v>
      </c>
      <c r="H1769">
        <f t="shared" si="162"/>
        <v>9335.4000000000015</v>
      </c>
      <c r="I1769">
        <f t="shared" si="166"/>
        <v>7137.9600000000009</v>
      </c>
      <c r="J1769">
        <f t="shared" si="163"/>
        <v>2197.4400000000005</v>
      </c>
      <c r="K1769" s="8">
        <f t="shared" si="164"/>
        <v>0.23538787839835468</v>
      </c>
      <c r="L1769" t="str">
        <f t="shared" si="167"/>
        <v>2023-09</v>
      </c>
      <c r="M1769">
        <f t="shared" si="165"/>
        <v>2197.4400000000005</v>
      </c>
    </row>
    <row r="1770" spans="1:13" x14ac:dyDescent="0.25">
      <c r="A1770" s="1">
        <v>45518</v>
      </c>
      <c r="B1770" t="s">
        <v>14</v>
      </c>
      <c r="C1770" t="s">
        <v>15</v>
      </c>
      <c r="D1770" t="s">
        <v>13</v>
      </c>
      <c r="E1770">
        <v>1132.43</v>
      </c>
      <c r="F1770">
        <v>823.92</v>
      </c>
      <c r="G1770">
        <v>2</v>
      </c>
      <c r="H1770">
        <f t="shared" si="162"/>
        <v>2264.86</v>
      </c>
      <c r="I1770">
        <f t="shared" si="166"/>
        <v>1647.84</v>
      </c>
      <c r="J1770">
        <f t="shared" si="163"/>
        <v>617.02000000000021</v>
      </c>
      <c r="K1770" s="8">
        <f t="shared" si="164"/>
        <v>0.27243185009227949</v>
      </c>
      <c r="L1770" t="str">
        <f t="shared" si="167"/>
        <v>2024-08</v>
      </c>
      <c r="M1770">
        <f t="shared" si="165"/>
        <v>617.02000000000021</v>
      </c>
    </row>
    <row r="1771" spans="1:13" x14ac:dyDescent="0.25">
      <c r="A1771" s="1">
        <v>45063</v>
      </c>
      <c r="B1771" t="s">
        <v>25</v>
      </c>
      <c r="C1771" t="s">
        <v>15</v>
      </c>
      <c r="D1771" t="s">
        <v>17</v>
      </c>
      <c r="E1771">
        <v>224.32</v>
      </c>
      <c r="F1771">
        <v>198.27</v>
      </c>
      <c r="G1771">
        <v>4</v>
      </c>
      <c r="H1771">
        <f t="shared" si="162"/>
        <v>897.28</v>
      </c>
      <c r="I1771">
        <f t="shared" si="166"/>
        <v>793.08</v>
      </c>
      <c r="J1771">
        <f t="shared" si="163"/>
        <v>104.19999999999993</v>
      </c>
      <c r="K1771" s="8">
        <f t="shared" si="164"/>
        <v>0.11612874465049922</v>
      </c>
      <c r="L1771" t="str">
        <f t="shared" si="167"/>
        <v>2023-05</v>
      </c>
      <c r="M1771">
        <f t="shared" si="165"/>
        <v>104.19999999999993</v>
      </c>
    </row>
    <row r="1772" spans="1:13" x14ac:dyDescent="0.25">
      <c r="A1772" s="1">
        <v>44692</v>
      </c>
      <c r="B1772" t="s">
        <v>21</v>
      </c>
      <c r="C1772" t="s">
        <v>20</v>
      </c>
      <c r="D1772" t="s">
        <v>13</v>
      </c>
      <c r="E1772">
        <v>1859.32</v>
      </c>
      <c r="F1772">
        <v>1237.4000000000001</v>
      </c>
      <c r="G1772">
        <v>9</v>
      </c>
      <c r="H1772">
        <f t="shared" si="162"/>
        <v>16733.88</v>
      </c>
      <c r="I1772">
        <f t="shared" si="166"/>
        <v>11136.6</v>
      </c>
      <c r="J1772">
        <f t="shared" si="163"/>
        <v>5597.2800000000007</v>
      </c>
      <c r="K1772" s="8">
        <f t="shared" si="164"/>
        <v>0.33448787728847107</v>
      </c>
      <c r="L1772" t="str">
        <f t="shared" si="167"/>
        <v>2022-05</v>
      </c>
      <c r="M1772">
        <f t="shared" si="165"/>
        <v>5597.2800000000007</v>
      </c>
    </row>
    <row r="1773" spans="1:13" x14ac:dyDescent="0.25">
      <c r="A1773" s="1">
        <v>44859</v>
      </c>
      <c r="B1773" t="s">
        <v>25</v>
      </c>
      <c r="C1773" t="s">
        <v>15</v>
      </c>
      <c r="D1773" t="s">
        <v>17</v>
      </c>
      <c r="E1773">
        <v>317.29000000000002</v>
      </c>
      <c r="F1773">
        <v>182.99</v>
      </c>
      <c r="G1773">
        <v>2</v>
      </c>
      <c r="H1773">
        <f t="shared" si="162"/>
        <v>634.58000000000004</v>
      </c>
      <c r="I1773">
        <f t="shared" si="166"/>
        <v>365.98</v>
      </c>
      <c r="J1773">
        <f t="shared" si="163"/>
        <v>268.60000000000002</v>
      </c>
      <c r="K1773" s="8">
        <f t="shared" si="164"/>
        <v>0.42327208547385675</v>
      </c>
      <c r="L1773" t="str">
        <f t="shared" si="167"/>
        <v>2022-10</v>
      </c>
      <c r="M1773">
        <f t="shared" si="165"/>
        <v>268.60000000000002</v>
      </c>
    </row>
    <row r="1774" spans="1:13" x14ac:dyDescent="0.25">
      <c r="A1774" s="1">
        <v>44954</v>
      </c>
      <c r="B1774" t="s">
        <v>14</v>
      </c>
      <c r="C1774" t="s">
        <v>15</v>
      </c>
      <c r="D1774" t="s">
        <v>18</v>
      </c>
      <c r="E1774">
        <v>1338.11</v>
      </c>
      <c r="F1774">
        <v>898.43</v>
      </c>
      <c r="G1774">
        <v>4</v>
      </c>
      <c r="H1774">
        <f t="shared" si="162"/>
        <v>5352.44</v>
      </c>
      <c r="I1774">
        <f t="shared" si="166"/>
        <v>3593.72</v>
      </c>
      <c r="J1774">
        <f t="shared" si="163"/>
        <v>1758.7199999999998</v>
      </c>
      <c r="K1774" s="8">
        <f t="shared" si="164"/>
        <v>0.32858285193295017</v>
      </c>
      <c r="L1774" t="str">
        <f t="shared" si="167"/>
        <v>2023-01</v>
      </c>
      <c r="M1774">
        <f t="shared" si="165"/>
        <v>1758.7199999999998</v>
      </c>
    </row>
    <row r="1775" spans="1:13" x14ac:dyDescent="0.25">
      <c r="A1775" s="1">
        <v>44772</v>
      </c>
      <c r="B1775" t="s">
        <v>19</v>
      </c>
      <c r="C1775" t="s">
        <v>20</v>
      </c>
      <c r="D1775" t="s">
        <v>18</v>
      </c>
      <c r="E1775">
        <v>1281.1500000000001</v>
      </c>
      <c r="F1775">
        <v>967.8</v>
      </c>
      <c r="G1775">
        <v>7</v>
      </c>
      <c r="H1775">
        <f t="shared" si="162"/>
        <v>8968.0500000000011</v>
      </c>
      <c r="I1775">
        <f t="shared" si="166"/>
        <v>6774.5999999999995</v>
      </c>
      <c r="J1775">
        <f t="shared" si="163"/>
        <v>2193.4500000000016</v>
      </c>
      <c r="K1775" s="8">
        <f t="shared" si="164"/>
        <v>0.24458494321508034</v>
      </c>
      <c r="L1775" t="str">
        <f t="shared" si="167"/>
        <v>2022-07</v>
      </c>
      <c r="M1775">
        <f t="shared" si="165"/>
        <v>2193.4500000000016</v>
      </c>
    </row>
    <row r="1776" spans="1:13" x14ac:dyDescent="0.25">
      <c r="A1776" s="1">
        <v>44858</v>
      </c>
      <c r="B1776" t="s">
        <v>19</v>
      </c>
      <c r="C1776" t="s">
        <v>20</v>
      </c>
      <c r="D1776" t="s">
        <v>9</v>
      </c>
      <c r="E1776">
        <v>1466.32</v>
      </c>
      <c r="F1776">
        <v>754.24</v>
      </c>
      <c r="G1776">
        <v>4</v>
      </c>
      <c r="H1776">
        <f t="shared" si="162"/>
        <v>5865.28</v>
      </c>
      <c r="I1776">
        <f t="shared" si="166"/>
        <v>3016.96</v>
      </c>
      <c r="J1776">
        <f t="shared" si="163"/>
        <v>2848.3199999999997</v>
      </c>
      <c r="K1776" s="8">
        <f t="shared" si="164"/>
        <v>0.48562387473402802</v>
      </c>
      <c r="L1776" t="str">
        <f t="shared" si="167"/>
        <v>2022-10</v>
      </c>
      <c r="M1776">
        <f t="shared" si="165"/>
        <v>2848.3199999999997</v>
      </c>
    </row>
    <row r="1777" spans="1:13" x14ac:dyDescent="0.25">
      <c r="A1777" s="1">
        <v>44792</v>
      </c>
      <c r="B1777" t="s">
        <v>21</v>
      </c>
      <c r="C1777" t="s">
        <v>20</v>
      </c>
      <c r="D1777" t="s">
        <v>17</v>
      </c>
      <c r="E1777">
        <v>322.63</v>
      </c>
      <c r="F1777">
        <v>186.96</v>
      </c>
      <c r="G1777">
        <v>8</v>
      </c>
      <c r="H1777">
        <f t="shared" si="162"/>
        <v>2581.04</v>
      </c>
      <c r="I1777">
        <f t="shared" si="166"/>
        <v>1495.68</v>
      </c>
      <c r="J1777">
        <f t="shared" si="163"/>
        <v>1085.3599999999999</v>
      </c>
      <c r="K1777" s="8">
        <f t="shared" si="164"/>
        <v>0.42051266156278089</v>
      </c>
      <c r="L1777" t="str">
        <f t="shared" si="167"/>
        <v>2022-08</v>
      </c>
      <c r="M1777">
        <f t="shared" si="165"/>
        <v>1085.3599999999999</v>
      </c>
    </row>
    <row r="1778" spans="1:13" x14ac:dyDescent="0.25">
      <c r="A1778" s="1">
        <v>45043</v>
      </c>
      <c r="B1778" t="s">
        <v>24</v>
      </c>
      <c r="C1778" t="s">
        <v>20</v>
      </c>
      <c r="D1778" t="s">
        <v>17</v>
      </c>
      <c r="E1778">
        <v>1056.81</v>
      </c>
      <c r="F1778">
        <v>903.1</v>
      </c>
      <c r="G1778">
        <v>1</v>
      </c>
      <c r="H1778">
        <f t="shared" si="162"/>
        <v>1056.81</v>
      </c>
      <c r="I1778">
        <f t="shared" si="166"/>
        <v>903.1</v>
      </c>
      <c r="J1778">
        <f t="shared" si="163"/>
        <v>153.70999999999992</v>
      </c>
      <c r="K1778" s="8">
        <f t="shared" si="164"/>
        <v>0.14544714754780891</v>
      </c>
      <c r="L1778" t="str">
        <f t="shared" si="167"/>
        <v>2023-04</v>
      </c>
      <c r="M1778">
        <f t="shared" si="165"/>
        <v>153.70999999999992</v>
      </c>
    </row>
    <row r="1779" spans="1:13" x14ac:dyDescent="0.25">
      <c r="A1779" s="1">
        <v>45610</v>
      </c>
      <c r="B1779" t="s">
        <v>12</v>
      </c>
      <c r="C1779" t="s">
        <v>8</v>
      </c>
      <c r="D1779" t="s">
        <v>18</v>
      </c>
      <c r="E1779">
        <v>448.02</v>
      </c>
      <c r="F1779">
        <v>319.75</v>
      </c>
      <c r="G1779">
        <v>1</v>
      </c>
      <c r="H1779">
        <f t="shared" si="162"/>
        <v>448.02</v>
      </c>
      <c r="I1779">
        <f t="shared" si="166"/>
        <v>319.75</v>
      </c>
      <c r="J1779">
        <f t="shared" si="163"/>
        <v>128.26999999999998</v>
      </c>
      <c r="K1779" s="8">
        <f t="shared" si="164"/>
        <v>0.2863041828489799</v>
      </c>
      <c r="L1779" t="str">
        <f t="shared" si="167"/>
        <v>2024-11</v>
      </c>
      <c r="M1779">
        <f t="shared" si="165"/>
        <v>128.26999999999998</v>
      </c>
    </row>
    <row r="1780" spans="1:13" x14ac:dyDescent="0.25">
      <c r="A1780" s="1">
        <v>44891</v>
      </c>
      <c r="B1780" t="s">
        <v>22</v>
      </c>
      <c r="C1780" t="s">
        <v>8</v>
      </c>
      <c r="D1780" t="s">
        <v>18</v>
      </c>
      <c r="E1780">
        <v>694.01</v>
      </c>
      <c r="F1780">
        <v>462.81</v>
      </c>
      <c r="G1780">
        <v>1</v>
      </c>
      <c r="H1780">
        <f t="shared" si="162"/>
        <v>694.01</v>
      </c>
      <c r="I1780">
        <f t="shared" si="166"/>
        <v>462.81</v>
      </c>
      <c r="J1780">
        <f t="shared" si="163"/>
        <v>231.2</v>
      </c>
      <c r="K1780" s="8">
        <f t="shared" si="164"/>
        <v>0.33313641013818246</v>
      </c>
      <c r="L1780" t="str">
        <f t="shared" si="167"/>
        <v>2022-11</v>
      </c>
      <c r="M1780">
        <f t="shared" si="165"/>
        <v>231.2</v>
      </c>
    </row>
    <row r="1781" spans="1:13" x14ac:dyDescent="0.25">
      <c r="A1781" s="1">
        <v>44818</v>
      </c>
      <c r="B1781" t="s">
        <v>25</v>
      </c>
      <c r="C1781" t="s">
        <v>15</v>
      </c>
      <c r="D1781" t="s">
        <v>13</v>
      </c>
      <c r="E1781">
        <v>1641.9</v>
      </c>
      <c r="F1781">
        <v>1307.02</v>
      </c>
      <c r="G1781">
        <v>4</v>
      </c>
      <c r="H1781">
        <f t="shared" si="162"/>
        <v>6567.6</v>
      </c>
      <c r="I1781">
        <f t="shared" si="166"/>
        <v>5228.08</v>
      </c>
      <c r="J1781">
        <f t="shared" si="163"/>
        <v>1339.5200000000004</v>
      </c>
      <c r="K1781" s="8">
        <f t="shared" si="164"/>
        <v>0.20395882818685673</v>
      </c>
      <c r="L1781" t="str">
        <f t="shared" si="167"/>
        <v>2022-09</v>
      </c>
      <c r="M1781">
        <f t="shared" si="165"/>
        <v>1339.5200000000004</v>
      </c>
    </row>
    <row r="1782" spans="1:13" x14ac:dyDescent="0.25">
      <c r="A1782" s="1">
        <v>45025</v>
      </c>
      <c r="B1782" t="s">
        <v>14</v>
      </c>
      <c r="C1782" t="s">
        <v>15</v>
      </c>
      <c r="D1782" t="s">
        <v>17</v>
      </c>
      <c r="E1782">
        <v>1193.32</v>
      </c>
      <c r="F1782">
        <v>632.46</v>
      </c>
      <c r="G1782">
        <v>4</v>
      </c>
      <c r="H1782">
        <f t="shared" si="162"/>
        <v>4773.28</v>
      </c>
      <c r="I1782">
        <f t="shared" si="166"/>
        <v>2529.84</v>
      </c>
      <c r="J1782">
        <f t="shared" si="163"/>
        <v>2243.4399999999996</v>
      </c>
      <c r="K1782" s="8">
        <f t="shared" si="164"/>
        <v>0.46999966480072397</v>
      </c>
      <c r="L1782" t="str">
        <f t="shared" si="167"/>
        <v>2023-04</v>
      </c>
      <c r="M1782">
        <f t="shared" si="165"/>
        <v>2243.4399999999996</v>
      </c>
    </row>
    <row r="1783" spans="1:13" x14ac:dyDescent="0.25">
      <c r="A1783" s="1">
        <v>44565</v>
      </c>
      <c r="B1783" t="s">
        <v>24</v>
      </c>
      <c r="C1783" t="s">
        <v>20</v>
      </c>
      <c r="D1783" t="s">
        <v>17</v>
      </c>
      <c r="E1783">
        <v>550.19000000000005</v>
      </c>
      <c r="F1783">
        <v>318.64</v>
      </c>
      <c r="G1783">
        <v>9</v>
      </c>
      <c r="H1783">
        <f t="shared" si="162"/>
        <v>4951.7100000000009</v>
      </c>
      <c r="I1783">
        <f t="shared" si="166"/>
        <v>2867.7599999999998</v>
      </c>
      <c r="J1783">
        <f t="shared" si="163"/>
        <v>2083.9500000000012</v>
      </c>
      <c r="K1783" s="8">
        <f t="shared" si="164"/>
        <v>0.42085461386066647</v>
      </c>
      <c r="L1783" t="str">
        <f t="shared" si="167"/>
        <v>2022-01</v>
      </c>
      <c r="M1783">
        <f t="shared" si="165"/>
        <v>2083.9500000000012</v>
      </c>
    </row>
    <row r="1784" spans="1:13" x14ac:dyDescent="0.25">
      <c r="A1784" s="1">
        <v>45555</v>
      </c>
      <c r="B1784" t="s">
        <v>16</v>
      </c>
      <c r="C1784" t="s">
        <v>15</v>
      </c>
      <c r="D1784" t="s">
        <v>18</v>
      </c>
      <c r="E1784">
        <v>1984.55</v>
      </c>
      <c r="F1784">
        <v>1765.27</v>
      </c>
      <c r="G1784">
        <v>2</v>
      </c>
      <c r="H1784">
        <f t="shared" si="162"/>
        <v>3969.1</v>
      </c>
      <c r="I1784">
        <f t="shared" si="166"/>
        <v>3530.54</v>
      </c>
      <c r="J1784">
        <f t="shared" si="163"/>
        <v>438.55999999999995</v>
      </c>
      <c r="K1784" s="8">
        <f t="shared" si="164"/>
        <v>0.11049356277241691</v>
      </c>
      <c r="L1784" t="str">
        <f t="shared" si="167"/>
        <v>2024-09</v>
      </c>
      <c r="M1784">
        <f t="shared" si="165"/>
        <v>438.55999999999995</v>
      </c>
    </row>
    <row r="1785" spans="1:13" x14ac:dyDescent="0.25">
      <c r="A1785" s="1">
        <v>45177</v>
      </c>
      <c r="B1785" t="s">
        <v>10</v>
      </c>
      <c r="C1785" t="s">
        <v>11</v>
      </c>
      <c r="D1785" t="s">
        <v>13</v>
      </c>
      <c r="E1785">
        <v>1567.45</v>
      </c>
      <c r="F1785">
        <v>990.35</v>
      </c>
      <c r="G1785">
        <v>7</v>
      </c>
      <c r="H1785">
        <f t="shared" si="162"/>
        <v>10972.15</v>
      </c>
      <c r="I1785">
        <f t="shared" si="166"/>
        <v>6932.45</v>
      </c>
      <c r="J1785">
        <f t="shared" si="163"/>
        <v>4039.7</v>
      </c>
      <c r="K1785" s="8">
        <f t="shared" si="164"/>
        <v>0.36817761332099908</v>
      </c>
      <c r="L1785" t="str">
        <f t="shared" si="167"/>
        <v>2023-09</v>
      </c>
      <c r="M1785">
        <f t="shared" si="165"/>
        <v>4039.7</v>
      </c>
    </row>
    <row r="1786" spans="1:13" x14ac:dyDescent="0.25">
      <c r="A1786" s="1">
        <v>45262</v>
      </c>
      <c r="B1786" t="s">
        <v>22</v>
      </c>
      <c r="C1786" t="s">
        <v>8</v>
      </c>
      <c r="D1786" t="s">
        <v>17</v>
      </c>
      <c r="E1786">
        <v>1103.95</v>
      </c>
      <c r="F1786">
        <v>769.21</v>
      </c>
      <c r="G1786">
        <v>2</v>
      </c>
      <c r="H1786">
        <f t="shared" si="162"/>
        <v>2207.9</v>
      </c>
      <c r="I1786">
        <f t="shared" si="166"/>
        <v>1538.42</v>
      </c>
      <c r="J1786">
        <f t="shared" si="163"/>
        <v>669.48</v>
      </c>
      <c r="K1786" s="8">
        <f t="shared" si="164"/>
        <v>0.3032202545405136</v>
      </c>
      <c r="L1786" t="str">
        <f t="shared" si="167"/>
        <v>2023-12</v>
      </c>
      <c r="M1786">
        <f t="shared" si="165"/>
        <v>669.48</v>
      </c>
    </row>
    <row r="1787" spans="1:13" x14ac:dyDescent="0.25">
      <c r="A1787" s="1">
        <v>44846</v>
      </c>
      <c r="B1787" t="s">
        <v>16</v>
      </c>
      <c r="C1787" t="s">
        <v>15</v>
      </c>
      <c r="D1787" t="s">
        <v>13</v>
      </c>
      <c r="E1787">
        <v>1486.14</v>
      </c>
      <c r="F1787">
        <v>1174.1500000000001</v>
      </c>
      <c r="G1787">
        <v>1</v>
      </c>
      <c r="H1787">
        <f t="shared" si="162"/>
        <v>1486.14</v>
      </c>
      <c r="I1787">
        <f t="shared" si="166"/>
        <v>1174.1500000000001</v>
      </c>
      <c r="J1787">
        <f t="shared" si="163"/>
        <v>311.99</v>
      </c>
      <c r="K1787" s="8">
        <f t="shared" si="164"/>
        <v>0.20993311531887979</v>
      </c>
      <c r="L1787" t="str">
        <f t="shared" si="167"/>
        <v>2022-10</v>
      </c>
      <c r="M1787">
        <f t="shared" si="165"/>
        <v>311.99</v>
      </c>
    </row>
    <row r="1788" spans="1:13" x14ac:dyDescent="0.25">
      <c r="A1788" s="1">
        <v>44767</v>
      </c>
      <c r="B1788" t="s">
        <v>21</v>
      </c>
      <c r="C1788" t="s">
        <v>20</v>
      </c>
      <c r="D1788" t="s">
        <v>17</v>
      </c>
      <c r="E1788">
        <v>441.5</v>
      </c>
      <c r="F1788">
        <v>262.14999999999998</v>
      </c>
      <c r="G1788">
        <v>7</v>
      </c>
      <c r="H1788">
        <f t="shared" si="162"/>
        <v>3090.5</v>
      </c>
      <c r="I1788">
        <f t="shared" si="166"/>
        <v>1835.0499999999997</v>
      </c>
      <c r="J1788">
        <f t="shared" si="163"/>
        <v>1255.4500000000003</v>
      </c>
      <c r="K1788" s="8">
        <f t="shared" si="164"/>
        <v>0.40622876557191401</v>
      </c>
      <c r="L1788" t="str">
        <f t="shared" si="167"/>
        <v>2022-07</v>
      </c>
      <c r="M1788">
        <f t="shared" si="165"/>
        <v>1255.4500000000003</v>
      </c>
    </row>
    <row r="1789" spans="1:13" x14ac:dyDescent="0.25">
      <c r="A1789" s="1">
        <v>44771</v>
      </c>
      <c r="B1789" t="s">
        <v>7</v>
      </c>
      <c r="C1789" t="s">
        <v>8</v>
      </c>
      <c r="D1789" t="s">
        <v>17</v>
      </c>
      <c r="E1789">
        <v>51.59</v>
      </c>
      <c r="F1789">
        <v>38.799999999999997</v>
      </c>
      <c r="G1789">
        <v>6</v>
      </c>
      <c r="H1789">
        <f t="shared" si="162"/>
        <v>309.54000000000002</v>
      </c>
      <c r="I1789">
        <f t="shared" si="166"/>
        <v>232.79999999999998</v>
      </c>
      <c r="J1789">
        <f t="shared" si="163"/>
        <v>76.740000000000038</v>
      </c>
      <c r="K1789" s="8">
        <f t="shared" si="164"/>
        <v>0.24791626284163609</v>
      </c>
      <c r="L1789" t="str">
        <f t="shared" si="167"/>
        <v>2022-07</v>
      </c>
      <c r="M1789">
        <f t="shared" si="165"/>
        <v>76.740000000000038</v>
      </c>
    </row>
    <row r="1790" spans="1:13" x14ac:dyDescent="0.25">
      <c r="A1790" s="1">
        <v>45118</v>
      </c>
      <c r="B1790" t="s">
        <v>21</v>
      </c>
      <c r="C1790" t="s">
        <v>20</v>
      </c>
      <c r="D1790" t="s">
        <v>18</v>
      </c>
      <c r="E1790">
        <v>1786.44</v>
      </c>
      <c r="F1790">
        <v>1408.98</v>
      </c>
      <c r="G1790">
        <v>9</v>
      </c>
      <c r="H1790">
        <f t="shared" si="162"/>
        <v>16077.960000000001</v>
      </c>
      <c r="I1790">
        <f t="shared" si="166"/>
        <v>12680.82</v>
      </c>
      <c r="J1790">
        <f t="shared" si="163"/>
        <v>3397.1400000000012</v>
      </c>
      <c r="K1790" s="8">
        <f t="shared" si="164"/>
        <v>0.21129173104050519</v>
      </c>
      <c r="L1790" t="str">
        <f t="shared" si="167"/>
        <v>2023-07</v>
      </c>
      <c r="M1790">
        <f t="shared" si="165"/>
        <v>3397.1400000000012</v>
      </c>
    </row>
    <row r="1791" spans="1:13" x14ac:dyDescent="0.25">
      <c r="A1791" s="1">
        <v>45264</v>
      </c>
      <c r="B1791" t="s">
        <v>24</v>
      </c>
      <c r="C1791" t="s">
        <v>20</v>
      </c>
      <c r="D1791" t="s">
        <v>18</v>
      </c>
      <c r="E1791">
        <v>1349.32</v>
      </c>
      <c r="F1791">
        <v>728.44</v>
      </c>
      <c r="G1791">
        <v>3</v>
      </c>
      <c r="H1791">
        <f t="shared" si="162"/>
        <v>4047.96</v>
      </c>
      <c r="I1791">
        <f t="shared" si="166"/>
        <v>2185.3200000000002</v>
      </c>
      <c r="J1791">
        <f t="shared" si="163"/>
        <v>1862.6399999999999</v>
      </c>
      <c r="K1791" s="8">
        <f t="shared" si="164"/>
        <v>0.46014288678741883</v>
      </c>
      <c r="L1791" t="str">
        <f t="shared" si="167"/>
        <v>2023-12</v>
      </c>
      <c r="M1791">
        <f t="shared" si="165"/>
        <v>1862.6399999999999</v>
      </c>
    </row>
    <row r="1792" spans="1:13" x14ac:dyDescent="0.25">
      <c r="A1792" s="1">
        <v>45263</v>
      </c>
      <c r="B1792" t="s">
        <v>14</v>
      </c>
      <c r="C1792" t="s">
        <v>15</v>
      </c>
      <c r="D1792" t="s">
        <v>17</v>
      </c>
      <c r="E1792">
        <v>266.54000000000002</v>
      </c>
      <c r="F1792">
        <v>228.84</v>
      </c>
      <c r="G1792">
        <v>6</v>
      </c>
      <c r="H1792">
        <f t="shared" si="162"/>
        <v>1599.2400000000002</v>
      </c>
      <c r="I1792">
        <f t="shared" si="166"/>
        <v>1373.04</v>
      </c>
      <c r="J1792">
        <f t="shared" si="163"/>
        <v>226.20000000000027</v>
      </c>
      <c r="K1792" s="8">
        <f t="shared" si="164"/>
        <v>0.14144218503789316</v>
      </c>
      <c r="L1792" t="str">
        <f t="shared" si="167"/>
        <v>2023-12</v>
      </c>
      <c r="M1792">
        <f t="shared" si="165"/>
        <v>226.20000000000027</v>
      </c>
    </row>
    <row r="1793" spans="1:13" x14ac:dyDescent="0.25">
      <c r="A1793" s="1">
        <v>45477</v>
      </c>
      <c r="B1793" t="s">
        <v>25</v>
      </c>
      <c r="C1793" t="s">
        <v>15</v>
      </c>
      <c r="D1793" t="s">
        <v>13</v>
      </c>
      <c r="E1793">
        <v>366.64</v>
      </c>
      <c r="F1793">
        <v>184.52</v>
      </c>
      <c r="G1793">
        <v>5</v>
      </c>
      <c r="H1793">
        <f t="shared" si="162"/>
        <v>1833.1999999999998</v>
      </c>
      <c r="I1793">
        <f t="shared" si="166"/>
        <v>922.6</v>
      </c>
      <c r="J1793">
        <f t="shared" si="163"/>
        <v>910.5999999999998</v>
      </c>
      <c r="K1793" s="8">
        <f t="shared" si="164"/>
        <v>0.49672703469343221</v>
      </c>
      <c r="L1793" t="str">
        <f t="shared" si="167"/>
        <v>2024-07</v>
      </c>
      <c r="M1793">
        <f t="shared" si="165"/>
        <v>910.5999999999998</v>
      </c>
    </row>
    <row r="1794" spans="1:13" x14ac:dyDescent="0.25">
      <c r="A1794" s="1">
        <v>45564</v>
      </c>
      <c r="B1794" t="s">
        <v>25</v>
      </c>
      <c r="C1794" t="s">
        <v>15</v>
      </c>
      <c r="D1794" t="s">
        <v>13</v>
      </c>
      <c r="E1794">
        <v>244.71</v>
      </c>
      <c r="F1794">
        <v>141.13</v>
      </c>
      <c r="G1794">
        <v>6</v>
      </c>
      <c r="H1794">
        <f t="shared" si="162"/>
        <v>1468.26</v>
      </c>
      <c r="I1794">
        <f t="shared" si="166"/>
        <v>846.78</v>
      </c>
      <c r="J1794">
        <f t="shared" si="163"/>
        <v>621.48</v>
      </c>
      <c r="K1794" s="8">
        <f t="shared" si="164"/>
        <v>0.42327653140451965</v>
      </c>
      <c r="L1794" t="str">
        <f t="shared" si="167"/>
        <v>2024-09</v>
      </c>
      <c r="M1794">
        <f t="shared" si="165"/>
        <v>621.48</v>
      </c>
    </row>
    <row r="1795" spans="1:13" x14ac:dyDescent="0.25">
      <c r="A1795" s="1">
        <v>45505</v>
      </c>
      <c r="B1795" t="s">
        <v>19</v>
      </c>
      <c r="C1795" t="s">
        <v>20</v>
      </c>
      <c r="D1795" t="s">
        <v>9</v>
      </c>
      <c r="E1795">
        <v>1732.8</v>
      </c>
      <c r="F1795">
        <v>1549.64</v>
      </c>
      <c r="G1795">
        <v>5</v>
      </c>
      <c r="H1795">
        <f t="shared" ref="H1795:H1858" si="168">E1795*G1795</f>
        <v>8664</v>
      </c>
      <c r="I1795">
        <f t="shared" si="166"/>
        <v>7748.2000000000007</v>
      </c>
      <c r="J1795">
        <f t="shared" ref="J1795:J1858" si="169">H1795-I1795</f>
        <v>915.79999999999927</v>
      </c>
      <c r="K1795" s="8">
        <f t="shared" ref="K1795:K1858" si="170">(H1795-I1795)/H1795</f>
        <v>0.10570175438596482</v>
      </c>
      <c r="L1795" t="str">
        <f t="shared" si="167"/>
        <v>2024-08</v>
      </c>
      <c r="M1795">
        <f t="shared" ref="M1795:M1858" si="171">H1795-I1795</f>
        <v>915.79999999999927</v>
      </c>
    </row>
    <row r="1796" spans="1:13" x14ac:dyDescent="0.25">
      <c r="A1796" s="1">
        <v>44572</v>
      </c>
      <c r="B1796" t="s">
        <v>22</v>
      </c>
      <c r="C1796" t="s">
        <v>8</v>
      </c>
      <c r="D1796" t="s">
        <v>17</v>
      </c>
      <c r="E1796">
        <v>40.43</v>
      </c>
      <c r="F1796">
        <v>26.32</v>
      </c>
      <c r="G1796">
        <v>9</v>
      </c>
      <c r="H1796">
        <f t="shared" si="168"/>
        <v>363.87</v>
      </c>
      <c r="I1796">
        <f t="shared" ref="I1796:I1859" si="172">F1796*G1796</f>
        <v>236.88</v>
      </c>
      <c r="J1796">
        <f t="shared" si="169"/>
        <v>126.99000000000001</v>
      </c>
      <c r="K1796" s="8">
        <f t="shared" si="170"/>
        <v>0.34899826861241656</v>
      </c>
      <c r="L1796" t="str">
        <f t="shared" ref="L1796:L1859" si="173">TEXT(A1796,"rrrr-mm")</f>
        <v>2022-01</v>
      </c>
      <c r="M1796">
        <f t="shared" si="171"/>
        <v>126.99000000000001</v>
      </c>
    </row>
    <row r="1797" spans="1:13" x14ac:dyDescent="0.25">
      <c r="A1797" s="1">
        <v>44930</v>
      </c>
      <c r="B1797" t="s">
        <v>21</v>
      </c>
      <c r="C1797" t="s">
        <v>20</v>
      </c>
      <c r="D1797" t="s">
        <v>17</v>
      </c>
      <c r="E1797">
        <v>1594.18</v>
      </c>
      <c r="F1797">
        <v>1271.45</v>
      </c>
      <c r="G1797">
        <v>4</v>
      </c>
      <c r="H1797">
        <f t="shared" si="168"/>
        <v>6376.72</v>
      </c>
      <c r="I1797">
        <f t="shared" si="172"/>
        <v>5085.8</v>
      </c>
      <c r="J1797">
        <f t="shared" si="169"/>
        <v>1290.92</v>
      </c>
      <c r="K1797" s="8">
        <f t="shared" si="170"/>
        <v>0.20244263508512214</v>
      </c>
      <c r="L1797" t="str">
        <f t="shared" si="173"/>
        <v>2023-01</v>
      </c>
      <c r="M1797">
        <f t="shared" si="171"/>
        <v>1290.92</v>
      </c>
    </row>
    <row r="1798" spans="1:13" x14ac:dyDescent="0.25">
      <c r="A1798" s="1">
        <v>45550</v>
      </c>
      <c r="B1798" t="s">
        <v>25</v>
      </c>
      <c r="C1798" t="s">
        <v>15</v>
      </c>
      <c r="D1798" t="s">
        <v>13</v>
      </c>
      <c r="E1798">
        <v>1952.02</v>
      </c>
      <c r="F1798">
        <v>1001.51</v>
      </c>
      <c r="G1798">
        <v>9</v>
      </c>
      <c r="H1798">
        <f t="shared" si="168"/>
        <v>17568.18</v>
      </c>
      <c r="I1798">
        <f t="shared" si="172"/>
        <v>9013.59</v>
      </c>
      <c r="J1798">
        <f t="shared" si="169"/>
        <v>8554.59</v>
      </c>
      <c r="K1798" s="8">
        <f t="shared" si="170"/>
        <v>0.4869366092560527</v>
      </c>
      <c r="L1798" t="str">
        <f t="shared" si="173"/>
        <v>2024-09</v>
      </c>
      <c r="M1798">
        <f t="shared" si="171"/>
        <v>8554.59</v>
      </c>
    </row>
    <row r="1799" spans="1:13" x14ac:dyDescent="0.25">
      <c r="A1799" s="1">
        <v>45158</v>
      </c>
      <c r="B1799" t="s">
        <v>23</v>
      </c>
      <c r="C1799" t="s">
        <v>11</v>
      </c>
      <c r="D1799" t="s">
        <v>13</v>
      </c>
      <c r="E1799">
        <v>279.77</v>
      </c>
      <c r="F1799">
        <v>191.97</v>
      </c>
      <c r="G1799">
        <v>3</v>
      </c>
      <c r="H1799">
        <f t="shared" si="168"/>
        <v>839.31</v>
      </c>
      <c r="I1799">
        <f t="shared" si="172"/>
        <v>575.91</v>
      </c>
      <c r="J1799">
        <f t="shared" si="169"/>
        <v>263.39999999999998</v>
      </c>
      <c r="K1799" s="8">
        <f t="shared" si="170"/>
        <v>0.31382921685670373</v>
      </c>
      <c r="L1799" t="str">
        <f t="shared" si="173"/>
        <v>2023-08</v>
      </c>
      <c r="M1799">
        <f t="shared" si="171"/>
        <v>263.39999999999998</v>
      </c>
    </row>
    <row r="1800" spans="1:13" x14ac:dyDescent="0.25">
      <c r="A1800" s="1">
        <v>44682</v>
      </c>
      <c r="B1800" t="s">
        <v>25</v>
      </c>
      <c r="C1800" t="s">
        <v>15</v>
      </c>
      <c r="D1800" t="s">
        <v>9</v>
      </c>
      <c r="E1800">
        <v>1050.5</v>
      </c>
      <c r="F1800">
        <v>897.4</v>
      </c>
      <c r="G1800">
        <v>9</v>
      </c>
      <c r="H1800">
        <f t="shared" si="168"/>
        <v>9454.5</v>
      </c>
      <c r="I1800">
        <f t="shared" si="172"/>
        <v>8076.5999999999995</v>
      </c>
      <c r="J1800">
        <f t="shared" si="169"/>
        <v>1377.9000000000005</v>
      </c>
      <c r="K1800" s="8">
        <f t="shared" si="170"/>
        <v>0.145740123750595</v>
      </c>
      <c r="L1800" t="str">
        <f t="shared" si="173"/>
        <v>2022-05</v>
      </c>
      <c r="M1800">
        <f t="shared" si="171"/>
        <v>1377.9000000000005</v>
      </c>
    </row>
    <row r="1801" spans="1:13" x14ac:dyDescent="0.25">
      <c r="A1801" s="1">
        <v>44715</v>
      </c>
      <c r="B1801" t="s">
        <v>24</v>
      </c>
      <c r="C1801" t="s">
        <v>20</v>
      </c>
      <c r="D1801" t="s">
        <v>18</v>
      </c>
      <c r="E1801">
        <v>587.84</v>
      </c>
      <c r="F1801">
        <v>518.79</v>
      </c>
      <c r="G1801">
        <v>4</v>
      </c>
      <c r="H1801">
        <f t="shared" si="168"/>
        <v>2351.36</v>
      </c>
      <c r="I1801">
        <f t="shared" si="172"/>
        <v>2075.16</v>
      </c>
      <c r="J1801">
        <f t="shared" si="169"/>
        <v>276.20000000000027</v>
      </c>
      <c r="K1801" s="8">
        <f t="shared" si="170"/>
        <v>0.11746393576483408</v>
      </c>
      <c r="L1801" t="str">
        <f t="shared" si="173"/>
        <v>2022-06</v>
      </c>
      <c r="M1801">
        <f t="shared" si="171"/>
        <v>276.20000000000027</v>
      </c>
    </row>
    <row r="1802" spans="1:13" x14ac:dyDescent="0.25">
      <c r="A1802" s="1">
        <v>44960</v>
      </c>
      <c r="B1802" t="s">
        <v>16</v>
      </c>
      <c r="C1802" t="s">
        <v>15</v>
      </c>
      <c r="D1802" t="s">
        <v>9</v>
      </c>
      <c r="E1802">
        <v>1910.18</v>
      </c>
      <c r="F1802">
        <v>1671.23</v>
      </c>
      <c r="G1802">
        <v>2</v>
      </c>
      <c r="H1802">
        <f t="shared" si="168"/>
        <v>3820.36</v>
      </c>
      <c r="I1802">
        <f t="shared" si="172"/>
        <v>3342.46</v>
      </c>
      <c r="J1802">
        <f t="shared" si="169"/>
        <v>477.90000000000009</v>
      </c>
      <c r="K1802" s="8">
        <f t="shared" si="170"/>
        <v>0.12509292318001447</v>
      </c>
      <c r="L1802" t="str">
        <f t="shared" si="173"/>
        <v>2023-02</v>
      </c>
      <c r="M1802">
        <f t="shared" si="171"/>
        <v>477.90000000000009</v>
      </c>
    </row>
    <row r="1803" spans="1:13" x14ac:dyDescent="0.25">
      <c r="A1803" s="1">
        <v>45436</v>
      </c>
      <c r="B1803" t="s">
        <v>7</v>
      </c>
      <c r="C1803" t="s">
        <v>8</v>
      </c>
      <c r="D1803" t="s">
        <v>18</v>
      </c>
      <c r="E1803">
        <v>923.39</v>
      </c>
      <c r="F1803">
        <v>606.03</v>
      </c>
      <c r="G1803">
        <v>1</v>
      </c>
      <c r="H1803">
        <f t="shared" si="168"/>
        <v>923.39</v>
      </c>
      <c r="I1803">
        <f t="shared" si="172"/>
        <v>606.03</v>
      </c>
      <c r="J1803">
        <f t="shared" si="169"/>
        <v>317.36</v>
      </c>
      <c r="K1803" s="8">
        <f t="shared" si="170"/>
        <v>0.34369009844161191</v>
      </c>
      <c r="L1803" t="str">
        <f t="shared" si="173"/>
        <v>2024-05</v>
      </c>
      <c r="M1803">
        <f t="shared" si="171"/>
        <v>317.36</v>
      </c>
    </row>
    <row r="1804" spans="1:13" x14ac:dyDescent="0.25">
      <c r="A1804" s="1">
        <v>45558</v>
      </c>
      <c r="B1804" t="s">
        <v>7</v>
      </c>
      <c r="C1804" t="s">
        <v>8</v>
      </c>
      <c r="D1804" t="s">
        <v>13</v>
      </c>
      <c r="E1804">
        <v>856.03</v>
      </c>
      <c r="F1804">
        <v>762.68</v>
      </c>
      <c r="G1804">
        <v>7</v>
      </c>
      <c r="H1804">
        <f t="shared" si="168"/>
        <v>5992.21</v>
      </c>
      <c r="I1804">
        <f t="shared" si="172"/>
        <v>5338.7599999999993</v>
      </c>
      <c r="J1804">
        <f t="shared" si="169"/>
        <v>653.45000000000073</v>
      </c>
      <c r="K1804" s="8">
        <f t="shared" si="170"/>
        <v>0.10904991647489001</v>
      </c>
      <c r="L1804" t="str">
        <f t="shared" si="173"/>
        <v>2024-09</v>
      </c>
      <c r="M1804">
        <f t="shared" si="171"/>
        <v>653.45000000000073</v>
      </c>
    </row>
    <row r="1805" spans="1:13" x14ac:dyDescent="0.25">
      <c r="A1805" s="1">
        <v>44956</v>
      </c>
      <c r="B1805" t="s">
        <v>25</v>
      </c>
      <c r="C1805" t="s">
        <v>15</v>
      </c>
      <c r="D1805" t="s">
        <v>17</v>
      </c>
      <c r="E1805">
        <v>1527.33</v>
      </c>
      <c r="F1805">
        <v>765.41</v>
      </c>
      <c r="G1805">
        <v>4</v>
      </c>
      <c r="H1805">
        <f t="shared" si="168"/>
        <v>6109.32</v>
      </c>
      <c r="I1805">
        <f t="shared" si="172"/>
        <v>3061.64</v>
      </c>
      <c r="J1805">
        <f t="shared" si="169"/>
        <v>3047.68</v>
      </c>
      <c r="K1805" s="8">
        <f t="shared" si="170"/>
        <v>0.49885748332056595</v>
      </c>
      <c r="L1805" t="str">
        <f t="shared" si="173"/>
        <v>2023-01</v>
      </c>
      <c r="M1805">
        <f t="shared" si="171"/>
        <v>3047.68</v>
      </c>
    </row>
    <row r="1806" spans="1:13" x14ac:dyDescent="0.25">
      <c r="A1806" s="1">
        <v>44640</v>
      </c>
      <c r="B1806" t="s">
        <v>19</v>
      </c>
      <c r="C1806" t="s">
        <v>20</v>
      </c>
      <c r="D1806" t="s">
        <v>17</v>
      </c>
      <c r="E1806">
        <v>1915.55</v>
      </c>
      <c r="F1806">
        <v>1036.43</v>
      </c>
      <c r="G1806">
        <v>3</v>
      </c>
      <c r="H1806">
        <f t="shared" si="168"/>
        <v>5746.65</v>
      </c>
      <c r="I1806">
        <f t="shared" si="172"/>
        <v>3109.29</v>
      </c>
      <c r="J1806">
        <f t="shared" si="169"/>
        <v>2637.3599999999997</v>
      </c>
      <c r="K1806" s="8">
        <f t="shared" si="170"/>
        <v>0.45893868601707077</v>
      </c>
      <c r="L1806" t="str">
        <f t="shared" si="173"/>
        <v>2022-03</v>
      </c>
      <c r="M1806">
        <f t="shared" si="171"/>
        <v>2637.3599999999997</v>
      </c>
    </row>
    <row r="1807" spans="1:13" x14ac:dyDescent="0.25">
      <c r="A1807" s="1">
        <v>44581</v>
      </c>
      <c r="B1807" t="s">
        <v>16</v>
      </c>
      <c r="C1807" t="s">
        <v>15</v>
      </c>
      <c r="D1807" t="s">
        <v>13</v>
      </c>
      <c r="E1807">
        <v>1653.08</v>
      </c>
      <c r="F1807">
        <v>1439.07</v>
      </c>
      <c r="G1807">
        <v>4</v>
      </c>
      <c r="H1807">
        <f t="shared" si="168"/>
        <v>6612.32</v>
      </c>
      <c r="I1807">
        <f t="shared" si="172"/>
        <v>5756.28</v>
      </c>
      <c r="J1807">
        <f t="shared" si="169"/>
        <v>856.04</v>
      </c>
      <c r="K1807" s="8">
        <f t="shared" si="170"/>
        <v>0.12946136908074624</v>
      </c>
      <c r="L1807" t="str">
        <f t="shared" si="173"/>
        <v>2022-01</v>
      </c>
      <c r="M1807">
        <f t="shared" si="171"/>
        <v>856.04</v>
      </c>
    </row>
    <row r="1808" spans="1:13" x14ac:dyDescent="0.25">
      <c r="A1808" s="1">
        <v>44608</v>
      </c>
      <c r="B1808" t="s">
        <v>24</v>
      </c>
      <c r="C1808" t="s">
        <v>20</v>
      </c>
      <c r="D1808" t="s">
        <v>13</v>
      </c>
      <c r="E1808">
        <v>650.79999999999995</v>
      </c>
      <c r="F1808">
        <v>509.36</v>
      </c>
      <c r="G1808">
        <v>5</v>
      </c>
      <c r="H1808">
        <f t="shared" si="168"/>
        <v>3254</v>
      </c>
      <c r="I1808">
        <f t="shared" si="172"/>
        <v>2546.8000000000002</v>
      </c>
      <c r="J1808">
        <f t="shared" si="169"/>
        <v>707.19999999999982</v>
      </c>
      <c r="K1808" s="8">
        <f t="shared" si="170"/>
        <v>0.21733251382913332</v>
      </c>
      <c r="L1808" t="str">
        <f t="shared" si="173"/>
        <v>2022-02</v>
      </c>
      <c r="M1808">
        <f t="shared" si="171"/>
        <v>707.19999999999982</v>
      </c>
    </row>
    <row r="1809" spans="1:13" x14ac:dyDescent="0.25">
      <c r="A1809" s="1">
        <v>45218</v>
      </c>
      <c r="B1809" t="s">
        <v>10</v>
      </c>
      <c r="C1809" t="s">
        <v>11</v>
      </c>
      <c r="D1809" t="s">
        <v>13</v>
      </c>
      <c r="E1809">
        <v>1224.32</v>
      </c>
      <c r="F1809">
        <v>925.77</v>
      </c>
      <c r="G1809">
        <v>8</v>
      </c>
      <c r="H1809">
        <f t="shared" si="168"/>
        <v>9794.56</v>
      </c>
      <c r="I1809">
        <f t="shared" si="172"/>
        <v>7406.16</v>
      </c>
      <c r="J1809">
        <f t="shared" si="169"/>
        <v>2388.3999999999996</v>
      </c>
      <c r="K1809" s="8">
        <f t="shared" si="170"/>
        <v>0.2438496471510716</v>
      </c>
      <c r="L1809" t="str">
        <f t="shared" si="173"/>
        <v>2023-10</v>
      </c>
      <c r="M1809">
        <f t="shared" si="171"/>
        <v>2388.3999999999996</v>
      </c>
    </row>
    <row r="1810" spans="1:13" x14ac:dyDescent="0.25">
      <c r="A1810" s="1">
        <v>45612</v>
      </c>
      <c r="B1810" t="s">
        <v>10</v>
      </c>
      <c r="C1810" t="s">
        <v>11</v>
      </c>
      <c r="D1810" t="s">
        <v>9</v>
      </c>
      <c r="E1810">
        <v>587.08000000000004</v>
      </c>
      <c r="F1810">
        <v>393.4</v>
      </c>
      <c r="G1810">
        <v>2</v>
      </c>
      <c r="H1810">
        <f t="shared" si="168"/>
        <v>1174.1600000000001</v>
      </c>
      <c r="I1810">
        <f t="shared" si="172"/>
        <v>786.8</v>
      </c>
      <c r="J1810">
        <f t="shared" si="169"/>
        <v>387.36000000000013</v>
      </c>
      <c r="K1810" s="8">
        <f t="shared" si="170"/>
        <v>0.32990393132111473</v>
      </c>
      <c r="L1810" t="str">
        <f t="shared" si="173"/>
        <v>2024-11</v>
      </c>
      <c r="M1810">
        <f t="shared" si="171"/>
        <v>387.36000000000013</v>
      </c>
    </row>
    <row r="1811" spans="1:13" x14ac:dyDescent="0.25">
      <c r="A1811" s="1">
        <v>45437</v>
      </c>
      <c r="B1811" t="s">
        <v>16</v>
      </c>
      <c r="C1811" t="s">
        <v>15</v>
      </c>
      <c r="D1811" t="s">
        <v>17</v>
      </c>
      <c r="E1811">
        <v>1122.31</v>
      </c>
      <c r="F1811">
        <v>941.37</v>
      </c>
      <c r="G1811">
        <v>10</v>
      </c>
      <c r="H1811">
        <f t="shared" si="168"/>
        <v>11223.099999999999</v>
      </c>
      <c r="I1811">
        <f t="shared" si="172"/>
        <v>9413.7000000000007</v>
      </c>
      <c r="J1811">
        <f t="shared" si="169"/>
        <v>1809.3999999999978</v>
      </c>
      <c r="K1811" s="8">
        <f t="shared" si="170"/>
        <v>0.16122105300674483</v>
      </c>
      <c r="L1811" t="str">
        <f t="shared" si="173"/>
        <v>2024-05</v>
      </c>
      <c r="M1811">
        <f t="shared" si="171"/>
        <v>1809.3999999999978</v>
      </c>
    </row>
    <row r="1812" spans="1:13" x14ac:dyDescent="0.25">
      <c r="A1812" s="1">
        <v>45261</v>
      </c>
      <c r="B1812" t="s">
        <v>23</v>
      </c>
      <c r="C1812" t="s">
        <v>11</v>
      </c>
      <c r="D1812" t="s">
        <v>17</v>
      </c>
      <c r="E1812">
        <v>1650.98</v>
      </c>
      <c r="F1812">
        <v>947.66</v>
      </c>
      <c r="G1812">
        <v>4</v>
      </c>
      <c r="H1812">
        <f t="shared" si="168"/>
        <v>6603.92</v>
      </c>
      <c r="I1812">
        <f t="shared" si="172"/>
        <v>3790.64</v>
      </c>
      <c r="J1812">
        <f t="shared" si="169"/>
        <v>2813.28</v>
      </c>
      <c r="K1812" s="8">
        <f t="shared" si="170"/>
        <v>0.42600152636615829</v>
      </c>
      <c r="L1812" t="str">
        <f t="shared" si="173"/>
        <v>2023-12</v>
      </c>
      <c r="M1812">
        <f t="shared" si="171"/>
        <v>2813.28</v>
      </c>
    </row>
    <row r="1813" spans="1:13" x14ac:dyDescent="0.25">
      <c r="A1813" s="1">
        <v>44624</v>
      </c>
      <c r="B1813" t="s">
        <v>19</v>
      </c>
      <c r="C1813" t="s">
        <v>20</v>
      </c>
      <c r="D1813" t="s">
        <v>9</v>
      </c>
      <c r="E1813">
        <v>57.3</v>
      </c>
      <c r="F1813">
        <v>34.5</v>
      </c>
      <c r="G1813">
        <v>5</v>
      </c>
      <c r="H1813">
        <f t="shared" si="168"/>
        <v>286.5</v>
      </c>
      <c r="I1813">
        <f t="shared" si="172"/>
        <v>172.5</v>
      </c>
      <c r="J1813">
        <f t="shared" si="169"/>
        <v>114</v>
      </c>
      <c r="K1813" s="8">
        <f t="shared" si="170"/>
        <v>0.39790575916230364</v>
      </c>
      <c r="L1813" t="str">
        <f t="shared" si="173"/>
        <v>2022-03</v>
      </c>
      <c r="M1813">
        <f t="shared" si="171"/>
        <v>114</v>
      </c>
    </row>
    <row r="1814" spans="1:13" x14ac:dyDescent="0.25">
      <c r="A1814" s="1">
        <v>44682</v>
      </c>
      <c r="B1814" t="s">
        <v>12</v>
      </c>
      <c r="C1814" t="s">
        <v>8</v>
      </c>
      <c r="D1814" t="s">
        <v>9</v>
      </c>
      <c r="E1814">
        <v>1042.9100000000001</v>
      </c>
      <c r="F1814">
        <v>915.1</v>
      </c>
      <c r="G1814">
        <v>1</v>
      </c>
      <c r="H1814">
        <f t="shared" si="168"/>
        <v>1042.9100000000001</v>
      </c>
      <c r="I1814">
        <f t="shared" si="172"/>
        <v>915.1</v>
      </c>
      <c r="J1814">
        <f t="shared" si="169"/>
        <v>127.81000000000006</v>
      </c>
      <c r="K1814" s="8">
        <f t="shared" si="170"/>
        <v>0.12255132274117618</v>
      </c>
      <c r="L1814" t="str">
        <f t="shared" si="173"/>
        <v>2022-05</v>
      </c>
      <c r="M1814">
        <f t="shared" si="171"/>
        <v>127.81000000000006</v>
      </c>
    </row>
    <row r="1815" spans="1:13" x14ac:dyDescent="0.25">
      <c r="A1815" s="1">
        <v>44770</v>
      </c>
      <c r="B1815" t="s">
        <v>25</v>
      </c>
      <c r="C1815" t="s">
        <v>15</v>
      </c>
      <c r="D1815" t="s">
        <v>17</v>
      </c>
      <c r="E1815">
        <v>1964.36</v>
      </c>
      <c r="F1815">
        <v>1602.83</v>
      </c>
      <c r="G1815">
        <v>8</v>
      </c>
      <c r="H1815">
        <f t="shared" si="168"/>
        <v>15714.88</v>
      </c>
      <c r="I1815">
        <f t="shared" si="172"/>
        <v>12822.64</v>
      </c>
      <c r="J1815">
        <f t="shared" si="169"/>
        <v>2892.24</v>
      </c>
      <c r="K1815" s="8">
        <f t="shared" si="170"/>
        <v>0.18404467612861186</v>
      </c>
      <c r="L1815" t="str">
        <f t="shared" si="173"/>
        <v>2022-07</v>
      </c>
      <c r="M1815">
        <f t="shared" si="171"/>
        <v>2892.24</v>
      </c>
    </row>
    <row r="1816" spans="1:13" x14ac:dyDescent="0.25">
      <c r="A1816" s="1">
        <v>44573</v>
      </c>
      <c r="B1816" t="s">
        <v>21</v>
      </c>
      <c r="C1816" t="s">
        <v>20</v>
      </c>
      <c r="D1816" t="s">
        <v>18</v>
      </c>
      <c r="E1816">
        <v>949.03</v>
      </c>
      <c r="F1816">
        <v>510.12</v>
      </c>
      <c r="G1816">
        <v>10</v>
      </c>
      <c r="H1816">
        <f t="shared" si="168"/>
        <v>9490.2999999999993</v>
      </c>
      <c r="I1816">
        <f t="shared" si="172"/>
        <v>5101.2</v>
      </c>
      <c r="J1816">
        <f t="shared" si="169"/>
        <v>4389.0999999999995</v>
      </c>
      <c r="K1816" s="8">
        <f t="shared" si="170"/>
        <v>0.46248274554018309</v>
      </c>
      <c r="L1816" t="str">
        <f t="shared" si="173"/>
        <v>2022-01</v>
      </c>
      <c r="M1816">
        <f t="shared" si="171"/>
        <v>4389.0999999999995</v>
      </c>
    </row>
    <row r="1817" spans="1:13" x14ac:dyDescent="0.25">
      <c r="A1817" s="1">
        <v>45377</v>
      </c>
      <c r="B1817" t="s">
        <v>10</v>
      </c>
      <c r="C1817" t="s">
        <v>11</v>
      </c>
      <c r="D1817" t="s">
        <v>17</v>
      </c>
      <c r="E1817">
        <v>759.74</v>
      </c>
      <c r="F1817">
        <v>621.74</v>
      </c>
      <c r="G1817">
        <v>8</v>
      </c>
      <c r="H1817">
        <f t="shared" si="168"/>
        <v>6077.92</v>
      </c>
      <c r="I1817">
        <f t="shared" si="172"/>
        <v>4973.92</v>
      </c>
      <c r="J1817">
        <f t="shared" si="169"/>
        <v>1104</v>
      </c>
      <c r="K1817" s="8">
        <f t="shared" si="170"/>
        <v>0.18164108774054283</v>
      </c>
      <c r="L1817" t="str">
        <f t="shared" si="173"/>
        <v>2024-03</v>
      </c>
      <c r="M1817">
        <f t="shared" si="171"/>
        <v>1104</v>
      </c>
    </row>
    <row r="1818" spans="1:13" x14ac:dyDescent="0.25">
      <c r="A1818" s="1">
        <v>44662</v>
      </c>
      <c r="B1818" t="s">
        <v>19</v>
      </c>
      <c r="C1818" t="s">
        <v>20</v>
      </c>
      <c r="D1818" t="s">
        <v>18</v>
      </c>
      <c r="E1818">
        <v>1311.53</v>
      </c>
      <c r="F1818">
        <v>786.89</v>
      </c>
      <c r="G1818">
        <v>7</v>
      </c>
      <c r="H1818">
        <f t="shared" si="168"/>
        <v>9180.7099999999991</v>
      </c>
      <c r="I1818">
        <f t="shared" si="172"/>
        <v>5508.23</v>
      </c>
      <c r="J1818">
        <f t="shared" si="169"/>
        <v>3672.4799999999996</v>
      </c>
      <c r="K1818" s="8">
        <f t="shared" si="170"/>
        <v>0.40002134911134324</v>
      </c>
      <c r="L1818" t="str">
        <f t="shared" si="173"/>
        <v>2022-04</v>
      </c>
      <c r="M1818">
        <f t="shared" si="171"/>
        <v>3672.4799999999996</v>
      </c>
    </row>
    <row r="1819" spans="1:13" x14ac:dyDescent="0.25">
      <c r="A1819" s="1">
        <v>45171</v>
      </c>
      <c r="B1819" t="s">
        <v>7</v>
      </c>
      <c r="C1819" t="s">
        <v>8</v>
      </c>
      <c r="D1819" t="s">
        <v>13</v>
      </c>
      <c r="E1819">
        <v>808.66</v>
      </c>
      <c r="F1819">
        <v>473.95</v>
      </c>
      <c r="G1819">
        <v>4</v>
      </c>
      <c r="H1819">
        <f t="shared" si="168"/>
        <v>3234.64</v>
      </c>
      <c r="I1819">
        <f t="shared" si="172"/>
        <v>1895.8</v>
      </c>
      <c r="J1819">
        <f t="shared" si="169"/>
        <v>1338.84</v>
      </c>
      <c r="K1819" s="8">
        <f t="shared" si="170"/>
        <v>0.41390695718843518</v>
      </c>
      <c r="L1819" t="str">
        <f t="shared" si="173"/>
        <v>2023-09</v>
      </c>
      <c r="M1819">
        <f t="shared" si="171"/>
        <v>1338.84</v>
      </c>
    </row>
    <row r="1820" spans="1:13" x14ac:dyDescent="0.25">
      <c r="A1820" s="1">
        <v>44718</v>
      </c>
      <c r="B1820" t="s">
        <v>10</v>
      </c>
      <c r="C1820" t="s">
        <v>11</v>
      </c>
      <c r="D1820" t="s">
        <v>18</v>
      </c>
      <c r="E1820">
        <v>221.99</v>
      </c>
      <c r="F1820">
        <v>164.87</v>
      </c>
      <c r="G1820">
        <v>4</v>
      </c>
      <c r="H1820">
        <f t="shared" si="168"/>
        <v>887.96</v>
      </c>
      <c r="I1820">
        <f t="shared" si="172"/>
        <v>659.48</v>
      </c>
      <c r="J1820">
        <f t="shared" si="169"/>
        <v>228.48000000000002</v>
      </c>
      <c r="K1820" s="8">
        <f t="shared" si="170"/>
        <v>0.25730888778773819</v>
      </c>
      <c r="L1820" t="str">
        <f t="shared" si="173"/>
        <v>2022-06</v>
      </c>
      <c r="M1820">
        <f t="shared" si="171"/>
        <v>228.48000000000002</v>
      </c>
    </row>
    <row r="1821" spans="1:13" x14ac:dyDescent="0.25">
      <c r="A1821" s="1">
        <v>44695</v>
      </c>
      <c r="B1821" t="s">
        <v>7</v>
      </c>
      <c r="C1821" t="s">
        <v>8</v>
      </c>
      <c r="D1821" t="s">
        <v>9</v>
      </c>
      <c r="E1821">
        <v>1088.1300000000001</v>
      </c>
      <c r="F1821">
        <v>681.1</v>
      </c>
      <c r="G1821">
        <v>1</v>
      </c>
      <c r="H1821">
        <f t="shared" si="168"/>
        <v>1088.1300000000001</v>
      </c>
      <c r="I1821">
        <f t="shared" si="172"/>
        <v>681.1</v>
      </c>
      <c r="J1821">
        <f t="shared" si="169"/>
        <v>407.03000000000009</v>
      </c>
      <c r="K1821" s="8">
        <f t="shared" si="170"/>
        <v>0.37406376076387937</v>
      </c>
      <c r="L1821" t="str">
        <f t="shared" si="173"/>
        <v>2022-05</v>
      </c>
      <c r="M1821">
        <f t="shared" si="171"/>
        <v>407.03000000000009</v>
      </c>
    </row>
    <row r="1822" spans="1:13" x14ac:dyDescent="0.25">
      <c r="A1822" s="1">
        <v>45029</v>
      </c>
      <c r="B1822" t="s">
        <v>21</v>
      </c>
      <c r="C1822" t="s">
        <v>20</v>
      </c>
      <c r="D1822" t="s">
        <v>13</v>
      </c>
      <c r="E1822">
        <v>908.17</v>
      </c>
      <c r="F1822">
        <v>585.16999999999996</v>
      </c>
      <c r="G1822">
        <v>3</v>
      </c>
      <c r="H1822">
        <f t="shared" si="168"/>
        <v>2724.5099999999998</v>
      </c>
      <c r="I1822">
        <f t="shared" si="172"/>
        <v>1755.5099999999998</v>
      </c>
      <c r="J1822">
        <f t="shared" si="169"/>
        <v>969</v>
      </c>
      <c r="K1822" s="8">
        <f t="shared" si="170"/>
        <v>0.35566028386755788</v>
      </c>
      <c r="L1822" t="str">
        <f t="shared" si="173"/>
        <v>2023-04</v>
      </c>
      <c r="M1822">
        <f t="shared" si="171"/>
        <v>969</v>
      </c>
    </row>
    <row r="1823" spans="1:13" x14ac:dyDescent="0.25">
      <c r="A1823" s="1">
        <v>45129</v>
      </c>
      <c r="B1823" t="s">
        <v>19</v>
      </c>
      <c r="C1823" t="s">
        <v>20</v>
      </c>
      <c r="D1823" t="s">
        <v>9</v>
      </c>
      <c r="E1823">
        <v>857.83</v>
      </c>
      <c r="F1823">
        <v>703.12</v>
      </c>
      <c r="G1823">
        <v>6</v>
      </c>
      <c r="H1823">
        <f t="shared" si="168"/>
        <v>5146.9800000000005</v>
      </c>
      <c r="I1823">
        <f t="shared" si="172"/>
        <v>4218.72</v>
      </c>
      <c r="J1823">
        <f t="shared" si="169"/>
        <v>928.26000000000022</v>
      </c>
      <c r="K1823" s="8">
        <f t="shared" si="170"/>
        <v>0.18035041908070365</v>
      </c>
      <c r="L1823" t="str">
        <f t="shared" si="173"/>
        <v>2023-07</v>
      </c>
      <c r="M1823">
        <f t="shared" si="171"/>
        <v>928.26000000000022</v>
      </c>
    </row>
    <row r="1824" spans="1:13" x14ac:dyDescent="0.25">
      <c r="A1824" s="1">
        <v>44647</v>
      </c>
      <c r="B1824" t="s">
        <v>23</v>
      </c>
      <c r="C1824" t="s">
        <v>11</v>
      </c>
      <c r="D1824" t="s">
        <v>18</v>
      </c>
      <c r="E1824">
        <v>1038.31</v>
      </c>
      <c r="F1824">
        <v>556.07000000000005</v>
      </c>
      <c r="G1824">
        <v>6</v>
      </c>
      <c r="H1824">
        <f t="shared" si="168"/>
        <v>6229.86</v>
      </c>
      <c r="I1824">
        <f t="shared" si="172"/>
        <v>3336.42</v>
      </c>
      <c r="J1824">
        <f t="shared" si="169"/>
        <v>2893.4399999999996</v>
      </c>
      <c r="K1824" s="8">
        <f t="shared" si="170"/>
        <v>0.46444703412275712</v>
      </c>
      <c r="L1824" t="str">
        <f t="shared" si="173"/>
        <v>2022-03</v>
      </c>
      <c r="M1824">
        <f t="shared" si="171"/>
        <v>2893.4399999999996</v>
      </c>
    </row>
    <row r="1825" spans="1:13" x14ac:dyDescent="0.25">
      <c r="A1825" s="1">
        <v>45091</v>
      </c>
      <c r="B1825" t="s">
        <v>12</v>
      </c>
      <c r="C1825" t="s">
        <v>8</v>
      </c>
      <c r="D1825" t="s">
        <v>9</v>
      </c>
      <c r="E1825">
        <v>115.65</v>
      </c>
      <c r="F1825">
        <v>79.56</v>
      </c>
      <c r="G1825">
        <v>5</v>
      </c>
      <c r="H1825">
        <f t="shared" si="168"/>
        <v>578.25</v>
      </c>
      <c r="I1825">
        <f t="shared" si="172"/>
        <v>397.8</v>
      </c>
      <c r="J1825">
        <f t="shared" si="169"/>
        <v>180.45</v>
      </c>
      <c r="K1825" s="8">
        <f t="shared" si="170"/>
        <v>0.31206225680933852</v>
      </c>
      <c r="L1825" t="str">
        <f t="shared" si="173"/>
        <v>2023-06</v>
      </c>
      <c r="M1825">
        <f t="shared" si="171"/>
        <v>180.45</v>
      </c>
    </row>
    <row r="1826" spans="1:13" x14ac:dyDescent="0.25">
      <c r="A1826" s="1">
        <v>45002</v>
      </c>
      <c r="B1826" t="s">
        <v>14</v>
      </c>
      <c r="C1826" t="s">
        <v>15</v>
      </c>
      <c r="D1826" t="s">
        <v>17</v>
      </c>
      <c r="E1826">
        <v>716.2</v>
      </c>
      <c r="F1826">
        <v>568.46</v>
      </c>
      <c r="G1826">
        <v>5</v>
      </c>
      <c r="H1826">
        <f t="shared" si="168"/>
        <v>3581</v>
      </c>
      <c r="I1826">
        <f t="shared" si="172"/>
        <v>2842.3</v>
      </c>
      <c r="J1826">
        <f t="shared" si="169"/>
        <v>738.69999999999982</v>
      </c>
      <c r="K1826" s="8">
        <f t="shared" si="170"/>
        <v>0.20628316112817643</v>
      </c>
      <c r="L1826" t="str">
        <f t="shared" si="173"/>
        <v>2023-03</v>
      </c>
      <c r="M1826">
        <f t="shared" si="171"/>
        <v>738.69999999999982</v>
      </c>
    </row>
    <row r="1827" spans="1:13" x14ac:dyDescent="0.25">
      <c r="A1827" s="1">
        <v>45483</v>
      </c>
      <c r="B1827" t="s">
        <v>22</v>
      </c>
      <c r="C1827" t="s">
        <v>8</v>
      </c>
      <c r="D1827" t="s">
        <v>17</v>
      </c>
      <c r="E1827">
        <v>647.30999999999995</v>
      </c>
      <c r="F1827">
        <v>344.57</v>
      </c>
      <c r="G1827">
        <v>5</v>
      </c>
      <c r="H1827">
        <f t="shared" si="168"/>
        <v>3236.5499999999997</v>
      </c>
      <c r="I1827">
        <f t="shared" si="172"/>
        <v>1722.85</v>
      </c>
      <c r="J1827">
        <f t="shared" si="169"/>
        <v>1513.6999999999998</v>
      </c>
      <c r="K1827" s="8">
        <f t="shared" si="170"/>
        <v>0.46768936058457306</v>
      </c>
      <c r="L1827" t="str">
        <f t="shared" si="173"/>
        <v>2024-07</v>
      </c>
      <c r="M1827">
        <f t="shared" si="171"/>
        <v>1513.6999999999998</v>
      </c>
    </row>
    <row r="1828" spans="1:13" x14ac:dyDescent="0.25">
      <c r="A1828" s="1">
        <v>44585</v>
      </c>
      <c r="B1828" t="s">
        <v>21</v>
      </c>
      <c r="C1828" t="s">
        <v>20</v>
      </c>
      <c r="D1828" t="s">
        <v>9</v>
      </c>
      <c r="E1828">
        <v>274.14999999999998</v>
      </c>
      <c r="F1828">
        <v>219.44</v>
      </c>
      <c r="G1828">
        <v>2</v>
      </c>
      <c r="H1828">
        <f t="shared" si="168"/>
        <v>548.29999999999995</v>
      </c>
      <c r="I1828">
        <f t="shared" si="172"/>
        <v>438.88</v>
      </c>
      <c r="J1828">
        <f t="shared" si="169"/>
        <v>109.41999999999996</v>
      </c>
      <c r="K1828" s="8">
        <f t="shared" si="170"/>
        <v>0.19956228342148452</v>
      </c>
      <c r="L1828" t="str">
        <f t="shared" si="173"/>
        <v>2022-01</v>
      </c>
      <c r="M1828">
        <f t="shared" si="171"/>
        <v>109.41999999999996</v>
      </c>
    </row>
    <row r="1829" spans="1:13" x14ac:dyDescent="0.25">
      <c r="A1829" s="1">
        <v>44765</v>
      </c>
      <c r="B1829" t="s">
        <v>19</v>
      </c>
      <c r="C1829" t="s">
        <v>20</v>
      </c>
      <c r="D1829" t="s">
        <v>17</v>
      </c>
      <c r="E1829">
        <v>1935.65</v>
      </c>
      <c r="F1829">
        <v>1235.9100000000001</v>
      </c>
      <c r="G1829">
        <v>8</v>
      </c>
      <c r="H1829">
        <f t="shared" si="168"/>
        <v>15485.2</v>
      </c>
      <c r="I1829">
        <f t="shared" si="172"/>
        <v>9887.2800000000007</v>
      </c>
      <c r="J1829">
        <f t="shared" si="169"/>
        <v>5597.92</v>
      </c>
      <c r="K1829" s="8">
        <f t="shared" si="170"/>
        <v>0.36150130447136619</v>
      </c>
      <c r="L1829" t="str">
        <f t="shared" si="173"/>
        <v>2022-07</v>
      </c>
      <c r="M1829">
        <f t="shared" si="171"/>
        <v>5597.92</v>
      </c>
    </row>
    <row r="1830" spans="1:13" x14ac:dyDescent="0.25">
      <c r="A1830" s="1">
        <v>44686</v>
      </c>
      <c r="B1830" t="s">
        <v>14</v>
      </c>
      <c r="C1830" t="s">
        <v>15</v>
      </c>
      <c r="D1830" t="s">
        <v>13</v>
      </c>
      <c r="E1830">
        <v>94.06</v>
      </c>
      <c r="F1830">
        <v>58.51</v>
      </c>
      <c r="G1830">
        <v>3</v>
      </c>
      <c r="H1830">
        <f t="shared" si="168"/>
        <v>282.18</v>
      </c>
      <c r="I1830">
        <f t="shared" si="172"/>
        <v>175.53</v>
      </c>
      <c r="J1830">
        <f t="shared" si="169"/>
        <v>106.65</v>
      </c>
      <c r="K1830" s="8">
        <f t="shared" si="170"/>
        <v>0.37795024452477144</v>
      </c>
      <c r="L1830" t="str">
        <f t="shared" si="173"/>
        <v>2022-05</v>
      </c>
      <c r="M1830">
        <f t="shared" si="171"/>
        <v>106.65</v>
      </c>
    </row>
    <row r="1831" spans="1:13" x14ac:dyDescent="0.25">
      <c r="A1831" s="1">
        <v>44739</v>
      </c>
      <c r="B1831" t="s">
        <v>12</v>
      </c>
      <c r="C1831" t="s">
        <v>8</v>
      </c>
      <c r="D1831" t="s">
        <v>18</v>
      </c>
      <c r="E1831">
        <v>540.19000000000005</v>
      </c>
      <c r="F1831">
        <v>417.51</v>
      </c>
      <c r="G1831">
        <v>6</v>
      </c>
      <c r="H1831">
        <f t="shared" si="168"/>
        <v>3241.1400000000003</v>
      </c>
      <c r="I1831">
        <f t="shared" si="172"/>
        <v>2505.06</v>
      </c>
      <c r="J1831">
        <f t="shared" si="169"/>
        <v>736.08000000000038</v>
      </c>
      <c r="K1831" s="8">
        <f t="shared" si="170"/>
        <v>0.22710527777263564</v>
      </c>
      <c r="L1831" t="str">
        <f t="shared" si="173"/>
        <v>2022-06</v>
      </c>
      <c r="M1831">
        <f t="shared" si="171"/>
        <v>736.08000000000038</v>
      </c>
    </row>
    <row r="1832" spans="1:13" x14ac:dyDescent="0.25">
      <c r="A1832" s="1">
        <v>45390</v>
      </c>
      <c r="B1832" t="s">
        <v>16</v>
      </c>
      <c r="C1832" t="s">
        <v>15</v>
      </c>
      <c r="D1832" t="s">
        <v>17</v>
      </c>
      <c r="E1832">
        <v>1921.16</v>
      </c>
      <c r="F1832">
        <v>1141.8499999999999</v>
      </c>
      <c r="G1832">
        <v>6</v>
      </c>
      <c r="H1832">
        <f t="shared" si="168"/>
        <v>11526.960000000001</v>
      </c>
      <c r="I1832">
        <f t="shared" si="172"/>
        <v>6851.0999999999995</v>
      </c>
      <c r="J1832">
        <f t="shared" si="169"/>
        <v>4675.8600000000015</v>
      </c>
      <c r="K1832" s="8">
        <f t="shared" si="170"/>
        <v>0.40564554748172987</v>
      </c>
      <c r="L1832" t="str">
        <f t="shared" si="173"/>
        <v>2024-04</v>
      </c>
      <c r="M1832">
        <f t="shared" si="171"/>
        <v>4675.8600000000015</v>
      </c>
    </row>
    <row r="1833" spans="1:13" x14ac:dyDescent="0.25">
      <c r="A1833" s="1">
        <v>45614</v>
      </c>
      <c r="B1833" t="s">
        <v>23</v>
      </c>
      <c r="C1833" t="s">
        <v>11</v>
      </c>
      <c r="D1833" t="s">
        <v>18</v>
      </c>
      <c r="E1833">
        <v>610.24</v>
      </c>
      <c r="F1833">
        <v>497.49</v>
      </c>
      <c r="G1833">
        <v>8</v>
      </c>
      <c r="H1833">
        <f t="shared" si="168"/>
        <v>4881.92</v>
      </c>
      <c r="I1833">
        <f t="shared" si="172"/>
        <v>3979.92</v>
      </c>
      <c r="J1833">
        <f t="shared" si="169"/>
        <v>902</v>
      </c>
      <c r="K1833" s="8">
        <f t="shared" si="170"/>
        <v>0.18476337178814892</v>
      </c>
      <c r="L1833" t="str">
        <f t="shared" si="173"/>
        <v>2024-11</v>
      </c>
      <c r="M1833">
        <f t="shared" si="171"/>
        <v>902</v>
      </c>
    </row>
    <row r="1834" spans="1:13" x14ac:dyDescent="0.25">
      <c r="A1834" s="1">
        <v>45644</v>
      </c>
      <c r="B1834" t="s">
        <v>25</v>
      </c>
      <c r="C1834" t="s">
        <v>15</v>
      </c>
      <c r="D1834" t="s">
        <v>9</v>
      </c>
      <c r="E1834">
        <v>258.69</v>
      </c>
      <c r="F1834">
        <v>167.13</v>
      </c>
      <c r="G1834">
        <v>1</v>
      </c>
      <c r="H1834">
        <f t="shared" si="168"/>
        <v>258.69</v>
      </c>
      <c r="I1834">
        <f t="shared" si="172"/>
        <v>167.13</v>
      </c>
      <c r="J1834">
        <f t="shared" si="169"/>
        <v>91.56</v>
      </c>
      <c r="K1834" s="8">
        <f t="shared" si="170"/>
        <v>0.35393714484518152</v>
      </c>
      <c r="L1834" t="str">
        <f t="shared" si="173"/>
        <v>2024-12</v>
      </c>
      <c r="M1834">
        <f t="shared" si="171"/>
        <v>91.56</v>
      </c>
    </row>
    <row r="1835" spans="1:13" x14ac:dyDescent="0.25">
      <c r="A1835" s="1">
        <v>44899</v>
      </c>
      <c r="B1835" t="s">
        <v>10</v>
      </c>
      <c r="C1835" t="s">
        <v>11</v>
      </c>
      <c r="D1835" t="s">
        <v>17</v>
      </c>
      <c r="E1835">
        <v>430.22</v>
      </c>
      <c r="F1835">
        <v>306.76</v>
      </c>
      <c r="G1835">
        <v>1</v>
      </c>
      <c r="H1835">
        <f t="shared" si="168"/>
        <v>430.22</v>
      </c>
      <c r="I1835">
        <f t="shared" si="172"/>
        <v>306.76</v>
      </c>
      <c r="J1835">
        <f t="shared" si="169"/>
        <v>123.46000000000004</v>
      </c>
      <c r="K1835" s="8">
        <f t="shared" si="170"/>
        <v>0.28696945748686725</v>
      </c>
      <c r="L1835" t="str">
        <f t="shared" si="173"/>
        <v>2022-12</v>
      </c>
      <c r="M1835">
        <f t="shared" si="171"/>
        <v>123.46000000000004</v>
      </c>
    </row>
    <row r="1836" spans="1:13" x14ac:dyDescent="0.25">
      <c r="A1836" s="1">
        <v>44644</v>
      </c>
      <c r="B1836" t="s">
        <v>22</v>
      </c>
      <c r="C1836" t="s">
        <v>8</v>
      </c>
      <c r="D1836" t="s">
        <v>9</v>
      </c>
      <c r="E1836">
        <v>201.06</v>
      </c>
      <c r="F1836">
        <v>141.41</v>
      </c>
      <c r="G1836">
        <v>1</v>
      </c>
      <c r="H1836">
        <f t="shared" si="168"/>
        <v>201.06</v>
      </c>
      <c r="I1836">
        <f t="shared" si="172"/>
        <v>141.41</v>
      </c>
      <c r="J1836">
        <f t="shared" si="169"/>
        <v>59.650000000000006</v>
      </c>
      <c r="K1836" s="8">
        <f t="shared" si="170"/>
        <v>0.2966776086740277</v>
      </c>
      <c r="L1836" t="str">
        <f t="shared" si="173"/>
        <v>2022-03</v>
      </c>
      <c r="M1836">
        <f t="shared" si="171"/>
        <v>59.650000000000006</v>
      </c>
    </row>
    <row r="1837" spans="1:13" x14ac:dyDescent="0.25">
      <c r="A1837" s="1">
        <v>44954</v>
      </c>
      <c r="B1837" t="s">
        <v>21</v>
      </c>
      <c r="C1837" t="s">
        <v>20</v>
      </c>
      <c r="D1837" t="s">
        <v>9</v>
      </c>
      <c r="E1837">
        <v>789.18</v>
      </c>
      <c r="F1837">
        <v>707.66</v>
      </c>
      <c r="G1837">
        <v>1</v>
      </c>
      <c r="H1837">
        <f t="shared" si="168"/>
        <v>789.18</v>
      </c>
      <c r="I1837">
        <f t="shared" si="172"/>
        <v>707.66</v>
      </c>
      <c r="J1837">
        <f t="shared" si="169"/>
        <v>81.519999999999982</v>
      </c>
      <c r="K1837" s="8">
        <f t="shared" si="170"/>
        <v>0.10329709318533159</v>
      </c>
      <c r="L1837" t="str">
        <f t="shared" si="173"/>
        <v>2023-01</v>
      </c>
      <c r="M1837">
        <f t="shared" si="171"/>
        <v>81.519999999999982</v>
      </c>
    </row>
    <row r="1838" spans="1:13" x14ac:dyDescent="0.25">
      <c r="A1838" s="1">
        <v>45135</v>
      </c>
      <c r="B1838" t="s">
        <v>23</v>
      </c>
      <c r="C1838" t="s">
        <v>11</v>
      </c>
      <c r="D1838" t="s">
        <v>13</v>
      </c>
      <c r="E1838">
        <v>1503.94</v>
      </c>
      <c r="F1838">
        <v>978.34</v>
      </c>
      <c r="G1838">
        <v>1</v>
      </c>
      <c r="H1838">
        <f t="shared" si="168"/>
        <v>1503.94</v>
      </c>
      <c r="I1838">
        <f t="shared" si="172"/>
        <v>978.34</v>
      </c>
      <c r="J1838">
        <f t="shared" si="169"/>
        <v>525.6</v>
      </c>
      <c r="K1838" s="8">
        <f t="shared" si="170"/>
        <v>0.34948202720853228</v>
      </c>
      <c r="L1838" t="str">
        <f t="shared" si="173"/>
        <v>2023-07</v>
      </c>
      <c r="M1838">
        <f t="shared" si="171"/>
        <v>525.6</v>
      </c>
    </row>
    <row r="1839" spans="1:13" x14ac:dyDescent="0.25">
      <c r="A1839" s="1">
        <v>44966</v>
      </c>
      <c r="B1839" t="s">
        <v>12</v>
      </c>
      <c r="C1839" t="s">
        <v>8</v>
      </c>
      <c r="D1839" t="s">
        <v>18</v>
      </c>
      <c r="E1839">
        <v>1508.43</v>
      </c>
      <c r="F1839">
        <v>882.2</v>
      </c>
      <c r="G1839">
        <v>6</v>
      </c>
      <c r="H1839">
        <f t="shared" si="168"/>
        <v>9050.58</v>
      </c>
      <c r="I1839">
        <f t="shared" si="172"/>
        <v>5293.2000000000007</v>
      </c>
      <c r="J1839">
        <f t="shared" si="169"/>
        <v>3757.3799999999992</v>
      </c>
      <c r="K1839" s="8">
        <f t="shared" si="170"/>
        <v>0.41515350397433082</v>
      </c>
      <c r="L1839" t="str">
        <f t="shared" si="173"/>
        <v>2023-02</v>
      </c>
      <c r="M1839">
        <f t="shared" si="171"/>
        <v>3757.3799999999992</v>
      </c>
    </row>
    <row r="1840" spans="1:13" x14ac:dyDescent="0.25">
      <c r="A1840" s="1">
        <v>44814</v>
      </c>
      <c r="B1840" t="s">
        <v>7</v>
      </c>
      <c r="C1840" t="s">
        <v>8</v>
      </c>
      <c r="D1840" t="s">
        <v>18</v>
      </c>
      <c r="E1840">
        <v>1857.03</v>
      </c>
      <c r="F1840">
        <v>1508.3</v>
      </c>
      <c r="G1840">
        <v>8</v>
      </c>
      <c r="H1840">
        <f t="shared" si="168"/>
        <v>14856.24</v>
      </c>
      <c r="I1840">
        <f t="shared" si="172"/>
        <v>12066.4</v>
      </c>
      <c r="J1840">
        <f t="shared" si="169"/>
        <v>2789.84</v>
      </c>
      <c r="K1840" s="8">
        <f t="shared" si="170"/>
        <v>0.18778910410709576</v>
      </c>
      <c r="L1840" t="str">
        <f t="shared" si="173"/>
        <v>2022-09</v>
      </c>
      <c r="M1840">
        <f t="shared" si="171"/>
        <v>2789.84</v>
      </c>
    </row>
    <row r="1841" spans="1:13" x14ac:dyDescent="0.25">
      <c r="A1841" s="1">
        <v>45277</v>
      </c>
      <c r="B1841" t="s">
        <v>19</v>
      </c>
      <c r="C1841" t="s">
        <v>20</v>
      </c>
      <c r="D1841" t="s">
        <v>17</v>
      </c>
      <c r="E1841">
        <v>1041.8800000000001</v>
      </c>
      <c r="F1841">
        <v>614.01</v>
      </c>
      <c r="G1841">
        <v>8</v>
      </c>
      <c r="H1841">
        <f t="shared" si="168"/>
        <v>8335.0400000000009</v>
      </c>
      <c r="I1841">
        <f t="shared" si="172"/>
        <v>4912.08</v>
      </c>
      <c r="J1841">
        <f t="shared" si="169"/>
        <v>3422.9600000000009</v>
      </c>
      <c r="K1841" s="8">
        <f t="shared" si="170"/>
        <v>0.41067109455983419</v>
      </c>
      <c r="L1841" t="str">
        <f t="shared" si="173"/>
        <v>2023-12</v>
      </c>
      <c r="M1841">
        <f t="shared" si="171"/>
        <v>3422.9600000000009</v>
      </c>
    </row>
    <row r="1842" spans="1:13" x14ac:dyDescent="0.25">
      <c r="A1842" s="1">
        <v>44679</v>
      </c>
      <c r="B1842" t="s">
        <v>25</v>
      </c>
      <c r="C1842" t="s">
        <v>15</v>
      </c>
      <c r="D1842" t="s">
        <v>18</v>
      </c>
      <c r="E1842">
        <v>926.6</v>
      </c>
      <c r="F1842">
        <v>751.39</v>
      </c>
      <c r="G1842">
        <v>10</v>
      </c>
      <c r="H1842">
        <f t="shared" si="168"/>
        <v>9266</v>
      </c>
      <c r="I1842">
        <f t="shared" si="172"/>
        <v>7513.9</v>
      </c>
      <c r="J1842">
        <f t="shared" si="169"/>
        <v>1752.1000000000004</v>
      </c>
      <c r="K1842" s="8">
        <f t="shared" si="170"/>
        <v>0.18908914310382047</v>
      </c>
      <c r="L1842" t="str">
        <f t="shared" si="173"/>
        <v>2022-04</v>
      </c>
      <c r="M1842">
        <f t="shared" si="171"/>
        <v>1752.1000000000004</v>
      </c>
    </row>
    <row r="1843" spans="1:13" x14ac:dyDescent="0.25">
      <c r="A1843" s="1">
        <v>45395</v>
      </c>
      <c r="B1843" t="s">
        <v>24</v>
      </c>
      <c r="C1843" t="s">
        <v>20</v>
      </c>
      <c r="D1843" t="s">
        <v>18</v>
      </c>
      <c r="E1843">
        <v>1933.61</v>
      </c>
      <c r="F1843">
        <v>1478.66</v>
      </c>
      <c r="G1843">
        <v>8</v>
      </c>
      <c r="H1843">
        <f t="shared" si="168"/>
        <v>15468.88</v>
      </c>
      <c r="I1843">
        <f t="shared" si="172"/>
        <v>11829.28</v>
      </c>
      <c r="J1843">
        <f t="shared" si="169"/>
        <v>3639.5999999999985</v>
      </c>
      <c r="K1843" s="8">
        <f t="shared" si="170"/>
        <v>0.23528529538014378</v>
      </c>
      <c r="L1843" t="str">
        <f t="shared" si="173"/>
        <v>2024-04</v>
      </c>
      <c r="M1843">
        <f t="shared" si="171"/>
        <v>3639.5999999999985</v>
      </c>
    </row>
    <row r="1844" spans="1:13" x14ac:dyDescent="0.25">
      <c r="A1844" s="1">
        <v>44917</v>
      </c>
      <c r="B1844" t="s">
        <v>25</v>
      </c>
      <c r="C1844" t="s">
        <v>15</v>
      </c>
      <c r="D1844" t="s">
        <v>17</v>
      </c>
      <c r="E1844">
        <v>737.8</v>
      </c>
      <c r="F1844">
        <v>447.39</v>
      </c>
      <c r="G1844">
        <v>5</v>
      </c>
      <c r="H1844">
        <f t="shared" si="168"/>
        <v>3689</v>
      </c>
      <c r="I1844">
        <f t="shared" si="172"/>
        <v>2236.9499999999998</v>
      </c>
      <c r="J1844">
        <f t="shared" si="169"/>
        <v>1452.0500000000002</v>
      </c>
      <c r="K1844" s="8">
        <f t="shared" si="170"/>
        <v>0.39361615613987533</v>
      </c>
      <c r="L1844" t="str">
        <f t="shared" si="173"/>
        <v>2022-12</v>
      </c>
      <c r="M1844">
        <f t="shared" si="171"/>
        <v>1452.0500000000002</v>
      </c>
    </row>
    <row r="1845" spans="1:13" x14ac:dyDescent="0.25">
      <c r="A1845" s="1">
        <v>45249</v>
      </c>
      <c r="B1845" t="s">
        <v>24</v>
      </c>
      <c r="C1845" t="s">
        <v>20</v>
      </c>
      <c r="D1845" t="s">
        <v>9</v>
      </c>
      <c r="E1845">
        <v>1131.8800000000001</v>
      </c>
      <c r="F1845">
        <v>628.9</v>
      </c>
      <c r="G1845">
        <v>9</v>
      </c>
      <c r="H1845">
        <f t="shared" si="168"/>
        <v>10186.920000000002</v>
      </c>
      <c r="I1845">
        <f t="shared" si="172"/>
        <v>5660.0999999999995</v>
      </c>
      <c r="J1845">
        <f t="shared" si="169"/>
        <v>4526.8200000000024</v>
      </c>
      <c r="K1845" s="8">
        <f t="shared" si="170"/>
        <v>0.44437572887585269</v>
      </c>
      <c r="L1845" t="str">
        <f t="shared" si="173"/>
        <v>2023-11</v>
      </c>
      <c r="M1845">
        <f t="shared" si="171"/>
        <v>4526.8200000000024</v>
      </c>
    </row>
    <row r="1846" spans="1:13" x14ac:dyDescent="0.25">
      <c r="A1846" s="1">
        <v>45160</v>
      </c>
      <c r="B1846" t="s">
        <v>21</v>
      </c>
      <c r="C1846" t="s">
        <v>20</v>
      </c>
      <c r="D1846" t="s">
        <v>9</v>
      </c>
      <c r="E1846">
        <v>478.97</v>
      </c>
      <c r="F1846">
        <v>282.60000000000002</v>
      </c>
      <c r="G1846">
        <v>3</v>
      </c>
      <c r="H1846">
        <f t="shared" si="168"/>
        <v>1436.91</v>
      </c>
      <c r="I1846">
        <f t="shared" si="172"/>
        <v>847.80000000000007</v>
      </c>
      <c r="J1846">
        <f t="shared" si="169"/>
        <v>589.11</v>
      </c>
      <c r="K1846" s="8">
        <f t="shared" si="170"/>
        <v>0.40998392383656596</v>
      </c>
      <c r="L1846" t="str">
        <f t="shared" si="173"/>
        <v>2023-08</v>
      </c>
      <c r="M1846">
        <f t="shared" si="171"/>
        <v>589.11</v>
      </c>
    </row>
    <row r="1847" spans="1:13" x14ac:dyDescent="0.25">
      <c r="A1847" s="1">
        <v>45261</v>
      </c>
      <c r="B1847" t="s">
        <v>19</v>
      </c>
      <c r="C1847" t="s">
        <v>20</v>
      </c>
      <c r="D1847" t="s">
        <v>17</v>
      </c>
      <c r="E1847">
        <v>599.94000000000005</v>
      </c>
      <c r="F1847">
        <v>455.34</v>
      </c>
      <c r="G1847">
        <v>7</v>
      </c>
      <c r="H1847">
        <f t="shared" si="168"/>
        <v>4199.58</v>
      </c>
      <c r="I1847">
        <f t="shared" si="172"/>
        <v>3187.3799999999997</v>
      </c>
      <c r="J1847">
        <f t="shared" si="169"/>
        <v>1012.2000000000003</v>
      </c>
      <c r="K1847" s="8">
        <f t="shared" si="170"/>
        <v>0.24102410241024108</v>
      </c>
      <c r="L1847" t="str">
        <f t="shared" si="173"/>
        <v>2023-12</v>
      </c>
      <c r="M1847">
        <f t="shared" si="171"/>
        <v>1012.2000000000003</v>
      </c>
    </row>
    <row r="1848" spans="1:13" x14ac:dyDescent="0.25">
      <c r="A1848" s="1">
        <v>45414</v>
      </c>
      <c r="B1848" t="s">
        <v>14</v>
      </c>
      <c r="C1848" t="s">
        <v>15</v>
      </c>
      <c r="D1848" t="s">
        <v>17</v>
      </c>
      <c r="E1848">
        <v>1567.47</v>
      </c>
      <c r="F1848">
        <v>1314.89</v>
      </c>
      <c r="G1848">
        <v>9</v>
      </c>
      <c r="H1848">
        <f t="shared" si="168"/>
        <v>14107.23</v>
      </c>
      <c r="I1848">
        <f t="shared" si="172"/>
        <v>11834.01</v>
      </c>
      <c r="J1848">
        <f t="shared" si="169"/>
        <v>2273.2199999999993</v>
      </c>
      <c r="K1848" s="8">
        <f t="shared" si="170"/>
        <v>0.16113865018150264</v>
      </c>
      <c r="L1848" t="str">
        <f t="shared" si="173"/>
        <v>2024-05</v>
      </c>
      <c r="M1848">
        <f t="shared" si="171"/>
        <v>2273.2199999999993</v>
      </c>
    </row>
    <row r="1849" spans="1:13" x14ac:dyDescent="0.25">
      <c r="A1849" s="1">
        <v>45434</v>
      </c>
      <c r="B1849" t="s">
        <v>23</v>
      </c>
      <c r="C1849" t="s">
        <v>11</v>
      </c>
      <c r="D1849" t="s">
        <v>18</v>
      </c>
      <c r="E1849">
        <v>706.95</v>
      </c>
      <c r="F1849">
        <v>357.38</v>
      </c>
      <c r="G1849">
        <v>7</v>
      </c>
      <c r="H1849">
        <f t="shared" si="168"/>
        <v>4948.6500000000005</v>
      </c>
      <c r="I1849">
        <f t="shared" si="172"/>
        <v>2501.66</v>
      </c>
      <c r="J1849">
        <f t="shared" si="169"/>
        <v>2446.9900000000007</v>
      </c>
      <c r="K1849" s="8">
        <f t="shared" si="170"/>
        <v>0.49447627130631594</v>
      </c>
      <c r="L1849" t="str">
        <f t="shared" si="173"/>
        <v>2024-05</v>
      </c>
      <c r="M1849">
        <f t="shared" si="171"/>
        <v>2446.9900000000007</v>
      </c>
    </row>
    <row r="1850" spans="1:13" x14ac:dyDescent="0.25">
      <c r="A1850" s="1">
        <v>44583</v>
      </c>
      <c r="B1850" t="s">
        <v>23</v>
      </c>
      <c r="C1850" t="s">
        <v>11</v>
      </c>
      <c r="D1850" t="s">
        <v>17</v>
      </c>
      <c r="E1850">
        <v>1284.58</v>
      </c>
      <c r="F1850">
        <v>776.54</v>
      </c>
      <c r="G1850">
        <v>3</v>
      </c>
      <c r="H1850">
        <f t="shared" si="168"/>
        <v>3853.74</v>
      </c>
      <c r="I1850">
        <f t="shared" si="172"/>
        <v>2329.62</v>
      </c>
      <c r="J1850">
        <f t="shared" si="169"/>
        <v>1524.12</v>
      </c>
      <c r="K1850" s="8">
        <f t="shared" si="170"/>
        <v>0.39549113328870134</v>
      </c>
      <c r="L1850" t="str">
        <f t="shared" si="173"/>
        <v>2022-01</v>
      </c>
      <c r="M1850">
        <f t="shared" si="171"/>
        <v>1524.12</v>
      </c>
    </row>
    <row r="1851" spans="1:13" x14ac:dyDescent="0.25">
      <c r="A1851" s="1">
        <v>45147</v>
      </c>
      <c r="B1851" t="s">
        <v>7</v>
      </c>
      <c r="C1851" t="s">
        <v>8</v>
      </c>
      <c r="D1851" t="s">
        <v>18</v>
      </c>
      <c r="E1851">
        <v>952.2</v>
      </c>
      <c r="F1851">
        <v>759.42</v>
      </c>
      <c r="G1851">
        <v>5</v>
      </c>
      <c r="H1851">
        <f t="shared" si="168"/>
        <v>4761</v>
      </c>
      <c r="I1851">
        <f t="shared" si="172"/>
        <v>3797.1</v>
      </c>
      <c r="J1851">
        <f t="shared" si="169"/>
        <v>963.90000000000009</v>
      </c>
      <c r="K1851" s="8">
        <f t="shared" si="170"/>
        <v>0.20245746691871458</v>
      </c>
      <c r="L1851" t="str">
        <f t="shared" si="173"/>
        <v>2023-08</v>
      </c>
      <c r="M1851">
        <f t="shared" si="171"/>
        <v>963.90000000000009</v>
      </c>
    </row>
    <row r="1852" spans="1:13" x14ac:dyDescent="0.25">
      <c r="A1852" s="1">
        <v>45408</v>
      </c>
      <c r="B1852" t="s">
        <v>14</v>
      </c>
      <c r="C1852" t="s">
        <v>15</v>
      </c>
      <c r="D1852" t="s">
        <v>18</v>
      </c>
      <c r="E1852">
        <v>560.16999999999996</v>
      </c>
      <c r="F1852">
        <v>435.15</v>
      </c>
      <c r="G1852">
        <v>5</v>
      </c>
      <c r="H1852">
        <f t="shared" si="168"/>
        <v>2800.85</v>
      </c>
      <c r="I1852">
        <f t="shared" si="172"/>
        <v>2175.75</v>
      </c>
      <c r="J1852">
        <f t="shared" si="169"/>
        <v>625.09999999999991</v>
      </c>
      <c r="K1852" s="8">
        <f t="shared" si="170"/>
        <v>0.22318224824606814</v>
      </c>
      <c r="L1852" t="str">
        <f t="shared" si="173"/>
        <v>2024-04</v>
      </c>
      <c r="M1852">
        <f t="shared" si="171"/>
        <v>625.09999999999991</v>
      </c>
    </row>
    <row r="1853" spans="1:13" x14ac:dyDescent="0.25">
      <c r="A1853" s="1">
        <v>45656</v>
      </c>
      <c r="B1853" t="s">
        <v>21</v>
      </c>
      <c r="C1853" t="s">
        <v>20</v>
      </c>
      <c r="D1853" t="s">
        <v>13</v>
      </c>
      <c r="E1853">
        <v>1331.16</v>
      </c>
      <c r="F1853">
        <v>885.8</v>
      </c>
      <c r="G1853">
        <v>5</v>
      </c>
      <c r="H1853">
        <f t="shared" si="168"/>
        <v>6655.8</v>
      </c>
      <c r="I1853">
        <f t="shared" si="172"/>
        <v>4429</v>
      </c>
      <c r="J1853">
        <f t="shared" si="169"/>
        <v>2226.8000000000002</v>
      </c>
      <c r="K1853" s="8">
        <f t="shared" si="170"/>
        <v>0.33456534150665584</v>
      </c>
      <c r="L1853" t="str">
        <f t="shared" si="173"/>
        <v>2024-12</v>
      </c>
      <c r="M1853">
        <f t="shared" si="171"/>
        <v>2226.8000000000002</v>
      </c>
    </row>
    <row r="1854" spans="1:13" x14ac:dyDescent="0.25">
      <c r="A1854" s="1">
        <v>45478</v>
      </c>
      <c r="B1854" t="s">
        <v>21</v>
      </c>
      <c r="C1854" t="s">
        <v>20</v>
      </c>
      <c r="D1854" t="s">
        <v>17</v>
      </c>
      <c r="E1854">
        <v>1973.99</v>
      </c>
      <c r="F1854">
        <v>1770.19</v>
      </c>
      <c r="G1854">
        <v>3</v>
      </c>
      <c r="H1854">
        <f t="shared" si="168"/>
        <v>5921.97</v>
      </c>
      <c r="I1854">
        <f t="shared" si="172"/>
        <v>5310.57</v>
      </c>
      <c r="J1854">
        <f t="shared" si="169"/>
        <v>611.40000000000055</v>
      </c>
      <c r="K1854" s="8">
        <f t="shared" si="170"/>
        <v>0.10324267093551648</v>
      </c>
      <c r="L1854" t="str">
        <f t="shared" si="173"/>
        <v>2024-07</v>
      </c>
      <c r="M1854">
        <f t="shared" si="171"/>
        <v>611.40000000000055</v>
      </c>
    </row>
    <row r="1855" spans="1:13" x14ac:dyDescent="0.25">
      <c r="A1855" s="1">
        <v>44818</v>
      </c>
      <c r="B1855" t="s">
        <v>7</v>
      </c>
      <c r="C1855" t="s">
        <v>8</v>
      </c>
      <c r="D1855" t="s">
        <v>13</v>
      </c>
      <c r="E1855">
        <v>1183.6099999999999</v>
      </c>
      <c r="F1855">
        <v>682.17</v>
      </c>
      <c r="G1855">
        <v>5</v>
      </c>
      <c r="H1855">
        <f t="shared" si="168"/>
        <v>5918.0499999999993</v>
      </c>
      <c r="I1855">
        <f t="shared" si="172"/>
        <v>3410.85</v>
      </c>
      <c r="J1855">
        <f t="shared" si="169"/>
        <v>2507.1999999999994</v>
      </c>
      <c r="K1855" s="8">
        <f t="shared" si="170"/>
        <v>0.42365306139691278</v>
      </c>
      <c r="L1855" t="str">
        <f t="shared" si="173"/>
        <v>2022-09</v>
      </c>
      <c r="M1855">
        <f t="shared" si="171"/>
        <v>2507.1999999999994</v>
      </c>
    </row>
    <row r="1856" spans="1:13" x14ac:dyDescent="0.25">
      <c r="A1856" s="1">
        <v>45508</v>
      </c>
      <c r="B1856" t="s">
        <v>25</v>
      </c>
      <c r="C1856" t="s">
        <v>15</v>
      </c>
      <c r="D1856" t="s">
        <v>13</v>
      </c>
      <c r="E1856">
        <v>1654.71</v>
      </c>
      <c r="F1856">
        <v>892.6</v>
      </c>
      <c r="G1856">
        <v>8</v>
      </c>
      <c r="H1856">
        <f t="shared" si="168"/>
        <v>13237.68</v>
      </c>
      <c r="I1856">
        <f t="shared" si="172"/>
        <v>7140.8</v>
      </c>
      <c r="J1856">
        <f t="shared" si="169"/>
        <v>6096.88</v>
      </c>
      <c r="K1856" s="8">
        <f t="shared" si="170"/>
        <v>0.46057013011343378</v>
      </c>
      <c r="L1856" t="str">
        <f t="shared" si="173"/>
        <v>2024-08</v>
      </c>
      <c r="M1856">
        <f t="shared" si="171"/>
        <v>6096.88</v>
      </c>
    </row>
    <row r="1857" spans="1:13" x14ac:dyDescent="0.25">
      <c r="A1857" s="1">
        <v>44592</v>
      </c>
      <c r="B1857" t="s">
        <v>24</v>
      </c>
      <c r="C1857" t="s">
        <v>20</v>
      </c>
      <c r="D1857" t="s">
        <v>9</v>
      </c>
      <c r="E1857">
        <v>173.47</v>
      </c>
      <c r="F1857">
        <v>133.57</v>
      </c>
      <c r="G1857">
        <v>1</v>
      </c>
      <c r="H1857">
        <f t="shared" si="168"/>
        <v>173.47</v>
      </c>
      <c r="I1857">
        <f t="shared" si="172"/>
        <v>133.57</v>
      </c>
      <c r="J1857">
        <f t="shared" si="169"/>
        <v>39.900000000000006</v>
      </c>
      <c r="K1857" s="8">
        <f t="shared" si="170"/>
        <v>0.23001095290251919</v>
      </c>
      <c r="L1857" t="str">
        <f t="shared" si="173"/>
        <v>2022-01</v>
      </c>
      <c r="M1857">
        <f t="shared" si="171"/>
        <v>39.900000000000006</v>
      </c>
    </row>
    <row r="1858" spans="1:13" x14ac:dyDescent="0.25">
      <c r="A1858" s="1">
        <v>44861</v>
      </c>
      <c r="B1858" t="s">
        <v>22</v>
      </c>
      <c r="C1858" t="s">
        <v>8</v>
      </c>
      <c r="D1858" t="s">
        <v>18</v>
      </c>
      <c r="E1858">
        <v>1369.34</v>
      </c>
      <c r="F1858">
        <v>1005.09</v>
      </c>
      <c r="G1858">
        <v>6</v>
      </c>
      <c r="H1858">
        <f t="shared" si="168"/>
        <v>8216.0399999999991</v>
      </c>
      <c r="I1858">
        <f t="shared" si="172"/>
        <v>6030.54</v>
      </c>
      <c r="J1858">
        <f t="shared" si="169"/>
        <v>2185.4999999999991</v>
      </c>
      <c r="K1858" s="8">
        <f t="shared" si="170"/>
        <v>0.26600406035024166</v>
      </c>
      <c r="L1858" t="str">
        <f t="shared" si="173"/>
        <v>2022-10</v>
      </c>
      <c r="M1858">
        <f t="shared" si="171"/>
        <v>2185.4999999999991</v>
      </c>
    </row>
    <row r="1859" spans="1:13" x14ac:dyDescent="0.25">
      <c r="A1859" s="1">
        <v>45319</v>
      </c>
      <c r="B1859" t="s">
        <v>19</v>
      </c>
      <c r="C1859" t="s">
        <v>20</v>
      </c>
      <c r="D1859" t="s">
        <v>17</v>
      </c>
      <c r="E1859">
        <v>1187.6600000000001</v>
      </c>
      <c r="F1859">
        <v>676.65</v>
      </c>
      <c r="G1859">
        <v>4</v>
      </c>
      <c r="H1859">
        <f t="shared" ref="H1859:H1922" si="174">E1859*G1859</f>
        <v>4750.6400000000003</v>
      </c>
      <c r="I1859">
        <f t="shared" si="172"/>
        <v>2706.6</v>
      </c>
      <c r="J1859">
        <f t="shared" ref="J1859:J1922" si="175">H1859-I1859</f>
        <v>2044.0400000000004</v>
      </c>
      <c r="K1859" s="8">
        <f t="shared" ref="K1859:K1922" si="176">(H1859-I1859)/H1859</f>
        <v>0.43026623781216855</v>
      </c>
      <c r="L1859" t="str">
        <f t="shared" si="173"/>
        <v>2024-01</v>
      </c>
      <c r="M1859">
        <f t="shared" ref="M1859:M1922" si="177">H1859-I1859</f>
        <v>2044.0400000000004</v>
      </c>
    </row>
    <row r="1860" spans="1:13" x14ac:dyDescent="0.25">
      <c r="A1860" s="1">
        <v>44695</v>
      </c>
      <c r="B1860" t="s">
        <v>22</v>
      </c>
      <c r="C1860" t="s">
        <v>8</v>
      </c>
      <c r="D1860" t="s">
        <v>17</v>
      </c>
      <c r="E1860">
        <v>1185.6099999999999</v>
      </c>
      <c r="F1860">
        <v>622.66</v>
      </c>
      <c r="G1860">
        <v>3</v>
      </c>
      <c r="H1860">
        <f t="shared" si="174"/>
        <v>3556.83</v>
      </c>
      <c r="I1860">
        <f t="shared" ref="I1860:I1923" si="178">F1860*G1860</f>
        <v>1867.98</v>
      </c>
      <c r="J1860">
        <f t="shared" si="175"/>
        <v>1688.85</v>
      </c>
      <c r="K1860" s="8">
        <f t="shared" si="176"/>
        <v>0.47481886961142367</v>
      </c>
      <c r="L1860" t="str">
        <f t="shared" ref="L1860:L1923" si="179">TEXT(A1860,"rrrr-mm")</f>
        <v>2022-05</v>
      </c>
      <c r="M1860">
        <f t="shared" si="177"/>
        <v>1688.85</v>
      </c>
    </row>
    <row r="1861" spans="1:13" x14ac:dyDescent="0.25">
      <c r="A1861" s="1">
        <v>45055</v>
      </c>
      <c r="B1861" t="s">
        <v>25</v>
      </c>
      <c r="C1861" t="s">
        <v>15</v>
      </c>
      <c r="D1861" t="s">
        <v>18</v>
      </c>
      <c r="E1861">
        <v>995.97</v>
      </c>
      <c r="F1861">
        <v>571.02</v>
      </c>
      <c r="G1861">
        <v>5</v>
      </c>
      <c r="H1861">
        <f t="shared" si="174"/>
        <v>4979.8500000000004</v>
      </c>
      <c r="I1861">
        <f t="shared" si="178"/>
        <v>2855.1</v>
      </c>
      <c r="J1861">
        <f t="shared" si="175"/>
        <v>2124.7500000000005</v>
      </c>
      <c r="K1861" s="8">
        <f t="shared" si="176"/>
        <v>0.42666947799632526</v>
      </c>
      <c r="L1861" t="str">
        <f t="shared" si="179"/>
        <v>2023-05</v>
      </c>
      <c r="M1861">
        <f t="shared" si="177"/>
        <v>2124.7500000000005</v>
      </c>
    </row>
    <row r="1862" spans="1:13" x14ac:dyDescent="0.25">
      <c r="A1862" s="1">
        <v>45149</v>
      </c>
      <c r="B1862" t="s">
        <v>24</v>
      </c>
      <c r="C1862" t="s">
        <v>20</v>
      </c>
      <c r="D1862" t="s">
        <v>9</v>
      </c>
      <c r="E1862">
        <v>237.6</v>
      </c>
      <c r="F1862">
        <v>118.96</v>
      </c>
      <c r="G1862">
        <v>2</v>
      </c>
      <c r="H1862">
        <f t="shared" si="174"/>
        <v>475.2</v>
      </c>
      <c r="I1862">
        <f t="shared" si="178"/>
        <v>237.92</v>
      </c>
      <c r="J1862">
        <f t="shared" si="175"/>
        <v>237.28</v>
      </c>
      <c r="K1862" s="8">
        <f t="shared" si="176"/>
        <v>0.49932659932659934</v>
      </c>
      <c r="L1862" t="str">
        <f t="shared" si="179"/>
        <v>2023-08</v>
      </c>
      <c r="M1862">
        <f t="shared" si="177"/>
        <v>237.28</v>
      </c>
    </row>
    <row r="1863" spans="1:13" x14ac:dyDescent="0.25">
      <c r="A1863" s="1">
        <v>45200</v>
      </c>
      <c r="B1863" t="s">
        <v>19</v>
      </c>
      <c r="C1863" t="s">
        <v>20</v>
      </c>
      <c r="D1863" t="s">
        <v>13</v>
      </c>
      <c r="E1863">
        <v>865.5</v>
      </c>
      <c r="F1863">
        <v>704.96</v>
      </c>
      <c r="G1863">
        <v>9</v>
      </c>
      <c r="H1863">
        <f t="shared" si="174"/>
        <v>7789.5</v>
      </c>
      <c r="I1863">
        <f t="shared" si="178"/>
        <v>6344.64</v>
      </c>
      <c r="J1863">
        <f t="shared" si="175"/>
        <v>1444.8599999999997</v>
      </c>
      <c r="K1863" s="8">
        <f t="shared" si="176"/>
        <v>0.18548815713460423</v>
      </c>
      <c r="L1863" t="str">
        <f t="shared" si="179"/>
        <v>2023-10</v>
      </c>
      <c r="M1863">
        <f t="shared" si="177"/>
        <v>1444.8599999999997</v>
      </c>
    </row>
    <row r="1864" spans="1:13" x14ac:dyDescent="0.25">
      <c r="A1864" s="1">
        <v>45623</v>
      </c>
      <c r="B1864" t="s">
        <v>23</v>
      </c>
      <c r="C1864" t="s">
        <v>11</v>
      </c>
      <c r="D1864" t="s">
        <v>17</v>
      </c>
      <c r="E1864">
        <v>1973.89</v>
      </c>
      <c r="F1864">
        <v>1515.83</v>
      </c>
      <c r="G1864">
        <v>1</v>
      </c>
      <c r="H1864">
        <f t="shared" si="174"/>
        <v>1973.89</v>
      </c>
      <c r="I1864">
        <f t="shared" si="178"/>
        <v>1515.83</v>
      </c>
      <c r="J1864">
        <f t="shared" si="175"/>
        <v>458.06000000000017</v>
      </c>
      <c r="K1864" s="8">
        <f t="shared" si="176"/>
        <v>0.23205953725891521</v>
      </c>
      <c r="L1864" t="str">
        <f t="shared" si="179"/>
        <v>2024-11</v>
      </c>
      <c r="M1864">
        <f t="shared" si="177"/>
        <v>458.06000000000017</v>
      </c>
    </row>
    <row r="1865" spans="1:13" x14ac:dyDescent="0.25">
      <c r="A1865" s="1">
        <v>45635</v>
      </c>
      <c r="B1865" t="s">
        <v>19</v>
      </c>
      <c r="C1865" t="s">
        <v>20</v>
      </c>
      <c r="D1865" t="s">
        <v>13</v>
      </c>
      <c r="E1865">
        <v>1201.47</v>
      </c>
      <c r="F1865">
        <v>998.75</v>
      </c>
      <c r="G1865">
        <v>8</v>
      </c>
      <c r="H1865">
        <f t="shared" si="174"/>
        <v>9611.76</v>
      </c>
      <c r="I1865">
        <f t="shared" si="178"/>
        <v>7990</v>
      </c>
      <c r="J1865">
        <f t="shared" si="175"/>
        <v>1621.7600000000002</v>
      </c>
      <c r="K1865" s="8">
        <f t="shared" si="176"/>
        <v>0.16872664319541897</v>
      </c>
      <c r="L1865" t="str">
        <f t="shared" si="179"/>
        <v>2024-12</v>
      </c>
      <c r="M1865">
        <f t="shared" si="177"/>
        <v>1621.7600000000002</v>
      </c>
    </row>
    <row r="1866" spans="1:13" x14ac:dyDescent="0.25">
      <c r="A1866" s="1">
        <v>44600</v>
      </c>
      <c r="B1866" t="s">
        <v>22</v>
      </c>
      <c r="C1866" t="s">
        <v>8</v>
      </c>
      <c r="D1866" t="s">
        <v>18</v>
      </c>
      <c r="E1866">
        <v>1467.47</v>
      </c>
      <c r="F1866">
        <v>815.29</v>
      </c>
      <c r="G1866">
        <v>1</v>
      </c>
      <c r="H1866">
        <f t="shared" si="174"/>
        <v>1467.47</v>
      </c>
      <c r="I1866">
        <f t="shared" si="178"/>
        <v>815.29</v>
      </c>
      <c r="J1866">
        <f t="shared" si="175"/>
        <v>652.18000000000006</v>
      </c>
      <c r="K1866" s="8">
        <f t="shared" si="176"/>
        <v>0.44442475825740907</v>
      </c>
      <c r="L1866" t="str">
        <f t="shared" si="179"/>
        <v>2022-02</v>
      </c>
      <c r="M1866">
        <f t="shared" si="177"/>
        <v>652.18000000000006</v>
      </c>
    </row>
    <row r="1867" spans="1:13" x14ac:dyDescent="0.25">
      <c r="A1867" s="1">
        <v>44662</v>
      </c>
      <c r="B1867" t="s">
        <v>24</v>
      </c>
      <c r="C1867" t="s">
        <v>20</v>
      </c>
      <c r="D1867" t="s">
        <v>17</v>
      </c>
      <c r="E1867">
        <v>1581.06</v>
      </c>
      <c r="F1867">
        <v>1287.01</v>
      </c>
      <c r="G1867">
        <v>2</v>
      </c>
      <c r="H1867">
        <f t="shared" si="174"/>
        <v>3162.12</v>
      </c>
      <c r="I1867">
        <f t="shared" si="178"/>
        <v>2574.02</v>
      </c>
      <c r="J1867">
        <f t="shared" si="175"/>
        <v>588.09999999999991</v>
      </c>
      <c r="K1867" s="8">
        <f t="shared" si="176"/>
        <v>0.1859828216512972</v>
      </c>
      <c r="L1867" t="str">
        <f t="shared" si="179"/>
        <v>2022-04</v>
      </c>
      <c r="M1867">
        <f t="shared" si="177"/>
        <v>588.09999999999991</v>
      </c>
    </row>
    <row r="1868" spans="1:13" x14ac:dyDescent="0.25">
      <c r="A1868" s="1">
        <v>45242</v>
      </c>
      <c r="B1868" t="s">
        <v>22</v>
      </c>
      <c r="C1868" t="s">
        <v>8</v>
      </c>
      <c r="D1868" t="s">
        <v>18</v>
      </c>
      <c r="E1868">
        <v>1823.12</v>
      </c>
      <c r="F1868">
        <v>1615.76</v>
      </c>
      <c r="G1868">
        <v>8</v>
      </c>
      <c r="H1868">
        <f t="shared" si="174"/>
        <v>14584.96</v>
      </c>
      <c r="I1868">
        <f t="shared" si="178"/>
        <v>12926.08</v>
      </c>
      <c r="J1868">
        <f t="shared" si="175"/>
        <v>1658.8799999999992</v>
      </c>
      <c r="K1868" s="8">
        <f t="shared" si="176"/>
        <v>0.11373908464610114</v>
      </c>
      <c r="L1868" t="str">
        <f t="shared" si="179"/>
        <v>2023-11</v>
      </c>
      <c r="M1868">
        <f t="shared" si="177"/>
        <v>1658.8799999999992</v>
      </c>
    </row>
    <row r="1869" spans="1:13" x14ac:dyDescent="0.25">
      <c r="A1869" s="1">
        <v>45409</v>
      </c>
      <c r="B1869" t="s">
        <v>25</v>
      </c>
      <c r="C1869" t="s">
        <v>15</v>
      </c>
      <c r="D1869" t="s">
        <v>18</v>
      </c>
      <c r="E1869">
        <v>94.72</v>
      </c>
      <c r="F1869">
        <v>62.87</v>
      </c>
      <c r="G1869">
        <v>4</v>
      </c>
      <c r="H1869">
        <f t="shared" si="174"/>
        <v>378.88</v>
      </c>
      <c r="I1869">
        <f t="shared" si="178"/>
        <v>251.48</v>
      </c>
      <c r="J1869">
        <f t="shared" si="175"/>
        <v>127.4</v>
      </c>
      <c r="K1869" s="8">
        <f t="shared" si="176"/>
        <v>0.33625422297297297</v>
      </c>
      <c r="L1869" t="str">
        <f t="shared" si="179"/>
        <v>2024-04</v>
      </c>
      <c r="M1869">
        <f t="shared" si="177"/>
        <v>127.4</v>
      </c>
    </row>
    <row r="1870" spans="1:13" x14ac:dyDescent="0.25">
      <c r="A1870" s="1">
        <v>45534</v>
      </c>
      <c r="B1870" t="s">
        <v>12</v>
      </c>
      <c r="C1870" t="s">
        <v>8</v>
      </c>
      <c r="D1870" t="s">
        <v>13</v>
      </c>
      <c r="E1870">
        <v>1382.03</v>
      </c>
      <c r="F1870">
        <v>1003.01</v>
      </c>
      <c r="G1870">
        <v>4</v>
      </c>
      <c r="H1870">
        <f t="shared" si="174"/>
        <v>5528.12</v>
      </c>
      <c r="I1870">
        <f t="shared" si="178"/>
        <v>4012.04</v>
      </c>
      <c r="J1870">
        <f t="shared" si="175"/>
        <v>1516.08</v>
      </c>
      <c r="K1870" s="8">
        <f t="shared" si="176"/>
        <v>0.274248750027134</v>
      </c>
      <c r="L1870" t="str">
        <f t="shared" si="179"/>
        <v>2024-08</v>
      </c>
      <c r="M1870">
        <f t="shared" si="177"/>
        <v>1516.08</v>
      </c>
    </row>
    <row r="1871" spans="1:13" x14ac:dyDescent="0.25">
      <c r="A1871" s="1">
        <v>44928</v>
      </c>
      <c r="B1871" t="s">
        <v>14</v>
      </c>
      <c r="C1871" t="s">
        <v>15</v>
      </c>
      <c r="D1871" t="s">
        <v>18</v>
      </c>
      <c r="E1871">
        <v>1371.42</v>
      </c>
      <c r="F1871">
        <v>1017.98</v>
      </c>
      <c r="G1871">
        <v>8</v>
      </c>
      <c r="H1871">
        <f t="shared" si="174"/>
        <v>10971.36</v>
      </c>
      <c r="I1871">
        <f t="shared" si="178"/>
        <v>8143.84</v>
      </c>
      <c r="J1871">
        <f t="shared" si="175"/>
        <v>2827.5200000000004</v>
      </c>
      <c r="K1871" s="8">
        <f t="shared" si="176"/>
        <v>0.25771827740590048</v>
      </c>
      <c r="L1871" t="str">
        <f t="shared" si="179"/>
        <v>2023-01</v>
      </c>
      <c r="M1871">
        <f t="shared" si="177"/>
        <v>2827.5200000000004</v>
      </c>
    </row>
    <row r="1872" spans="1:13" x14ac:dyDescent="0.25">
      <c r="A1872" s="1">
        <v>45194</v>
      </c>
      <c r="B1872" t="s">
        <v>12</v>
      </c>
      <c r="C1872" t="s">
        <v>8</v>
      </c>
      <c r="D1872" t="s">
        <v>13</v>
      </c>
      <c r="E1872">
        <v>80.61</v>
      </c>
      <c r="F1872">
        <v>58.12</v>
      </c>
      <c r="G1872">
        <v>10</v>
      </c>
      <c r="H1872">
        <f t="shared" si="174"/>
        <v>806.1</v>
      </c>
      <c r="I1872">
        <f t="shared" si="178"/>
        <v>581.19999999999993</v>
      </c>
      <c r="J1872">
        <f t="shared" si="175"/>
        <v>224.90000000000009</v>
      </c>
      <c r="K1872" s="8">
        <f t="shared" si="176"/>
        <v>0.27899764297233604</v>
      </c>
      <c r="L1872" t="str">
        <f t="shared" si="179"/>
        <v>2023-09</v>
      </c>
      <c r="M1872">
        <f t="shared" si="177"/>
        <v>224.90000000000009</v>
      </c>
    </row>
    <row r="1873" spans="1:13" x14ac:dyDescent="0.25">
      <c r="A1873" s="1">
        <v>45103</v>
      </c>
      <c r="B1873" t="s">
        <v>12</v>
      </c>
      <c r="C1873" t="s">
        <v>8</v>
      </c>
      <c r="D1873" t="s">
        <v>13</v>
      </c>
      <c r="E1873">
        <v>90.9</v>
      </c>
      <c r="F1873">
        <v>62.97</v>
      </c>
      <c r="G1873">
        <v>4</v>
      </c>
      <c r="H1873">
        <f t="shared" si="174"/>
        <v>363.6</v>
      </c>
      <c r="I1873">
        <f t="shared" si="178"/>
        <v>251.88</v>
      </c>
      <c r="J1873">
        <f t="shared" si="175"/>
        <v>111.72000000000003</v>
      </c>
      <c r="K1873" s="8">
        <f t="shared" si="176"/>
        <v>0.30726072607260729</v>
      </c>
      <c r="L1873" t="str">
        <f t="shared" si="179"/>
        <v>2023-06</v>
      </c>
      <c r="M1873">
        <f t="shared" si="177"/>
        <v>111.72000000000003</v>
      </c>
    </row>
    <row r="1874" spans="1:13" x14ac:dyDescent="0.25">
      <c r="A1874" s="1">
        <v>44565</v>
      </c>
      <c r="B1874" t="s">
        <v>7</v>
      </c>
      <c r="C1874" t="s">
        <v>8</v>
      </c>
      <c r="D1874" t="s">
        <v>13</v>
      </c>
      <c r="E1874">
        <v>1576.7</v>
      </c>
      <c r="F1874">
        <v>1262.03</v>
      </c>
      <c r="G1874">
        <v>7</v>
      </c>
      <c r="H1874">
        <f t="shared" si="174"/>
        <v>11036.9</v>
      </c>
      <c r="I1874">
        <f t="shared" si="178"/>
        <v>8834.2099999999991</v>
      </c>
      <c r="J1874">
        <f t="shared" si="175"/>
        <v>2202.6900000000005</v>
      </c>
      <c r="K1874" s="8">
        <f t="shared" si="176"/>
        <v>0.19957506183801615</v>
      </c>
      <c r="L1874" t="str">
        <f t="shared" si="179"/>
        <v>2022-01</v>
      </c>
      <c r="M1874">
        <f t="shared" si="177"/>
        <v>2202.6900000000005</v>
      </c>
    </row>
    <row r="1875" spans="1:13" x14ac:dyDescent="0.25">
      <c r="A1875" s="1">
        <v>45171</v>
      </c>
      <c r="B1875" t="s">
        <v>7</v>
      </c>
      <c r="C1875" t="s">
        <v>8</v>
      </c>
      <c r="D1875" t="s">
        <v>9</v>
      </c>
      <c r="E1875">
        <v>575.51</v>
      </c>
      <c r="F1875">
        <v>338.37</v>
      </c>
      <c r="G1875">
        <v>1</v>
      </c>
      <c r="H1875">
        <f t="shared" si="174"/>
        <v>575.51</v>
      </c>
      <c r="I1875">
        <f t="shared" si="178"/>
        <v>338.37</v>
      </c>
      <c r="J1875">
        <f t="shared" si="175"/>
        <v>237.14</v>
      </c>
      <c r="K1875" s="8">
        <f t="shared" si="176"/>
        <v>0.41205191916734718</v>
      </c>
      <c r="L1875" t="str">
        <f t="shared" si="179"/>
        <v>2023-09</v>
      </c>
      <c r="M1875">
        <f t="shared" si="177"/>
        <v>237.14</v>
      </c>
    </row>
    <row r="1876" spans="1:13" x14ac:dyDescent="0.25">
      <c r="A1876" s="1">
        <v>44800</v>
      </c>
      <c r="B1876" t="s">
        <v>21</v>
      </c>
      <c r="C1876" t="s">
        <v>20</v>
      </c>
      <c r="D1876" t="s">
        <v>17</v>
      </c>
      <c r="E1876">
        <v>668.32</v>
      </c>
      <c r="F1876">
        <v>353.08</v>
      </c>
      <c r="G1876">
        <v>1</v>
      </c>
      <c r="H1876">
        <f t="shared" si="174"/>
        <v>668.32</v>
      </c>
      <c r="I1876">
        <f t="shared" si="178"/>
        <v>353.08</v>
      </c>
      <c r="J1876">
        <f t="shared" si="175"/>
        <v>315.24000000000007</v>
      </c>
      <c r="K1876" s="8">
        <f t="shared" si="176"/>
        <v>0.47169020828345709</v>
      </c>
      <c r="L1876" t="str">
        <f t="shared" si="179"/>
        <v>2022-08</v>
      </c>
      <c r="M1876">
        <f t="shared" si="177"/>
        <v>315.24000000000007</v>
      </c>
    </row>
    <row r="1877" spans="1:13" x14ac:dyDescent="0.25">
      <c r="A1877" s="1">
        <v>44965</v>
      </c>
      <c r="B1877" t="s">
        <v>23</v>
      </c>
      <c r="C1877" t="s">
        <v>11</v>
      </c>
      <c r="D1877" t="s">
        <v>13</v>
      </c>
      <c r="E1877">
        <v>1680.52</v>
      </c>
      <c r="F1877">
        <v>1176.0899999999999</v>
      </c>
      <c r="G1877">
        <v>7</v>
      </c>
      <c r="H1877">
        <f t="shared" si="174"/>
        <v>11763.64</v>
      </c>
      <c r="I1877">
        <f t="shared" si="178"/>
        <v>8232.6299999999992</v>
      </c>
      <c r="J1877">
        <f t="shared" si="175"/>
        <v>3531.01</v>
      </c>
      <c r="K1877" s="8">
        <f t="shared" si="176"/>
        <v>0.30016304477185635</v>
      </c>
      <c r="L1877" t="str">
        <f t="shared" si="179"/>
        <v>2023-02</v>
      </c>
      <c r="M1877">
        <f t="shared" si="177"/>
        <v>3531.01</v>
      </c>
    </row>
    <row r="1878" spans="1:13" x14ac:dyDescent="0.25">
      <c r="A1878" s="1">
        <v>45617</v>
      </c>
      <c r="B1878" t="s">
        <v>19</v>
      </c>
      <c r="C1878" t="s">
        <v>20</v>
      </c>
      <c r="D1878" t="s">
        <v>9</v>
      </c>
      <c r="E1878">
        <v>167.88</v>
      </c>
      <c r="F1878">
        <v>123.41</v>
      </c>
      <c r="G1878">
        <v>9</v>
      </c>
      <c r="H1878">
        <f t="shared" si="174"/>
        <v>1510.92</v>
      </c>
      <c r="I1878">
        <f t="shared" si="178"/>
        <v>1110.69</v>
      </c>
      <c r="J1878">
        <f t="shared" si="175"/>
        <v>400.23</v>
      </c>
      <c r="K1878" s="8">
        <f t="shared" si="176"/>
        <v>0.26489158923040268</v>
      </c>
      <c r="L1878" t="str">
        <f t="shared" si="179"/>
        <v>2024-11</v>
      </c>
      <c r="M1878">
        <f t="shared" si="177"/>
        <v>400.23</v>
      </c>
    </row>
    <row r="1879" spans="1:13" x14ac:dyDescent="0.25">
      <c r="A1879" s="1">
        <v>45295</v>
      </c>
      <c r="B1879" t="s">
        <v>10</v>
      </c>
      <c r="C1879" t="s">
        <v>11</v>
      </c>
      <c r="D1879" t="s">
        <v>13</v>
      </c>
      <c r="E1879">
        <v>1178.92</v>
      </c>
      <c r="F1879">
        <v>724.44</v>
      </c>
      <c r="G1879">
        <v>10</v>
      </c>
      <c r="H1879">
        <f t="shared" si="174"/>
        <v>11789.2</v>
      </c>
      <c r="I1879">
        <f t="shared" si="178"/>
        <v>7244.4000000000005</v>
      </c>
      <c r="J1879">
        <f t="shared" si="175"/>
        <v>4544.8</v>
      </c>
      <c r="K1879" s="8">
        <f t="shared" si="176"/>
        <v>0.38550537780341326</v>
      </c>
      <c r="L1879" t="str">
        <f t="shared" si="179"/>
        <v>2024-01</v>
      </c>
      <c r="M1879">
        <f t="shared" si="177"/>
        <v>4544.8</v>
      </c>
    </row>
    <row r="1880" spans="1:13" x14ac:dyDescent="0.25">
      <c r="A1880" s="1">
        <v>44866</v>
      </c>
      <c r="B1880" t="s">
        <v>23</v>
      </c>
      <c r="C1880" t="s">
        <v>11</v>
      </c>
      <c r="D1880" t="s">
        <v>13</v>
      </c>
      <c r="E1880">
        <v>298.69</v>
      </c>
      <c r="F1880">
        <v>231.41</v>
      </c>
      <c r="G1880">
        <v>3</v>
      </c>
      <c r="H1880">
        <f t="shared" si="174"/>
        <v>896.06999999999994</v>
      </c>
      <c r="I1880">
        <f t="shared" si="178"/>
        <v>694.23</v>
      </c>
      <c r="J1880">
        <f t="shared" si="175"/>
        <v>201.83999999999992</v>
      </c>
      <c r="K1880" s="8">
        <f t="shared" si="176"/>
        <v>0.22525025946633626</v>
      </c>
      <c r="L1880" t="str">
        <f t="shared" si="179"/>
        <v>2022-11</v>
      </c>
      <c r="M1880">
        <f t="shared" si="177"/>
        <v>201.83999999999992</v>
      </c>
    </row>
    <row r="1881" spans="1:13" x14ac:dyDescent="0.25">
      <c r="A1881" s="1">
        <v>44674</v>
      </c>
      <c r="B1881" t="s">
        <v>24</v>
      </c>
      <c r="C1881" t="s">
        <v>20</v>
      </c>
      <c r="D1881" t="s">
        <v>9</v>
      </c>
      <c r="E1881">
        <v>1494.04</v>
      </c>
      <c r="F1881">
        <v>1204.0899999999999</v>
      </c>
      <c r="G1881">
        <v>3</v>
      </c>
      <c r="H1881">
        <f t="shared" si="174"/>
        <v>4482.12</v>
      </c>
      <c r="I1881">
        <f t="shared" si="178"/>
        <v>3612.2699999999995</v>
      </c>
      <c r="J1881">
        <f t="shared" si="175"/>
        <v>869.85000000000036</v>
      </c>
      <c r="K1881" s="8">
        <f t="shared" si="176"/>
        <v>0.19407110920725024</v>
      </c>
      <c r="L1881" t="str">
        <f t="shared" si="179"/>
        <v>2022-04</v>
      </c>
      <c r="M1881">
        <f t="shared" si="177"/>
        <v>869.85000000000036</v>
      </c>
    </row>
    <row r="1882" spans="1:13" x14ac:dyDescent="0.25">
      <c r="A1882" s="1">
        <v>45355</v>
      </c>
      <c r="B1882" t="s">
        <v>23</v>
      </c>
      <c r="C1882" t="s">
        <v>11</v>
      </c>
      <c r="D1882" t="s">
        <v>13</v>
      </c>
      <c r="E1882">
        <v>684.04</v>
      </c>
      <c r="F1882">
        <v>436.44</v>
      </c>
      <c r="G1882">
        <v>10</v>
      </c>
      <c r="H1882">
        <f t="shared" si="174"/>
        <v>6840.4</v>
      </c>
      <c r="I1882">
        <f t="shared" si="178"/>
        <v>4364.3999999999996</v>
      </c>
      <c r="J1882">
        <f t="shared" si="175"/>
        <v>2476</v>
      </c>
      <c r="K1882" s="8">
        <f t="shared" si="176"/>
        <v>0.36196713642477052</v>
      </c>
      <c r="L1882" t="str">
        <f t="shared" si="179"/>
        <v>2024-03</v>
      </c>
      <c r="M1882">
        <f t="shared" si="177"/>
        <v>2476</v>
      </c>
    </row>
    <row r="1883" spans="1:13" x14ac:dyDescent="0.25">
      <c r="A1883" s="1">
        <v>44934</v>
      </c>
      <c r="B1883" t="s">
        <v>24</v>
      </c>
      <c r="C1883" t="s">
        <v>20</v>
      </c>
      <c r="D1883" t="s">
        <v>17</v>
      </c>
      <c r="E1883">
        <v>1006.43</v>
      </c>
      <c r="F1883">
        <v>642.24</v>
      </c>
      <c r="G1883">
        <v>9</v>
      </c>
      <c r="H1883">
        <f t="shared" si="174"/>
        <v>9057.869999999999</v>
      </c>
      <c r="I1883">
        <f t="shared" si="178"/>
        <v>5780.16</v>
      </c>
      <c r="J1883">
        <f t="shared" si="175"/>
        <v>3277.7099999999991</v>
      </c>
      <c r="K1883" s="8">
        <f t="shared" si="176"/>
        <v>0.36186321949862377</v>
      </c>
      <c r="L1883" t="str">
        <f t="shared" si="179"/>
        <v>2023-01</v>
      </c>
      <c r="M1883">
        <f t="shared" si="177"/>
        <v>3277.7099999999991</v>
      </c>
    </row>
    <row r="1884" spans="1:13" x14ac:dyDescent="0.25">
      <c r="A1884" s="1">
        <v>44898</v>
      </c>
      <c r="B1884" t="s">
        <v>12</v>
      </c>
      <c r="C1884" t="s">
        <v>8</v>
      </c>
      <c r="D1884" t="s">
        <v>9</v>
      </c>
      <c r="E1884">
        <v>209.37</v>
      </c>
      <c r="F1884">
        <v>167.88</v>
      </c>
      <c r="G1884">
        <v>1</v>
      </c>
      <c r="H1884">
        <f t="shared" si="174"/>
        <v>209.37</v>
      </c>
      <c r="I1884">
        <f t="shared" si="178"/>
        <v>167.88</v>
      </c>
      <c r="J1884">
        <f t="shared" si="175"/>
        <v>41.490000000000009</v>
      </c>
      <c r="K1884" s="8">
        <f t="shared" si="176"/>
        <v>0.19816592635048005</v>
      </c>
      <c r="L1884" t="str">
        <f t="shared" si="179"/>
        <v>2022-12</v>
      </c>
      <c r="M1884">
        <f t="shared" si="177"/>
        <v>41.490000000000009</v>
      </c>
    </row>
    <row r="1885" spans="1:13" x14ac:dyDescent="0.25">
      <c r="A1885" s="1">
        <v>45522</v>
      </c>
      <c r="B1885" t="s">
        <v>19</v>
      </c>
      <c r="C1885" t="s">
        <v>20</v>
      </c>
      <c r="D1885" t="s">
        <v>18</v>
      </c>
      <c r="E1885">
        <v>682.49</v>
      </c>
      <c r="F1885">
        <v>450.79</v>
      </c>
      <c r="G1885">
        <v>2</v>
      </c>
      <c r="H1885">
        <f t="shared" si="174"/>
        <v>1364.98</v>
      </c>
      <c r="I1885">
        <f t="shared" si="178"/>
        <v>901.58</v>
      </c>
      <c r="J1885">
        <f t="shared" si="175"/>
        <v>463.4</v>
      </c>
      <c r="K1885" s="8">
        <f t="shared" si="176"/>
        <v>0.33949215373119018</v>
      </c>
      <c r="L1885" t="str">
        <f t="shared" si="179"/>
        <v>2024-08</v>
      </c>
      <c r="M1885">
        <f t="shared" si="177"/>
        <v>463.4</v>
      </c>
    </row>
    <row r="1886" spans="1:13" x14ac:dyDescent="0.25">
      <c r="A1886" s="1">
        <v>45261</v>
      </c>
      <c r="B1886" t="s">
        <v>16</v>
      </c>
      <c r="C1886" t="s">
        <v>15</v>
      </c>
      <c r="D1886" t="s">
        <v>9</v>
      </c>
      <c r="E1886">
        <v>21.62</v>
      </c>
      <c r="F1886">
        <v>18.79</v>
      </c>
      <c r="G1886">
        <v>1</v>
      </c>
      <c r="H1886">
        <f t="shared" si="174"/>
        <v>21.62</v>
      </c>
      <c r="I1886">
        <f t="shared" si="178"/>
        <v>18.79</v>
      </c>
      <c r="J1886">
        <f t="shared" si="175"/>
        <v>2.8300000000000018</v>
      </c>
      <c r="K1886" s="8">
        <f t="shared" si="176"/>
        <v>0.1308973172987975</v>
      </c>
      <c r="L1886" t="str">
        <f t="shared" si="179"/>
        <v>2023-12</v>
      </c>
      <c r="M1886">
        <f t="shared" si="177"/>
        <v>2.8300000000000018</v>
      </c>
    </row>
    <row r="1887" spans="1:13" x14ac:dyDescent="0.25">
      <c r="A1887" s="1">
        <v>45433</v>
      </c>
      <c r="B1887" t="s">
        <v>16</v>
      </c>
      <c r="C1887" t="s">
        <v>15</v>
      </c>
      <c r="D1887" t="s">
        <v>17</v>
      </c>
      <c r="E1887">
        <v>1286.69</v>
      </c>
      <c r="F1887">
        <v>981.55</v>
      </c>
      <c r="G1887">
        <v>7</v>
      </c>
      <c r="H1887">
        <f t="shared" si="174"/>
        <v>9006.83</v>
      </c>
      <c r="I1887">
        <f t="shared" si="178"/>
        <v>6870.8499999999995</v>
      </c>
      <c r="J1887">
        <f t="shared" si="175"/>
        <v>2135.9800000000005</v>
      </c>
      <c r="K1887" s="8">
        <f t="shared" si="176"/>
        <v>0.23715113974617047</v>
      </c>
      <c r="L1887" t="str">
        <f t="shared" si="179"/>
        <v>2024-05</v>
      </c>
      <c r="M1887">
        <f t="shared" si="177"/>
        <v>2135.9800000000005</v>
      </c>
    </row>
    <row r="1888" spans="1:13" x14ac:dyDescent="0.25">
      <c r="A1888" s="1">
        <v>45595</v>
      </c>
      <c r="B1888" t="s">
        <v>19</v>
      </c>
      <c r="C1888" t="s">
        <v>20</v>
      </c>
      <c r="D1888" t="s">
        <v>18</v>
      </c>
      <c r="E1888">
        <v>1018.3</v>
      </c>
      <c r="F1888">
        <v>759.68</v>
      </c>
      <c r="G1888">
        <v>8</v>
      </c>
      <c r="H1888">
        <f t="shared" si="174"/>
        <v>8146.4</v>
      </c>
      <c r="I1888">
        <f t="shared" si="178"/>
        <v>6077.44</v>
      </c>
      <c r="J1888">
        <f t="shared" si="175"/>
        <v>2068.96</v>
      </c>
      <c r="K1888" s="8">
        <f t="shared" si="176"/>
        <v>0.2539723067858195</v>
      </c>
      <c r="L1888" t="str">
        <f t="shared" si="179"/>
        <v>2024-10</v>
      </c>
      <c r="M1888">
        <f t="shared" si="177"/>
        <v>2068.96</v>
      </c>
    </row>
    <row r="1889" spans="1:13" x14ac:dyDescent="0.25">
      <c r="A1889" s="1">
        <v>45195</v>
      </c>
      <c r="B1889" t="s">
        <v>16</v>
      </c>
      <c r="C1889" t="s">
        <v>15</v>
      </c>
      <c r="D1889" t="s">
        <v>13</v>
      </c>
      <c r="E1889">
        <v>407.8</v>
      </c>
      <c r="F1889">
        <v>255.82</v>
      </c>
      <c r="G1889">
        <v>5</v>
      </c>
      <c r="H1889">
        <f t="shared" si="174"/>
        <v>2039</v>
      </c>
      <c r="I1889">
        <f t="shared" si="178"/>
        <v>1279.0999999999999</v>
      </c>
      <c r="J1889">
        <f t="shared" si="175"/>
        <v>759.90000000000009</v>
      </c>
      <c r="K1889" s="8">
        <f t="shared" si="176"/>
        <v>0.37268268759195688</v>
      </c>
      <c r="L1889" t="str">
        <f t="shared" si="179"/>
        <v>2023-09</v>
      </c>
      <c r="M1889">
        <f t="shared" si="177"/>
        <v>759.90000000000009</v>
      </c>
    </row>
    <row r="1890" spans="1:13" x14ac:dyDescent="0.25">
      <c r="A1890" s="1">
        <v>44977</v>
      </c>
      <c r="B1890" t="s">
        <v>14</v>
      </c>
      <c r="C1890" t="s">
        <v>15</v>
      </c>
      <c r="D1890" t="s">
        <v>17</v>
      </c>
      <c r="E1890">
        <v>777.79</v>
      </c>
      <c r="F1890">
        <v>435.19</v>
      </c>
      <c r="G1890">
        <v>9</v>
      </c>
      <c r="H1890">
        <f t="shared" si="174"/>
        <v>7000.11</v>
      </c>
      <c r="I1890">
        <f t="shared" si="178"/>
        <v>3916.71</v>
      </c>
      <c r="J1890">
        <f t="shared" si="175"/>
        <v>3083.3999999999996</v>
      </c>
      <c r="K1890" s="8">
        <f t="shared" si="176"/>
        <v>0.44047879247611821</v>
      </c>
      <c r="L1890" t="str">
        <f t="shared" si="179"/>
        <v>2023-02</v>
      </c>
      <c r="M1890">
        <f t="shared" si="177"/>
        <v>3083.3999999999996</v>
      </c>
    </row>
    <row r="1891" spans="1:13" x14ac:dyDescent="0.25">
      <c r="A1891" s="1">
        <v>45581</v>
      </c>
      <c r="B1891" t="s">
        <v>23</v>
      </c>
      <c r="C1891" t="s">
        <v>11</v>
      </c>
      <c r="D1891" t="s">
        <v>17</v>
      </c>
      <c r="E1891">
        <v>1453.54</v>
      </c>
      <c r="F1891">
        <v>756.31</v>
      </c>
      <c r="G1891">
        <v>5</v>
      </c>
      <c r="H1891">
        <f t="shared" si="174"/>
        <v>7267.7</v>
      </c>
      <c r="I1891">
        <f t="shared" si="178"/>
        <v>3781.5499999999997</v>
      </c>
      <c r="J1891">
        <f t="shared" si="175"/>
        <v>3486.15</v>
      </c>
      <c r="K1891" s="8">
        <f t="shared" si="176"/>
        <v>0.47967720186578977</v>
      </c>
      <c r="L1891" t="str">
        <f t="shared" si="179"/>
        <v>2024-10</v>
      </c>
      <c r="M1891">
        <f t="shared" si="177"/>
        <v>3486.15</v>
      </c>
    </row>
    <row r="1892" spans="1:13" x14ac:dyDescent="0.25">
      <c r="A1892" s="1">
        <v>45356</v>
      </c>
      <c r="B1892" t="s">
        <v>19</v>
      </c>
      <c r="C1892" t="s">
        <v>20</v>
      </c>
      <c r="D1892" t="s">
        <v>18</v>
      </c>
      <c r="E1892">
        <v>1526.21</v>
      </c>
      <c r="F1892">
        <v>800.25</v>
      </c>
      <c r="G1892">
        <v>5</v>
      </c>
      <c r="H1892">
        <f t="shared" si="174"/>
        <v>7631.05</v>
      </c>
      <c r="I1892">
        <f t="shared" si="178"/>
        <v>4001.25</v>
      </c>
      <c r="J1892">
        <f t="shared" si="175"/>
        <v>3629.8</v>
      </c>
      <c r="K1892" s="8">
        <f t="shared" si="176"/>
        <v>0.47566193380989513</v>
      </c>
      <c r="L1892" t="str">
        <f t="shared" si="179"/>
        <v>2024-03</v>
      </c>
      <c r="M1892">
        <f t="shared" si="177"/>
        <v>3629.8</v>
      </c>
    </row>
    <row r="1893" spans="1:13" x14ac:dyDescent="0.25">
      <c r="A1893" s="1">
        <v>45204</v>
      </c>
      <c r="B1893" t="s">
        <v>7</v>
      </c>
      <c r="C1893" t="s">
        <v>8</v>
      </c>
      <c r="D1893" t="s">
        <v>17</v>
      </c>
      <c r="E1893">
        <v>1878.02</v>
      </c>
      <c r="F1893">
        <v>1678.32</v>
      </c>
      <c r="G1893">
        <v>10</v>
      </c>
      <c r="H1893">
        <f t="shared" si="174"/>
        <v>18780.2</v>
      </c>
      <c r="I1893">
        <f t="shared" si="178"/>
        <v>16783.2</v>
      </c>
      <c r="J1893">
        <f t="shared" si="175"/>
        <v>1997</v>
      </c>
      <c r="K1893" s="8">
        <f t="shared" si="176"/>
        <v>0.10633539578918222</v>
      </c>
      <c r="L1893" t="str">
        <f t="shared" si="179"/>
        <v>2023-10</v>
      </c>
      <c r="M1893">
        <f t="shared" si="177"/>
        <v>1997</v>
      </c>
    </row>
    <row r="1894" spans="1:13" x14ac:dyDescent="0.25">
      <c r="A1894" s="1">
        <v>44708</v>
      </c>
      <c r="B1894" t="s">
        <v>24</v>
      </c>
      <c r="C1894" t="s">
        <v>20</v>
      </c>
      <c r="D1894" t="s">
        <v>13</v>
      </c>
      <c r="E1894">
        <v>1451.3</v>
      </c>
      <c r="F1894">
        <v>1021.37</v>
      </c>
      <c r="G1894">
        <v>1</v>
      </c>
      <c r="H1894">
        <f t="shared" si="174"/>
        <v>1451.3</v>
      </c>
      <c r="I1894">
        <f t="shared" si="178"/>
        <v>1021.37</v>
      </c>
      <c r="J1894">
        <f t="shared" si="175"/>
        <v>429.92999999999995</v>
      </c>
      <c r="K1894" s="8">
        <f t="shared" si="176"/>
        <v>0.29623785571556532</v>
      </c>
      <c r="L1894" t="str">
        <f t="shared" si="179"/>
        <v>2022-05</v>
      </c>
      <c r="M1894">
        <f t="shared" si="177"/>
        <v>429.92999999999995</v>
      </c>
    </row>
    <row r="1895" spans="1:13" x14ac:dyDescent="0.25">
      <c r="A1895" s="1">
        <v>45018</v>
      </c>
      <c r="B1895" t="s">
        <v>22</v>
      </c>
      <c r="C1895" t="s">
        <v>8</v>
      </c>
      <c r="D1895" t="s">
        <v>13</v>
      </c>
      <c r="E1895">
        <v>1049.8800000000001</v>
      </c>
      <c r="F1895">
        <v>644.39</v>
      </c>
      <c r="G1895">
        <v>1</v>
      </c>
      <c r="H1895">
        <f t="shared" si="174"/>
        <v>1049.8800000000001</v>
      </c>
      <c r="I1895">
        <f t="shared" si="178"/>
        <v>644.39</v>
      </c>
      <c r="J1895">
        <f t="shared" si="175"/>
        <v>405.49000000000012</v>
      </c>
      <c r="K1895" s="8">
        <f t="shared" si="176"/>
        <v>0.38622509239151148</v>
      </c>
      <c r="L1895" t="str">
        <f t="shared" si="179"/>
        <v>2023-04</v>
      </c>
      <c r="M1895">
        <f t="shared" si="177"/>
        <v>405.49000000000012</v>
      </c>
    </row>
    <row r="1896" spans="1:13" x14ac:dyDescent="0.25">
      <c r="A1896" s="1">
        <v>44986</v>
      </c>
      <c r="B1896" t="s">
        <v>25</v>
      </c>
      <c r="C1896" t="s">
        <v>15</v>
      </c>
      <c r="D1896" t="s">
        <v>17</v>
      </c>
      <c r="E1896">
        <v>1899.4</v>
      </c>
      <c r="F1896">
        <v>1697.5</v>
      </c>
      <c r="G1896">
        <v>8</v>
      </c>
      <c r="H1896">
        <f t="shared" si="174"/>
        <v>15195.2</v>
      </c>
      <c r="I1896">
        <f t="shared" si="178"/>
        <v>13580</v>
      </c>
      <c r="J1896">
        <f t="shared" si="175"/>
        <v>1615.2000000000007</v>
      </c>
      <c r="K1896" s="8">
        <f t="shared" si="176"/>
        <v>0.10629672528166793</v>
      </c>
      <c r="L1896" t="str">
        <f t="shared" si="179"/>
        <v>2023-03</v>
      </c>
      <c r="M1896">
        <f t="shared" si="177"/>
        <v>1615.2000000000007</v>
      </c>
    </row>
    <row r="1897" spans="1:13" x14ac:dyDescent="0.25">
      <c r="A1897" s="1">
        <v>45249</v>
      </c>
      <c r="B1897" t="s">
        <v>7</v>
      </c>
      <c r="C1897" t="s">
        <v>8</v>
      </c>
      <c r="D1897" t="s">
        <v>18</v>
      </c>
      <c r="E1897">
        <v>963.65</v>
      </c>
      <c r="F1897">
        <v>735.78</v>
      </c>
      <c r="G1897">
        <v>3</v>
      </c>
      <c r="H1897">
        <f t="shared" si="174"/>
        <v>2890.95</v>
      </c>
      <c r="I1897">
        <f t="shared" si="178"/>
        <v>2207.34</v>
      </c>
      <c r="J1897">
        <f t="shared" si="175"/>
        <v>683.60999999999967</v>
      </c>
      <c r="K1897" s="8">
        <f t="shared" si="176"/>
        <v>0.23646552171431526</v>
      </c>
      <c r="L1897" t="str">
        <f t="shared" si="179"/>
        <v>2023-11</v>
      </c>
      <c r="M1897">
        <f t="shared" si="177"/>
        <v>683.60999999999967</v>
      </c>
    </row>
    <row r="1898" spans="1:13" x14ac:dyDescent="0.25">
      <c r="A1898" s="1">
        <v>44796</v>
      </c>
      <c r="B1898" t="s">
        <v>7</v>
      </c>
      <c r="C1898" t="s">
        <v>8</v>
      </c>
      <c r="D1898" t="s">
        <v>17</v>
      </c>
      <c r="E1898">
        <v>438.83</v>
      </c>
      <c r="F1898">
        <v>255.16</v>
      </c>
      <c r="G1898">
        <v>10</v>
      </c>
      <c r="H1898">
        <f t="shared" si="174"/>
        <v>4388.3</v>
      </c>
      <c r="I1898">
        <f t="shared" si="178"/>
        <v>2551.6</v>
      </c>
      <c r="J1898">
        <f t="shared" si="175"/>
        <v>1836.7000000000003</v>
      </c>
      <c r="K1898" s="8">
        <f t="shared" si="176"/>
        <v>0.41854476676617375</v>
      </c>
      <c r="L1898" t="str">
        <f t="shared" si="179"/>
        <v>2022-08</v>
      </c>
      <c r="M1898">
        <f t="shared" si="177"/>
        <v>1836.7000000000003</v>
      </c>
    </row>
    <row r="1899" spans="1:13" x14ac:dyDescent="0.25">
      <c r="A1899" s="1">
        <v>45405</v>
      </c>
      <c r="B1899" t="s">
        <v>16</v>
      </c>
      <c r="C1899" t="s">
        <v>15</v>
      </c>
      <c r="D1899" t="s">
        <v>18</v>
      </c>
      <c r="E1899">
        <v>1644.37</v>
      </c>
      <c r="F1899">
        <v>1353.15</v>
      </c>
      <c r="G1899">
        <v>5</v>
      </c>
      <c r="H1899">
        <f t="shared" si="174"/>
        <v>8221.8499999999985</v>
      </c>
      <c r="I1899">
        <f t="shared" si="178"/>
        <v>6765.75</v>
      </c>
      <c r="J1899">
        <f t="shared" si="175"/>
        <v>1456.0999999999985</v>
      </c>
      <c r="K1899" s="8">
        <f t="shared" si="176"/>
        <v>0.17710126066517862</v>
      </c>
      <c r="L1899" t="str">
        <f t="shared" si="179"/>
        <v>2024-04</v>
      </c>
      <c r="M1899">
        <f t="shared" si="177"/>
        <v>1456.0999999999985</v>
      </c>
    </row>
    <row r="1900" spans="1:13" x14ac:dyDescent="0.25">
      <c r="A1900" s="1">
        <v>45242</v>
      </c>
      <c r="B1900" t="s">
        <v>16</v>
      </c>
      <c r="C1900" t="s">
        <v>15</v>
      </c>
      <c r="D1900" t="s">
        <v>18</v>
      </c>
      <c r="E1900">
        <v>1363.23</v>
      </c>
      <c r="F1900">
        <v>1165.8399999999999</v>
      </c>
      <c r="G1900">
        <v>9</v>
      </c>
      <c r="H1900">
        <f t="shared" si="174"/>
        <v>12269.07</v>
      </c>
      <c r="I1900">
        <f t="shared" si="178"/>
        <v>10492.56</v>
      </c>
      <c r="J1900">
        <f t="shared" si="175"/>
        <v>1776.5100000000002</v>
      </c>
      <c r="K1900" s="8">
        <f t="shared" si="176"/>
        <v>0.14479581581978099</v>
      </c>
      <c r="L1900" t="str">
        <f t="shared" si="179"/>
        <v>2023-11</v>
      </c>
      <c r="M1900">
        <f t="shared" si="177"/>
        <v>1776.5100000000002</v>
      </c>
    </row>
    <row r="1901" spans="1:13" x14ac:dyDescent="0.25">
      <c r="A1901" s="1">
        <v>44957</v>
      </c>
      <c r="B1901" t="s">
        <v>22</v>
      </c>
      <c r="C1901" t="s">
        <v>8</v>
      </c>
      <c r="D1901" t="s">
        <v>13</v>
      </c>
      <c r="E1901">
        <v>929.63</v>
      </c>
      <c r="F1901">
        <v>761.63</v>
      </c>
      <c r="G1901">
        <v>4</v>
      </c>
      <c r="H1901">
        <f t="shared" si="174"/>
        <v>3718.52</v>
      </c>
      <c r="I1901">
        <f t="shared" si="178"/>
        <v>3046.52</v>
      </c>
      <c r="J1901">
        <f t="shared" si="175"/>
        <v>672</v>
      </c>
      <c r="K1901" s="8">
        <f t="shared" si="176"/>
        <v>0.18071705947527511</v>
      </c>
      <c r="L1901" t="str">
        <f t="shared" si="179"/>
        <v>2023-01</v>
      </c>
      <c r="M1901">
        <f t="shared" si="177"/>
        <v>672</v>
      </c>
    </row>
    <row r="1902" spans="1:13" x14ac:dyDescent="0.25">
      <c r="A1902" s="1">
        <v>44842</v>
      </c>
      <c r="B1902" t="s">
        <v>25</v>
      </c>
      <c r="C1902" t="s">
        <v>15</v>
      </c>
      <c r="D1902" t="s">
        <v>18</v>
      </c>
      <c r="E1902">
        <v>736.87</v>
      </c>
      <c r="F1902">
        <v>416.29</v>
      </c>
      <c r="G1902">
        <v>9</v>
      </c>
      <c r="H1902">
        <f t="shared" si="174"/>
        <v>6631.83</v>
      </c>
      <c r="I1902">
        <f t="shared" si="178"/>
        <v>3746.61</v>
      </c>
      <c r="J1902">
        <f t="shared" si="175"/>
        <v>2885.22</v>
      </c>
      <c r="K1902" s="8">
        <f t="shared" si="176"/>
        <v>0.43505638715105782</v>
      </c>
      <c r="L1902" t="str">
        <f t="shared" si="179"/>
        <v>2022-10</v>
      </c>
      <c r="M1902">
        <f t="shared" si="177"/>
        <v>2885.22</v>
      </c>
    </row>
    <row r="1903" spans="1:13" x14ac:dyDescent="0.25">
      <c r="A1903" s="1">
        <v>45110</v>
      </c>
      <c r="B1903" t="s">
        <v>25</v>
      </c>
      <c r="C1903" t="s">
        <v>15</v>
      </c>
      <c r="D1903" t="s">
        <v>17</v>
      </c>
      <c r="E1903">
        <v>1449.21</v>
      </c>
      <c r="F1903">
        <v>1169.03</v>
      </c>
      <c r="G1903">
        <v>7</v>
      </c>
      <c r="H1903">
        <f t="shared" si="174"/>
        <v>10144.470000000001</v>
      </c>
      <c r="I1903">
        <f t="shared" si="178"/>
        <v>8183.21</v>
      </c>
      <c r="J1903">
        <f t="shared" si="175"/>
        <v>1961.2600000000011</v>
      </c>
      <c r="K1903" s="8">
        <f t="shared" si="176"/>
        <v>0.19333291931466118</v>
      </c>
      <c r="L1903" t="str">
        <f t="shared" si="179"/>
        <v>2023-07</v>
      </c>
      <c r="M1903">
        <f t="shared" si="177"/>
        <v>1961.2600000000011</v>
      </c>
    </row>
    <row r="1904" spans="1:13" x14ac:dyDescent="0.25">
      <c r="A1904" s="1">
        <v>45428</v>
      </c>
      <c r="B1904" t="s">
        <v>7</v>
      </c>
      <c r="C1904" t="s">
        <v>8</v>
      </c>
      <c r="D1904" t="s">
        <v>18</v>
      </c>
      <c r="E1904">
        <v>1623.39</v>
      </c>
      <c r="F1904">
        <v>1234.94</v>
      </c>
      <c r="G1904">
        <v>6</v>
      </c>
      <c r="H1904">
        <f t="shared" si="174"/>
        <v>9740.34</v>
      </c>
      <c r="I1904">
        <f t="shared" si="178"/>
        <v>7409.64</v>
      </c>
      <c r="J1904">
        <f t="shared" si="175"/>
        <v>2330.6999999999998</v>
      </c>
      <c r="K1904" s="8">
        <f t="shared" si="176"/>
        <v>0.23928322830619875</v>
      </c>
      <c r="L1904" t="str">
        <f t="shared" si="179"/>
        <v>2024-05</v>
      </c>
      <c r="M1904">
        <f t="shared" si="177"/>
        <v>2330.6999999999998</v>
      </c>
    </row>
    <row r="1905" spans="1:13" x14ac:dyDescent="0.25">
      <c r="A1905" s="1">
        <v>45132</v>
      </c>
      <c r="B1905" t="s">
        <v>10</v>
      </c>
      <c r="C1905" t="s">
        <v>11</v>
      </c>
      <c r="D1905" t="s">
        <v>9</v>
      </c>
      <c r="E1905">
        <v>1088.3599999999999</v>
      </c>
      <c r="F1905">
        <v>851.97</v>
      </c>
      <c r="G1905">
        <v>8</v>
      </c>
      <c r="H1905">
        <f t="shared" si="174"/>
        <v>8706.8799999999992</v>
      </c>
      <c r="I1905">
        <f t="shared" si="178"/>
        <v>6815.76</v>
      </c>
      <c r="J1905">
        <f t="shared" si="175"/>
        <v>1891.119999999999</v>
      </c>
      <c r="K1905" s="8">
        <f t="shared" si="176"/>
        <v>0.2171983534859788</v>
      </c>
      <c r="L1905" t="str">
        <f t="shared" si="179"/>
        <v>2023-07</v>
      </c>
      <c r="M1905">
        <f t="shared" si="177"/>
        <v>1891.119999999999</v>
      </c>
    </row>
    <row r="1906" spans="1:13" x14ac:dyDescent="0.25">
      <c r="A1906" s="1">
        <v>44767</v>
      </c>
      <c r="B1906" t="s">
        <v>14</v>
      </c>
      <c r="C1906" t="s">
        <v>15</v>
      </c>
      <c r="D1906" t="s">
        <v>18</v>
      </c>
      <c r="E1906">
        <v>871.75</v>
      </c>
      <c r="F1906">
        <v>720.86</v>
      </c>
      <c r="G1906">
        <v>6</v>
      </c>
      <c r="H1906">
        <f t="shared" si="174"/>
        <v>5230.5</v>
      </c>
      <c r="I1906">
        <f t="shared" si="178"/>
        <v>4325.16</v>
      </c>
      <c r="J1906">
        <f t="shared" si="175"/>
        <v>905.34000000000015</v>
      </c>
      <c r="K1906" s="8">
        <f t="shared" si="176"/>
        <v>0.1730886148551764</v>
      </c>
      <c r="L1906" t="str">
        <f t="shared" si="179"/>
        <v>2022-07</v>
      </c>
      <c r="M1906">
        <f t="shared" si="177"/>
        <v>905.34000000000015</v>
      </c>
    </row>
    <row r="1907" spans="1:13" x14ac:dyDescent="0.25">
      <c r="A1907" s="1">
        <v>44726</v>
      </c>
      <c r="B1907" t="s">
        <v>10</v>
      </c>
      <c r="C1907" t="s">
        <v>11</v>
      </c>
      <c r="D1907" t="s">
        <v>9</v>
      </c>
      <c r="E1907">
        <v>604.53</v>
      </c>
      <c r="F1907">
        <v>421.91</v>
      </c>
      <c r="G1907">
        <v>3</v>
      </c>
      <c r="H1907">
        <f t="shared" si="174"/>
        <v>1813.59</v>
      </c>
      <c r="I1907">
        <f t="shared" si="178"/>
        <v>1265.73</v>
      </c>
      <c r="J1907">
        <f t="shared" si="175"/>
        <v>547.8599999999999</v>
      </c>
      <c r="K1907" s="8">
        <f t="shared" si="176"/>
        <v>0.30208591798587331</v>
      </c>
      <c r="L1907" t="str">
        <f t="shared" si="179"/>
        <v>2022-06</v>
      </c>
      <c r="M1907">
        <f t="shared" si="177"/>
        <v>547.8599999999999</v>
      </c>
    </row>
    <row r="1908" spans="1:13" x14ac:dyDescent="0.25">
      <c r="A1908" s="1">
        <v>45639</v>
      </c>
      <c r="B1908" t="s">
        <v>19</v>
      </c>
      <c r="C1908" t="s">
        <v>20</v>
      </c>
      <c r="D1908" t="s">
        <v>13</v>
      </c>
      <c r="E1908">
        <v>532.24</v>
      </c>
      <c r="F1908">
        <v>427.9</v>
      </c>
      <c r="G1908">
        <v>7</v>
      </c>
      <c r="H1908">
        <f t="shared" si="174"/>
        <v>3725.6800000000003</v>
      </c>
      <c r="I1908">
        <f t="shared" si="178"/>
        <v>2995.2999999999997</v>
      </c>
      <c r="J1908">
        <f t="shared" si="175"/>
        <v>730.38000000000056</v>
      </c>
      <c r="K1908" s="8">
        <f t="shared" si="176"/>
        <v>0.19603938073049765</v>
      </c>
      <c r="L1908" t="str">
        <f t="shared" si="179"/>
        <v>2024-12</v>
      </c>
      <c r="M1908">
        <f t="shared" si="177"/>
        <v>730.38000000000056</v>
      </c>
    </row>
    <row r="1909" spans="1:13" x14ac:dyDescent="0.25">
      <c r="A1909" s="1">
        <v>44933</v>
      </c>
      <c r="B1909" t="s">
        <v>14</v>
      </c>
      <c r="C1909" t="s">
        <v>15</v>
      </c>
      <c r="D1909" t="s">
        <v>17</v>
      </c>
      <c r="E1909">
        <v>1714.39</v>
      </c>
      <c r="F1909">
        <v>867.3</v>
      </c>
      <c r="G1909">
        <v>5</v>
      </c>
      <c r="H1909">
        <f t="shared" si="174"/>
        <v>8571.9500000000007</v>
      </c>
      <c r="I1909">
        <f t="shared" si="178"/>
        <v>4336.5</v>
      </c>
      <c r="J1909">
        <f t="shared" si="175"/>
        <v>4235.4500000000007</v>
      </c>
      <c r="K1909" s="8">
        <f t="shared" si="176"/>
        <v>0.49410577523200677</v>
      </c>
      <c r="L1909" t="str">
        <f t="shared" si="179"/>
        <v>2023-01</v>
      </c>
      <c r="M1909">
        <f t="shared" si="177"/>
        <v>4235.4500000000007</v>
      </c>
    </row>
    <row r="1910" spans="1:13" x14ac:dyDescent="0.25">
      <c r="A1910" s="1">
        <v>44562</v>
      </c>
      <c r="B1910" t="s">
        <v>16</v>
      </c>
      <c r="C1910" t="s">
        <v>15</v>
      </c>
      <c r="D1910" t="s">
        <v>9</v>
      </c>
      <c r="E1910">
        <v>1023.56</v>
      </c>
      <c r="F1910">
        <v>555.29</v>
      </c>
      <c r="G1910">
        <v>6</v>
      </c>
      <c r="H1910">
        <f t="shared" si="174"/>
        <v>6141.36</v>
      </c>
      <c r="I1910">
        <f t="shared" si="178"/>
        <v>3331.74</v>
      </c>
      <c r="J1910">
        <f t="shared" si="175"/>
        <v>2809.62</v>
      </c>
      <c r="K1910" s="8">
        <f t="shared" si="176"/>
        <v>0.45749150025401542</v>
      </c>
      <c r="L1910" t="str">
        <f t="shared" si="179"/>
        <v>2022-01</v>
      </c>
      <c r="M1910">
        <f t="shared" si="177"/>
        <v>2809.62</v>
      </c>
    </row>
    <row r="1911" spans="1:13" x14ac:dyDescent="0.25">
      <c r="A1911" s="1">
        <v>45607</v>
      </c>
      <c r="B1911" t="s">
        <v>14</v>
      </c>
      <c r="C1911" t="s">
        <v>15</v>
      </c>
      <c r="D1911" t="s">
        <v>9</v>
      </c>
      <c r="E1911">
        <v>905.28</v>
      </c>
      <c r="F1911">
        <v>633.94000000000005</v>
      </c>
      <c r="G1911">
        <v>9</v>
      </c>
      <c r="H1911">
        <f t="shared" si="174"/>
        <v>8147.5199999999995</v>
      </c>
      <c r="I1911">
        <f t="shared" si="178"/>
        <v>5705.4600000000009</v>
      </c>
      <c r="J1911">
        <f t="shared" si="175"/>
        <v>2442.0599999999986</v>
      </c>
      <c r="K1911" s="8">
        <f t="shared" si="176"/>
        <v>0.29973047013078813</v>
      </c>
      <c r="L1911" t="str">
        <f t="shared" si="179"/>
        <v>2024-11</v>
      </c>
      <c r="M1911">
        <f t="shared" si="177"/>
        <v>2442.0599999999986</v>
      </c>
    </row>
    <row r="1912" spans="1:13" x14ac:dyDescent="0.25">
      <c r="A1912" s="1">
        <v>44868</v>
      </c>
      <c r="B1912" t="s">
        <v>16</v>
      </c>
      <c r="C1912" t="s">
        <v>15</v>
      </c>
      <c r="D1912" t="s">
        <v>17</v>
      </c>
      <c r="E1912">
        <v>1007.89</v>
      </c>
      <c r="F1912">
        <v>607.34</v>
      </c>
      <c r="G1912">
        <v>4</v>
      </c>
      <c r="H1912">
        <f t="shared" si="174"/>
        <v>4031.56</v>
      </c>
      <c r="I1912">
        <f t="shared" si="178"/>
        <v>2429.36</v>
      </c>
      <c r="J1912">
        <f t="shared" si="175"/>
        <v>1602.1999999999998</v>
      </c>
      <c r="K1912" s="8">
        <f t="shared" si="176"/>
        <v>0.3974144003809939</v>
      </c>
      <c r="L1912" t="str">
        <f t="shared" si="179"/>
        <v>2022-11</v>
      </c>
      <c r="M1912">
        <f t="shared" si="177"/>
        <v>1602.1999999999998</v>
      </c>
    </row>
    <row r="1913" spans="1:13" x14ac:dyDescent="0.25">
      <c r="A1913" s="1">
        <v>44939</v>
      </c>
      <c r="B1913" t="s">
        <v>12</v>
      </c>
      <c r="C1913" t="s">
        <v>8</v>
      </c>
      <c r="D1913" t="s">
        <v>13</v>
      </c>
      <c r="E1913">
        <v>1612.44</v>
      </c>
      <c r="F1913">
        <v>965.24</v>
      </c>
      <c r="G1913">
        <v>3</v>
      </c>
      <c r="H1913">
        <f t="shared" si="174"/>
        <v>4837.32</v>
      </c>
      <c r="I1913">
        <f t="shared" si="178"/>
        <v>2895.7200000000003</v>
      </c>
      <c r="J1913">
        <f t="shared" si="175"/>
        <v>1941.5999999999995</v>
      </c>
      <c r="K1913" s="8">
        <f t="shared" si="176"/>
        <v>0.40137927612810392</v>
      </c>
      <c r="L1913" t="str">
        <f t="shared" si="179"/>
        <v>2023-01</v>
      </c>
      <c r="M1913">
        <f t="shared" si="177"/>
        <v>1941.5999999999995</v>
      </c>
    </row>
    <row r="1914" spans="1:13" x14ac:dyDescent="0.25">
      <c r="A1914" s="1">
        <v>45221</v>
      </c>
      <c r="B1914" t="s">
        <v>24</v>
      </c>
      <c r="C1914" t="s">
        <v>20</v>
      </c>
      <c r="D1914" t="s">
        <v>18</v>
      </c>
      <c r="E1914">
        <v>1833.35</v>
      </c>
      <c r="F1914">
        <v>1274.33</v>
      </c>
      <c r="G1914">
        <v>6</v>
      </c>
      <c r="H1914">
        <f t="shared" si="174"/>
        <v>11000.099999999999</v>
      </c>
      <c r="I1914">
        <f t="shared" si="178"/>
        <v>7645.98</v>
      </c>
      <c r="J1914">
        <f t="shared" si="175"/>
        <v>3354.119999999999</v>
      </c>
      <c r="K1914" s="8">
        <f t="shared" si="176"/>
        <v>0.30491722802519972</v>
      </c>
      <c r="L1914" t="str">
        <f t="shared" si="179"/>
        <v>2023-10</v>
      </c>
      <c r="M1914">
        <f t="shared" si="177"/>
        <v>3354.119999999999</v>
      </c>
    </row>
    <row r="1915" spans="1:13" x14ac:dyDescent="0.25">
      <c r="A1915" s="1">
        <v>44635</v>
      </c>
      <c r="B1915" t="s">
        <v>22</v>
      </c>
      <c r="C1915" t="s">
        <v>8</v>
      </c>
      <c r="D1915" t="s">
        <v>9</v>
      </c>
      <c r="E1915">
        <v>792.02</v>
      </c>
      <c r="F1915">
        <v>538.35</v>
      </c>
      <c r="G1915">
        <v>2</v>
      </c>
      <c r="H1915">
        <f t="shared" si="174"/>
        <v>1584.04</v>
      </c>
      <c r="I1915">
        <f t="shared" si="178"/>
        <v>1076.7</v>
      </c>
      <c r="J1915">
        <f t="shared" si="175"/>
        <v>507.33999999999992</v>
      </c>
      <c r="K1915" s="8">
        <f t="shared" si="176"/>
        <v>0.32028231610312868</v>
      </c>
      <c r="L1915" t="str">
        <f t="shared" si="179"/>
        <v>2022-03</v>
      </c>
      <c r="M1915">
        <f t="shared" si="177"/>
        <v>507.33999999999992</v>
      </c>
    </row>
    <row r="1916" spans="1:13" x14ac:dyDescent="0.25">
      <c r="A1916" s="1">
        <v>44626</v>
      </c>
      <c r="B1916" t="s">
        <v>7</v>
      </c>
      <c r="C1916" t="s">
        <v>8</v>
      </c>
      <c r="D1916" t="s">
        <v>9</v>
      </c>
      <c r="E1916">
        <v>1616.97</v>
      </c>
      <c r="F1916">
        <v>1009.53</v>
      </c>
      <c r="G1916">
        <v>3</v>
      </c>
      <c r="H1916">
        <f t="shared" si="174"/>
        <v>4850.91</v>
      </c>
      <c r="I1916">
        <f t="shared" si="178"/>
        <v>3028.59</v>
      </c>
      <c r="J1916">
        <f t="shared" si="175"/>
        <v>1822.3199999999997</v>
      </c>
      <c r="K1916" s="8">
        <f t="shared" si="176"/>
        <v>0.37566559676431838</v>
      </c>
      <c r="L1916" t="str">
        <f t="shared" si="179"/>
        <v>2022-03</v>
      </c>
      <c r="M1916">
        <f t="shared" si="177"/>
        <v>1822.3199999999997</v>
      </c>
    </row>
    <row r="1917" spans="1:13" x14ac:dyDescent="0.25">
      <c r="A1917" s="1">
        <v>44733</v>
      </c>
      <c r="B1917" t="s">
        <v>12</v>
      </c>
      <c r="C1917" t="s">
        <v>8</v>
      </c>
      <c r="D1917" t="s">
        <v>13</v>
      </c>
      <c r="E1917">
        <v>776.08</v>
      </c>
      <c r="F1917">
        <v>487.67</v>
      </c>
      <c r="G1917">
        <v>2</v>
      </c>
      <c r="H1917">
        <f t="shared" si="174"/>
        <v>1552.16</v>
      </c>
      <c r="I1917">
        <f t="shared" si="178"/>
        <v>975.34</v>
      </c>
      <c r="J1917">
        <f t="shared" si="175"/>
        <v>576.82000000000005</v>
      </c>
      <c r="K1917" s="8">
        <f t="shared" si="176"/>
        <v>0.37162405937532217</v>
      </c>
      <c r="L1917" t="str">
        <f t="shared" si="179"/>
        <v>2022-06</v>
      </c>
      <c r="M1917">
        <f t="shared" si="177"/>
        <v>576.82000000000005</v>
      </c>
    </row>
    <row r="1918" spans="1:13" x14ac:dyDescent="0.25">
      <c r="A1918" s="1">
        <v>45018</v>
      </c>
      <c r="B1918" t="s">
        <v>16</v>
      </c>
      <c r="C1918" t="s">
        <v>15</v>
      </c>
      <c r="D1918" t="s">
        <v>18</v>
      </c>
      <c r="E1918">
        <v>1764.52</v>
      </c>
      <c r="F1918">
        <v>1405.79</v>
      </c>
      <c r="G1918">
        <v>6</v>
      </c>
      <c r="H1918">
        <f t="shared" si="174"/>
        <v>10587.119999999999</v>
      </c>
      <c r="I1918">
        <f t="shared" si="178"/>
        <v>8434.74</v>
      </c>
      <c r="J1918">
        <f t="shared" si="175"/>
        <v>2152.3799999999992</v>
      </c>
      <c r="K1918" s="8">
        <f t="shared" si="176"/>
        <v>0.20330174778409987</v>
      </c>
      <c r="L1918" t="str">
        <f t="shared" si="179"/>
        <v>2023-04</v>
      </c>
      <c r="M1918">
        <f t="shared" si="177"/>
        <v>2152.3799999999992</v>
      </c>
    </row>
    <row r="1919" spans="1:13" x14ac:dyDescent="0.25">
      <c r="A1919" s="1">
        <v>44723</v>
      </c>
      <c r="B1919" t="s">
        <v>24</v>
      </c>
      <c r="C1919" t="s">
        <v>20</v>
      </c>
      <c r="D1919" t="s">
        <v>13</v>
      </c>
      <c r="E1919">
        <v>365.01</v>
      </c>
      <c r="F1919">
        <v>201.26</v>
      </c>
      <c r="G1919">
        <v>2</v>
      </c>
      <c r="H1919">
        <f t="shared" si="174"/>
        <v>730.02</v>
      </c>
      <c r="I1919">
        <f t="shared" si="178"/>
        <v>402.52</v>
      </c>
      <c r="J1919">
        <f t="shared" si="175"/>
        <v>327.5</v>
      </c>
      <c r="K1919" s="8">
        <f t="shared" si="176"/>
        <v>0.44861784608640859</v>
      </c>
      <c r="L1919" t="str">
        <f t="shared" si="179"/>
        <v>2022-06</v>
      </c>
      <c r="M1919">
        <f t="shared" si="177"/>
        <v>327.5</v>
      </c>
    </row>
    <row r="1920" spans="1:13" x14ac:dyDescent="0.25">
      <c r="A1920" s="1">
        <v>45456</v>
      </c>
      <c r="B1920" t="s">
        <v>25</v>
      </c>
      <c r="C1920" t="s">
        <v>15</v>
      </c>
      <c r="D1920" t="s">
        <v>13</v>
      </c>
      <c r="E1920">
        <v>987.87</v>
      </c>
      <c r="F1920">
        <v>582.74</v>
      </c>
      <c r="G1920">
        <v>5</v>
      </c>
      <c r="H1920">
        <f t="shared" si="174"/>
        <v>4939.3500000000004</v>
      </c>
      <c r="I1920">
        <f t="shared" si="178"/>
        <v>2913.7</v>
      </c>
      <c r="J1920">
        <f t="shared" si="175"/>
        <v>2025.6500000000005</v>
      </c>
      <c r="K1920" s="8">
        <f t="shared" si="176"/>
        <v>0.41010456841487247</v>
      </c>
      <c r="L1920" t="str">
        <f t="shared" si="179"/>
        <v>2024-06</v>
      </c>
      <c r="M1920">
        <f t="shared" si="177"/>
        <v>2025.6500000000005</v>
      </c>
    </row>
    <row r="1921" spans="1:13" x14ac:dyDescent="0.25">
      <c r="A1921" s="1">
        <v>44714</v>
      </c>
      <c r="B1921" t="s">
        <v>21</v>
      </c>
      <c r="C1921" t="s">
        <v>20</v>
      </c>
      <c r="D1921" t="s">
        <v>13</v>
      </c>
      <c r="E1921">
        <v>1764.88</v>
      </c>
      <c r="F1921">
        <v>1165.43</v>
      </c>
      <c r="G1921">
        <v>2</v>
      </c>
      <c r="H1921">
        <f t="shared" si="174"/>
        <v>3529.76</v>
      </c>
      <c r="I1921">
        <f t="shared" si="178"/>
        <v>2330.86</v>
      </c>
      <c r="J1921">
        <f t="shared" si="175"/>
        <v>1198.9000000000001</v>
      </c>
      <c r="K1921" s="8">
        <f t="shared" si="176"/>
        <v>0.33965482072435521</v>
      </c>
      <c r="L1921" t="str">
        <f t="shared" si="179"/>
        <v>2022-06</v>
      </c>
      <c r="M1921">
        <f t="shared" si="177"/>
        <v>1198.9000000000001</v>
      </c>
    </row>
    <row r="1922" spans="1:13" x14ac:dyDescent="0.25">
      <c r="A1922" s="1">
        <v>45134</v>
      </c>
      <c r="B1922" t="s">
        <v>22</v>
      </c>
      <c r="C1922" t="s">
        <v>8</v>
      </c>
      <c r="D1922" t="s">
        <v>18</v>
      </c>
      <c r="E1922">
        <v>1529.75</v>
      </c>
      <c r="F1922">
        <v>1302.6500000000001</v>
      </c>
      <c r="G1922">
        <v>2</v>
      </c>
      <c r="H1922">
        <f t="shared" si="174"/>
        <v>3059.5</v>
      </c>
      <c r="I1922">
        <f t="shared" si="178"/>
        <v>2605.3000000000002</v>
      </c>
      <c r="J1922">
        <f t="shared" si="175"/>
        <v>454.19999999999982</v>
      </c>
      <c r="K1922" s="8">
        <f t="shared" si="176"/>
        <v>0.14845563000490269</v>
      </c>
      <c r="L1922" t="str">
        <f t="shared" si="179"/>
        <v>2023-07</v>
      </c>
      <c r="M1922">
        <f t="shared" si="177"/>
        <v>454.19999999999982</v>
      </c>
    </row>
    <row r="1923" spans="1:13" x14ac:dyDescent="0.25">
      <c r="A1923" s="1">
        <v>45627</v>
      </c>
      <c r="B1923" t="s">
        <v>16</v>
      </c>
      <c r="C1923" t="s">
        <v>15</v>
      </c>
      <c r="D1923" t="s">
        <v>13</v>
      </c>
      <c r="E1923">
        <v>855.77</v>
      </c>
      <c r="F1923">
        <v>536.91</v>
      </c>
      <c r="G1923">
        <v>3</v>
      </c>
      <c r="H1923">
        <f t="shared" ref="H1923:H1986" si="180">E1923*G1923</f>
        <v>2567.31</v>
      </c>
      <c r="I1923">
        <f t="shared" si="178"/>
        <v>1610.73</v>
      </c>
      <c r="J1923">
        <f t="shared" ref="J1923:J1986" si="181">H1923-I1923</f>
        <v>956.57999999999993</v>
      </c>
      <c r="K1923" s="8">
        <f t="shared" ref="K1923:K1986" si="182">(H1923-I1923)/H1923</f>
        <v>0.37260011451675096</v>
      </c>
      <c r="L1923" t="str">
        <f t="shared" si="179"/>
        <v>2024-12</v>
      </c>
      <c r="M1923">
        <f t="shared" ref="M1923:M1986" si="183">H1923-I1923</f>
        <v>956.57999999999993</v>
      </c>
    </row>
    <row r="1924" spans="1:13" x14ac:dyDescent="0.25">
      <c r="A1924" s="1">
        <v>44908</v>
      </c>
      <c r="B1924" t="s">
        <v>21</v>
      </c>
      <c r="C1924" t="s">
        <v>20</v>
      </c>
      <c r="D1924" t="s">
        <v>18</v>
      </c>
      <c r="E1924">
        <v>680.7</v>
      </c>
      <c r="F1924">
        <v>565.75</v>
      </c>
      <c r="G1924">
        <v>2</v>
      </c>
      <c r="H1924">
        <f t="shared" si="180"/>
        <v>1361.4</v>
      </c>
      <c r="I1924">
        <f t="shared" ref="I1924:I1987" si="184">F1924*G1924</f>
        <v>1131.5</v>
      </c>
      <c r="J1924">
        <f t="shared" si="181"/>
        <v>229.90000000000009</v>
      </c>
      <c r="K1924" s="8">
        <f t="shared" si="182"/>
        <v>0.16887028059350673</v>
      </c>
      <c r="L1924" t="str">
        <f t="shared" ref="L1924:L1987" si="185">TEXT(A1924,"rrrr-mm")</f>
        <v>2022-12</v>
      </c>
      <c r="M1924">
        <f t="shared" si="183"/>
        <v>229.90000000000009</v>
      </c>
    </row>
    <row r="1925" spans="1:13" x14ac:dyDescent="0.25">
      <c r="A1925" s="1">
        <v>45603</v>
      </c>
      <c r="B1925" t="s">
        <v>19</v>
      </c>
      <c r="C1925" t="s">
        <v>20</v>
      </c>
      <c r="D1925" t="s">
        <v>18</v>
      </c>
      <c r="E1925">
        <v>862.82</v>
      </c>
      <c r="F1925">
        <v>511.66</v>
      </c>
      <c r="G1925">
        <v>6</v>
      </c>
      <c r="H1925">
        <f t="shared" si="180"/>
        <v>5176.92</v>
      </c>
      <c r="I1925">
        <f t="shared" si="184"/>
        <v>3069.96</v>
      </c>
      <c r="J1925">
        <f t="shared" si="181"/>
        <v>2106.96</v>
      </c>
      <c r="K1925" s="8">
        <f t="shared" si="182"/>
        <v>0.40699102941517351</v>
      </c>
      <c r="L1925" t="str">
        <f t="shared" si="185"/>
        <v>2024-11</v>
      </c>
      <c r="M1925">
        <f t="shared" si="183"/>
        <v>2106.96</v>
      </c>
    </row>
    <row r="1926" spans="1:13" x14ac:dyDescent="0.25">
      <c r="A1926" s="1">
        <v>45146</v>
      </c>
      <c r="B1926" t="s">
        <v>25</v>
      </c>
      <c r="C1926" t="s">
        <v>15</v>
      </c>
      <c r="D1926" t="s">
        <v>17</v>
      </c>
      <c r="E1926">
        <v>1487.36</v>
      </c>
      <c r="F1926">
        <v>921.03</v>
      </c>
      <c r="G1926">
        <v>10</v>
      </c>
      <c r="H1926">
        <f t="shared" si="180"/>
        <v>14873.599999999999</v>
      </c>
      <c r="I1926">
        <f t="shared" si="184"/>
        <v>9210.2999999999993</v>
      </c>
      <c r="J1926">
        <f t="shared" si="181"/>
        <v>5663.2999999999993</v>
      </c>
      <c r="K1926" s="8">
        <f t="shared" si="182"/>
        <v>0.38076188683304646</v>
      </c>
      <c r="L1926" t="str">
        <f t="shared" si="185"/>
        <v>2023-08</v>
      </c>
      <c r="M1926">
        <f t="shared" si="183"/>
        <v>5663.2999999999993</v>
      </c>
    </row>
    <row r="1927" spans="1:13" x14ac:dyDescent="0.25">
      <c r="A1927" s="1">
        <v>44623</v>
      </c>
      <c r="B1927" t="s">
        <v>25</v>
      </c>
      <c r="C1927" t="s">
        <v>15</v>
      </c>
      <c r="D1927" t="s">
        <v>9</v>
      </c>
      <c r="E1927">
        <v>1678.96</v>
      </c>
      <c r="F1927">
        <v>1014.45</v>
      </c>
      <c r="G1927">
        <v>2</v>
      </c>
      <c r="H1927">
        <f t="shared" si="180"/>
        <v>3357.92</v>
      </c>
      <c r="I1927">
        <f t="shared" si="184"/>
        <v>2028.9</v>
      </c>
      <c r="J1927">
        <f t="shared" si="181"/>
        <v>1329.02</v>
      </c>
      <c r="K1927" s="8">
        <f t="shared" si="182"/>
        <v>0.39578667746700336</v>
      </c>
      <c r="L1927" t="str">
        <f t="shared" si="185"/>
        <v>2022-03</v>
      </c>
      <c r="M1927">
        <f t="shared" si="183"/>
        <v>1329.02</v>
      </c>
    </row>
    <row r="1928" spans="1:13" x14ac:dyDescent="0.25">
      <c r="A1928" s="1">
        <v>45007</v>
      </c>
      <c r="B1928" t="s">
        <v>12</v>
      </c>
      <c r="C1928" t="s">
        <v>8</v>
      </c>
      <c r="D1928" t="s">
        <v>17</v>
      </c>
      <c r="E1928">
        <v>785.26</v>
      </c>
      <c r="F1928">
        <v>661.95</v>
      </c>
      <c r="G1928">
        <v>7</v>
      </c>
      <c r="H1928">
        <f t="shared" si="180"/>
        <v>5496.82</v>
      </c>
      <c r="I1928">
        <f t="shared" si="184"/>
        <v>4633.6500000000005</v>
      </c>
      <c r="J1928">
        <f t="shared" si="181"/>
        <v>863.16999999999916</v>
      </c>
      <c r="K1928" s="8">
        <f t="shared" si="182"/>
        <v>0.15703079234903075</v>
      </c>
      <c r="L1928" t="str">
        <f t="shared" si="185"/>
        <v>2023-03</v>
      </c>
      <c r="M1928">
        <f t="shared" si="183"/>
        <v>863.16999999999916</v>
      </c>
    </row>
    <row r="1929" spans="1:13" x14ac:dyDescent="0.25">
      <c r="A1929" s="1">
        <v>45226</v>
      </c>
      <c r="B1929" t="s">
        <v>21</v>
      </c>
      <c r="C1929" t="s">
        <v>20</v>
      </c>
      <c r="D1929" t="s">
        <v>17</v>
      </c>
      <c r="E1929">
        <v>1829.87</v>
      </c>
      <c r="F1929">
        <v>1595.24</v>
      </c>
      <c r="G1929">
        <v>6</v>
      </c>
      <c r="H1929">
        <f t="shared" si="180"/>
        <v>10979.22</v>
      </c>
      <c r="I1929">
        <f t="shared" si="184"/>
        <v>9571.44</v>
      </c>
      <c r="J1929">
        <f t="shared" si="181"/>
        <v>1407.7799999999988</v>
      </c>
      <c r="K1929" s="8">
        <f t="shared" si="182"/>
        <v>0.12822222343663747</v>
      </c>
      <c r="L1929" t="str">
        <f t="shared" si="185"/>
        <v>2023-10</v>
      </c>
      <c r="M1929">
        <f t="shared" si="183"/>
        <v>1407.7799999999988</v>
      </c>
    </row>
    <row r="1930" spans="1:13" x14ac:dyDescent="0.25">
      <c r="A1930" s="1">
        <v>45366</v>
      </c>
      <c r="B1930" t="s">
        <v>25</v>
      </c>
      <c r="C1930" t="s">
        <v>15</v>
      </c>
      <c r="D1930" t="s">
        <v>13</v>
      </c>
      <c r="E1930">
        <v>1763.72</v>
      </c>
      <c r="F1930">
        <v>1322.32</v>
      </c>
      <c r="G1930">
        <v>1</v>
      </c>
      <c r="H1930">
        <f t="shared" si="180"/>
        <v>1763.72</v>
      </c>
      <c r="I1930">
        <f t="shared" si="184"/>
        <v>1322.32</v>
      </c>
      <c r="J1930">
        <f t="shared" si="181"/>
        <v>441.40000000000009</v>
      </c>
      <c r="K1930" s="8">
        <f t="shared" si="182"/>
        <v>0.2502664822080603</v>
      </c>
      <c r="L1930" t="str">
        <f t="shared" si="185"/>
        <v>2024-03</v>
      </c>
      <c r="M1930">
        <f t="shared" si="183"/>
        <v>441.40000000000009</v>
      </c>
    </row>
    <row r="1931" spans="1:13" x14ac:dyDescent="0.25">
      <c r="A1931" s="1">
        <v>45067</v>
      </c>
      <c r="B1931" t="s">
        <v>19</v>
      </c>
      <c r="C1931" t="s">
        <v>20</v>
      </c>
      <c r="D1931" t="s">
        <v>17</v>
      </c>
      <c r="E1931">
        <v>1378.91</v>
      </c>
      <c r="F1931">
        <v>1117.26</v>
      </c>
      <c r="G1931">
        <v>9</v>
      </c>
      <c r="H1931">
        <f t="shared" si="180"/>
        <v>12410.19</v>
      </c>
      <c r="I1931">
        <f t="shared" si="184"/>
        <v>10055.34</v>
      </c>
      <c r="J1931">
        <f t="shared" si="181"/>
        <v>2354.8500000000004</v>
      </c>
      <c r="K1931" s="8">
        <f t="shared" si="182"/>
        <v>0.18975132532217479</v>
      </c>
      <c r="L1931" t="str">
        <f t="shared" si="185"/>
        <v>2023-05</v>
      </c>
      <c r="M1931">
        <f t="shared" si="183"/>
        <v>2354.8500000000004</v>
      </c>
    </row>
    <row r="1932" spans="1:13" x14ac:dyDescent="0.25">
      <c r="A1932" s="1">
        <v>45331</v>
      </c>
      <c r="B1932" t="s">
        <v>22</v>
      </c>
      <c r="C1932" t="s">
        <v>8</v>
      </c>
      <c r="D1932" t="s">
        <v>18</v>
      </c>
      <c r="E1932">
        <v>1837.81</v>
      </c>
      <c r="F1932">
        <v>1070.77</v>
      </c>
      <c r="G1932">
        <v>4</v>
      </c>
      <c r="H1932">
        <f t="shared" si="180"/>
        <v>7351.24</v>
      </c>
      <c r="I1932">
        <f t="shared" si="184"/>
        <v>4283.08</v>
      </c>
      <c r="J1932">
        <f t="shared" si="181"/>
        <v>3068.16</v>
      </c>
      <c r="K1932" s="8">
        <f t="shared" si="182"/>
        <v>0.41736632187222833</v>
      </c>
      <c r="L1932" t="str">
        <f t="shared" si="185"/>
        <v>2024-02</v>
      </c>
      <c r="M1932">
        <f t="shared" si="183"/>
        <v>3068.16</v>
      </c>
    </row>
    <row r="1933" spans="1:13" x14ac:dyDescent="0.25">
      <c r="A1933" s="1">
        <v>45631</v>
      </c>
      <c r="B1933" t="s">
        <v>16</v>
      </c>
      <c r="C1933" t="s">
        <v>15</v>
      </c>
      <c r="D1933" t="s">
        <v>17</v>
      </c>
      <c r="E1933">
        <v>223.6</v>
      </c>
      <c r="F1933">
        <v>127.85</v>
      </c>
      <c r="G1933">
        <v>6</v>
      </c>
      <c r="H1933">
        <f t="shared" si="180"/>
        <v>1341.6</v>
      </c>
      <c r="I1933">
        <f t="shared" si="184"/>
        <v>767.09999999999991</v>
      </c>
      <c r="J1933">
        <f t="shared" si="181"/>
        <v>574.5</v>
      </c>
      <c r="K1933" s="8">
        <f t="shared" si="182"/>
        <v>0.42822003577817536</v>
      </c>
      <c r="L1933" t="str">
        <f t="shared" si="185"/>
        <v>2024-12</v>
      </c>
      <c r="M1933">
        <f t="shared" si="183"/>
        <v>574.5</v>
      </c>
    </row>
    <row r="1934" spans="1:13" x14ac:dyDescent="0.25">
      <c r="A1934" s="1">
        <v>45602</v>
      </c>
      <c r="B1934" t="s">
        <v>7</v>
      </c>
      <c r="C1934" t="s">
        <v>8</v>
      </c>
      <c r="D1934" t="s">
        <v>13</v>
      </c>
      <c r="E1934">
        <v>1819.77</v>
      </c>
      <c r="F1934">
        <v>1331.96</v>
      </c>
      <c r="G1934">
        <v>3</v>
      </c>
      <c r="H1934">
        <f t="shared" si="180"/>
        <v>5459.3099999999995</v>
      </c>
      <c r="I1934">
        <f t="shared" si="184"/>
        <v>3995.88</v>
      </c>
      <c r="J1934">
        <f t="shared" si="181"/>
        <v>1463.4299999999994</v>
      </c>
      <c r="K1934" s="8">
        <f t="shared" si="182"/>
        <v>0.26806134841216189</v>
      </c>
      <c r="L1934" t="str">
        <f t="shared" si="185"/>
        <v>2024-11</v>
      </c>
      <c r="M1934">
        <f t="shared" si="183"/>
        <v>1463.4299999999994</v>
      </c>
    </row>
    <row r="1935" spans="1:13" x14ac:dyDescent="0.25">
      <c r="A1935" s="1">
        <v>45314</v>
      </c>
      <c r="B1935" t="s">
        <v>16</v>
      </c>
      <c r="C1935" t="s">
        <v>15</v>
      </c>
      <c r="D1935" t="s">
        <v>17</v>
      </c>
      <c r="E1935">
        <v>620.12</v>
      </c>
      <c r="F1935">
        <v>517.74</v>
      </c>
      <c r="G1935">
        <v>2</v>
      </c>
      <c r="H1935">
        <f t="shared" si="180"/>
        <v>1240.24</v>
      </c>
      <c r="I1935">
        <f t="shared" si="184"/>
        <v>1035.48</v>
      </c>
      <c r="J1935">
        <f t="shared" si="181"/>
        <v>204.76</v>
      </c>
      <c r="K1935" s="8">
        <f t="shared" si="182"/>
        <v>0.16509707798490614</v>
      </c>
      <c r="L1935" t="str">
        <f t="shared" si="185"/>
        <v>2024-01</v>
      </c>
      <c r="M1935">
        <f t="shared" si="183"/>
        <v>204.76</v>
      </c>
    </row>
    <row r="1936" spans="1:13" x14ac:dyDescent="0.25">
      <c r="A1936" s="1">
        <v>45356</v>
      </c>
      <c r="B1936" t="s">
        <v>16</v>
      </c>
      <c r="C1936" t="s">
        <v>15</v>
      </c>
      <c r="D1936" t="s">
        <v>17</v>
      </c>
      <c r="E1936">
        <v>268.26</v>
      </c>
      <c r="F1936">
        <v>177.9</v>
      </c>
      <c r="G1936">
        <v>1</v>
      </c>
      <c r="H1936">
        <f t="shared" si="180"/>
        <v>268.26</v>
      </c>
      <c r="I1936">
        <f t="shared" si="184"/>
        <v>177.9</v>
      </c>
      <c r="J1936">
        <f t="shared" si="181"/>
        <v>90.359999999999985</v>
      </c>
      <c r="K1936" s="8">
        <f t="shared" si="182"/>
        <v>0.33683739655558037</v>
      </c>
      <c r="L1936" t="str">
        <f t="shared" si="185"/>
        <v>2024-03</v>
      </c>
      <c r="M1936">
        <f t="shared" si="183"/>
        <v>90.359999999999985</v>
      </c>
    </row>
    <row r="1937" spans="1:13" x14ac:dyDescent="0.25">
      <c r="A1937" s="1">
        <v>44873</v>
      </c>
      <c r="B1937" t="s">
        <v>16</v>
      </c>
      <c r="C1937" t="s">
        <v>15</v>
      </c>
      <c r="D1937" t="s">
        <v>18</v>
      </c>
      <c r="E1937">
        <v>531.76</v>
      </c>
      <c r="F1937">
        <v>422.05</v>
      </c>
      <c r="G1937">
        <v>6</v>
      </c>
      <c r="H1937">
        <f t="shared" si="180"/>
        <v>3190.56</v>
      </c>
      <c r="I1937">
        <f t="shared" si="184"/>
        <v>2532.3000000000002</v>
      </c>
      <c r="J1937">
        <f t="shared" si="181"/>
        <v>658.25999999999976</v>
      </c>
      <c r="K1937" s="8">
        <f t="shared" si="182"/>
        <v>0.20631487889273351</v>
      </c>
      <c r="L1937" t="str">
        <f t="shared" si="185"/>
        <v>2022-11</v>
      </c>
      <c r="M1937">
        <f t="shared" si="183"/>
        <v>658.25999999999976</v>
      </c>
    </row>
    <row r="1938" spans="1:13" x14ac:dyDescent="0.25">
      <c r="A1938" s="1">
        <v>44666</v>
      </c>
      <c r="B1938" t="s">
        <v>24</v>
      </c>
      <c r="C1938" t="s">
        <v>20</v>
      </c>
      <c r="D1938" t="s">
        <v>13</v>
      </c>
      <c r="E1938">
        <v>1243.9100000000001</v>
      </c>
      <c r="F1938">
        <v>741.93</v>
      </c>
      <c r="G1938">
        <v>5</v>
      </c>
      <c r="H1938">
        <f t="shared" si="180"/>
        <v>6219.55</v>
      </c>
      <c r="I1938">
        <f t="shared" si="184"/>
        <v>3709.6499999999996</v>
      </c>
      <c r="J1938">
        <f t="shared" si="181"/>
        <v>2509.9000000000005</v>
      </c>
      <c r="K1938" s="8">
        <f t="shared" si="182"/>
        <v>0.4035500960680436</v>
      </c>
      <c r="L1938" t="str">
        <f t="shared" si="185"/>
        <v>2022-04</v>
      </c>
      <c r="M1938">
        <f t="shared" si="183"/>
        <v>2509.9000000000005</v>
      </c>
    </row>
    <row r="1939" spans="1:13" x14ac:dyDescent="0.25">
      <c r="A1939" s="1">
        <v>45334</v>
      </c>
      <c r="B1939" t="s">
        <v>7</v>
      </c>
      <c r="C1939" t="s">
        <v>8</v>
      </c>
      <c r="D1939" t="s">
        <v>13</v>
      </c>
      <c r="E1939">
        <v>1334.6</v>
      </c>
      <c r="F1939">
        <v>1003.06</v>
      </c>
      <c r="G1939">
        <v>3</v>
      </c>
      <c r="H1939">
        <f t="shared" si="180"/>
        <v>4003.7999999999997</v>
      </c>
      <c r="I1939">
        <f t="shared" si="184"/>
        <v>3009.18</v>
      </c>
      <c r="J1939">
        <f t="shared" si="181"/>
        <v>994.61999999999989</v>
      </c>
      <c r="K1939" s="8">
        <f t="shared" si="182"/>
        <v>0.24841900194814925</v>
      </c>
      <c r="L1939" t="str">
        <f t="shared" si="185"/>
        <v>2024-02</v>
      </c>
      <c r="M1939">
        <f t="shared" si="183"/>
        <v>994.61999999999989</v>
      </c>
    </row>
    <row r="1940" spans="1:13" x14ac:dyDescent="0.25">
      <c r="A1940" s="1">
        <v>44887</v>
      </c>
      <c r="B1940" t="s">
        <v>23</v>
      </c>
      <c r="C1940" t="s">
        <v>11</v>
      </c>
      <c r="D1940" t="s">
        <v>17</v>
      </c>
      <c r="E1940">
        <v>1667.09</v>
      </c>
      <c r="F1940">
        <v>1113.28</v>
      </c>
      <c r="G1940">
        <v>10</v>
      </c>
      <c r="H1940">
        <f t="shared" si="180"/>
        <v>16670.899999999998</v>
      </c>
      <c r="I1940">
        <f t="shared" si="184"/>
        <v>11132.8</v>
      </c>
      <c r="J1940">
        <f t="shared" si="181"/>
        <v>5538.0999999999985</v>
      </c>
      <c r="K1940" s="8">
        <f t="shared" si="182"/>
        <v>0.33220162078831972</v>
      </c>
      <c r="L1940" t="str">
        <f t="shared" si="185"/>
        <v>2022-11</v>
      </c>
      <c r="M1940">
        <f t="shared" si="183"/>
        <v>5538.0999999999985</v>
      </c>
    </row>
    <row r="1941" spans="1:13" x14ac:dyDescent="0.25">
      <c r="A1941" s="1">
        <v>45259</v>
      </c>
      <c r="B1941" t="s">
        <v>23</v>
      </c>
      <c r="C1941" t="s">
        <v>11</v>
      </c>
      <c r="D1941" t="s">
        <v>17</v>
      </c>
      <c r="E1941">
        <v>335.26</v>
      </c>
      <c r="F1941">
        <v>273.41000000000003</v>
      </c>
      <c r="G1941">
        <v>8</v>
      </c>
      <c r="H1941">
        <f t="shared" si="180"/>
        <v>2682.08</v>
      </c>
      <c r="I1941">
        <f t="shared" si="184"/>
        <v>2187.2800000000002</v>
      </c>
      <c r="J1941">
        <f t="shared" si="181"/>
        <v>494.79999999999973</v>
      </c>
      <c r="K1941" s="8">
        <f t="shared" si="182"/>
        <v>0.18448368430471862</v>
      </c>
      <c r="L1941" t="str">
        <f t="shared" si="185"/>
        <v>2023-11</v>
      </c>
      <c r="M1941">
        <f t="shared" si="183"/>
        <v>494.79999999999973</v>
      </c>
    </row>
    <row r="1942" spans="1:13" x14ac:dyDescent="0.25">
      <c r="A1942" s="1">
        <v>44716</v>
      </c>
      <c r="B1942" t="s">
        <v>19</v>
      </c>
      <c r="C1942" t="s">
        <v>20</v>
      </c>
      <c r="D1942" t="s">
        <v>17</v>
      </c>
      <c r="E1942">
        <v>1717.05</v>
      </c>
      <c r="F1942">
        <v>1027.24</v>
      </c>
      <c r="G1942">
        <v>5</v>
      </c>
      <c r="H1942">
        <f t="shared" si="180"/>
        <v>8585.25</v>
      </c>
      <c r="I1942">
        <f t="shared" si="184"/>
        <v>5136.2</v>
      </c>
      <c r="J1942">
        <f t="shared" si="181"/>
        <v>3449.05</v>
      </c>
      <c r="K1942" s="8">
        <f t="shared" si="182"/>
        <v>0.40174135872572148</v>
      </c>
      <c r="L1942" t="str">
        <f t="shared" si="185"/>
        <v>2022-06</v>
      </c>
      <c r="M1942">
        <f t="shared" si="183"/>
        <v>3449.05</v>
      </c>
    </row>
    <row r="1943" spans="1:13" x14ac:dyDescent="0.25">
      <c r="A1943" s="1">
        <v>44687</v>
      </c>
      <c r="B1943" t="s">
        <v>16</v>
      </c>
      <c r="C1943" t="s">
        <v>15</v>
      </c>
      <c r="D1943" t="s">
        <v>18</v>
      </c>
      <c r="E1943">
        <v>460.75</v>
      </c>
      <c r="F1943">
        <v>344.42</v>
      </c>
      <c r="G1943">
        <v>3</v>
      </c>
      <c r="H1943">
        <f t="shared" si="180"/>
        <v>1382.25</v>
      </c>
      <c r="I1943">
        <f t="shared" si="184"/>
        <v>1033.26</v>
      </c>
      <c r="J1943">
        <f t="shared" si="181"/>
        <v>348.99</v>
      </c>
      <c r="K1943" s="8">
        <f t="shared" si="182"/>
        <v>0.25247965274009765</v>
      </c>
      <c r="L1943" t="str">
        <f t="shared" si="185"/>
        <v>2022-05</v>
      </c>
      <c r="M1943">
        <f t="shared" si="183"/>
        <v>348.99</v>
      </c>
    </row>
    <row r="1944" spans="1:13" x14ac:dyDescent="0.25">
      <c r="A1944" s="1">
        <v>44901</v>
      </c>
      <c r="B1944" t="s">
        <v>21</v>
      </c>
      <c r="C1944" t="s">
        <v>20</v>
      </c>
      <c r="D1944" t="s">
        <v>13</v>
      </c>
      <c r="E1944">
        <v>220.23</v>
      </c>
      <c r="F1944">
        <v>136.75</v>
      </c>
      <c r="G1944">
        <v>9</v>
      </c>
      <c r="H1944">
        <f t="shared" si="180"/>
        <v>1982.07</v>
      </c>
      <c r="I1944">
        <f t="shared" si="184"/>
        <v>1230.75</v>
      </c>
      <c r="J1944">
        <f t="shared" si="181"/>
        <v>751.31999999999994</v>
      </c>
      <c r="K1944" s="8">
        <f t="shared" si="182"/>
        <v>0.37905825727648368</v>
      </c>
      <c r="L1944" t="str">
        <f t="shared" si="185"/>
        <v>2022-12</v>
      </c>
      <c r="M1944">
        <f t="shared" si="183"/>
        <v>751.31999999999994</v>
      </c>
    </row>
    <row r="1945" spans="1:13" x14ac:dyDescent="0.25">
      <c r="A1945" s="1">
        <v>44994</v>
      </c>
      <c r="B1945" t="s">
        <v>25</v>
      </c>
      <c r="C1945" t="s">
        <v>15</v>
      </c>
      <c r="D1945" t="s">
        <v>18</v>
      </c>
      <c r="E1945">
        <v>799.29</v>
      </c>
      <c r="F1945">
        <v>692.55</v>
      </c>
      <c r="G1945">
        <v>8</v>
      </c>
      <c r="H1945">
        <f t="shared" si="180"/>
        <v>6394.32</v>
      </c>
      <c r="I1945">
        <f t="shared" si="184"/>
        <v>5540.4</v>
      </c>
      <c r="J1945">
        <f t="shared" si="181"/>
        <v>853.92000000000007</v>
      </c>
      <c r="K1945" s="8">
        <f t="shared" si="182"/>
        <v>0.1335435198738881</v>
      </c>
      <c r="L1945" t="str">
        <f t="shared" si="185"/>
        <v>2023-03</v>
      </c>
      <c r="M1945">
        <f t="shared" si="183"/>
        <v>853.92000000000007</v>
      </c>
    </row>
    <row r="1946" spans="1:13" x14ac:dyDescent="0.25">
      <c r="A1946" s="1">
        <v>44916</v>
      </c>
      <c r="B1946" t="s">
        <v>7</v>
      </c>
      <c r="C1946" t="s">
        <v>8</v>
      </c>
      <c r="D1946" t="s">
        <v>18</v>
      </c>
      <c r="E1946">
        <v>530.51</v>
      </c>
      <c r="F1946">
        <v>384.41</v>
      </c>
      <c r="G1946">
        <v>6</v>
      </c>
      <c r="H1946">
        <f t="shared" si="180"/>
        <v>3183.06</v>
      </c>
      <c r="I1946">
        <f t="shared" si="184"/>
        <v>2306.46</v>
      </c>
      <c r="J1946">
        <f t="shared" si="181"/>
        <v>876.59999999999991</v>
      </c>
      <c r="K1946" s="8">
        <f t="shared" si="182"/>
        <v>0.2753953742625021</v>
      </c>
      <c r="L1946" t="str">
        <f t="shared" si="185"/>
        <v>2022-12</v>
      </c>
      <c r="M1946">
        <f t="shared" si="183"/>
        <v>876.59999999999991</v>
      </c>
    </row>
    <row r="1947" spans="1:13" x14ac:dyDescent="0.25">
      <c r="A1947" s="1">
        <v>45386</v>
      </c>
      <c r="B1947" t="s">
        <v>24</v>
      </c>
      <c r="C1947" t="s">
        <v>20</v>
      </c>
      <c r="D1947" t="s">
        <v>13</v>
      </c>
      <c r="E1947">
        <v>78.12</v>
      </c>
      <c r="F1947">
        <v>43.09</v>
      </c>
      <c r="G1947">
        <v>10</v>
      </c>
      <c r="H1947">
        <f t="shared" si="180"/>
        <v>781.2</v>
      </c>
      <c r="I1947">
        <f t="shared" si="184"/>
        <v>430.90000000000003</v>
      </c>
      <c r="J1947">
        <f t="shared" si="181"/>
        <v>350.3</v>
      </c>
      <c r="K1947" s="8">
        <f t="shared" si="182"/>
        <v>0.44841269841269837</v>
      </c>
      <c r="L1947" t="str">
        <f t="shared" si="185"/>
        <v>2024-04</v>
      </c>
      <c r="M1947">
        <f t="shared" si="183"/>
        <v>350.3</v>
      </c>
    </row>
    <row r="1948" spans="1:13" x14ac:dyDescent="0.25">
      <c r="A1948" s="1">
        <v>45197</v>
      </c>
      <c r="B1948" t="s">
        <v>19</v>
      </c>
      <c r="C1948" t="s">
        <v>20</v>
      </c>
      <c r="D1948" t="s">
        <v>18</v>
      </c>
      <c r="E1948">
        <v>716.91</v>
      </c>
      <c r="F1948">
        <v>400.75</v>
      </c>
      <c r="G1948">
        <v>8</v>
      </c>
      <c r="H1948">
        <f t="shared" si="180"/>
        <v>5735.28</v>
      </c>
      <c r="I1948">
        <f t="shared" si="184"/>
        <v>3206</v>
      </c>
      <c r="J1948">
        <f t="shared" si="181"/>
        <v>2529.2799999999997</v>
      </c>
      <c r="K1948" s="8">
        <f t="shared" si="182"/>
        <v>0.44100375221436439</v>
      </c>
      <c r="L1948" t="str">
        <f t="shared" si="185"/>
        <v>2023-09</v>
      </c>
      <c r="M1948">
        <f t="shared" si="183"/>
        <v>2529.2799999999997</v>
      </c>
    </row>
    <row r="1949" spans="1:13" x14ac:dyDescent="0.25">
      <c r="A1949" s="1">
        <v>44684</v>
      </c>
      <c r="B1949" t="s">
        <v>23</v>
      </c>
      <c r="C1949" t="s">
        <v>11</v>
      </c>
      <c r="D1949" t="s">
        <v>9</v>
      </c>
      <c r="E1949">
        <v>413.53</v>
      </c>
      <c r="F1949">
        <v>290.55</v>
      </c>
      <c r="G1949">
        <v>4</v>
      </c>
      <c r="H1949">
        <f t="shared" si="180"/>
        <v>1654.12</v>
      </c>
      <c r="I1949">
        <f t="shared" si="184"/>
        <v>1162.2</v>
      </c>
      <c r="J1949">
        <f t="shared" si="181"/>
        <v>491.91999999999985</v>
      </c>
      <c r="K1949" s="8">
        <f t="shared" si="182"/>
        <v>0.29739075762338879</v>
      </c>
      <c r="L1949" t="str">
        <f t="shared" si="185"/>
        <v>2022-05</v>
      </c>
      <c r="M1949">
        <f t="shared" si="183"/>
        <v>491.91999999999985</v>
      </c>
    </row>
    <row r="1950" spans="1:13" x14ac:dyDescent="0.25">
      <c r="A1950" s="1">
        <v>44914</v>
      </c>
      <c r="B1950" t="s">
        <v>10</v>
      </c>
      <c r="C1950" t="s">
        <v>11</v>
      </c>
      <c r="D1950" t="s">
        <v>18</v>
      </c>
      <c r="E1950">
        <v>409.18</v>
      </c>
      <c r="F1950">
        <v>244.57</v>
      </c>
      <c r="G1950">
        <v>2</v>
      </c>
      <c r="H1950">
        <f t="shared" si="180"/>
        <v>818.36</v>
      </c>
      <c r="I1950">
        <f t="shared" si="184"/>
        <v>489.14</v>
      </c>
      <c r="J1950">
        <f t="shared" si="181"/>
        <v>329.22</v>
      </c>
      <c r="K1950" s="8">
        <f t="shared" si="182"/>
        <v>0.40229238965736352</v>
      </c>
      <c r="L1950" t="str">
        <f t="shared" si="185"/>
        <v>2022-12</v>
      </c>
      <c r="M1950">
        <f t="shared" si="183"/>
        <v>329.22</v>
      </c>
    </row>
    <row r="1951" spans="1:13" x14ac:dyDescent="0.25">
      <c r="A1951" s="1">
        <v>44857</v>
      </c>
      <c r="B1951" t="s">
        <v>21</v>
      </c>
      <c r="C1951" t="s">
        <v>20</v>
      </c>
      <c r="D1951" t="s">
        <v>17</v>
      </c>
      <c r="E1951">
        <v>1276.79</v>
      </c>
      <c r="F1951">
        <v>755.59</v>
      </c>
      <c r="G1951">
        <v>9</v>
      </c>
      <c r="H1951">
        <f t="shared" si="180"/>
        <v>11491.11</v>
      </c>
      <c r="I1951">
        <f t="shared" si="184"/>
        <v>6800.31</v>
      </c>
      <c r="J1951">
        <f t="shared" si="181"/>
        <v>4690.8</v>
      </c>
      <c r="K1951" s="8">
        <f t="shared" si="182"/>
        <v>0.40821121719311709</v>
      </c>
      <c r="L1951" t="str">
        <f t="shared" si="185"/>
        <v>2022-10</v>
      </c>
      <c r="M1951">
        <f t="shared" si="183"/>
        <v>4690.8</v>
      </c>
    </row>
    <row r="1952" spans="1:13" x14ac:dyDescent="0.25">
      <c r="A1952" s="1">
        <v>44880</v>
      </c>
      <c r="B1952" t="s">
        <v>16</v>
      </c>
      <c r="C1952" t="s">
        <v>15</v>
      </c>
      <c r="D1952" t="s">
        <v>18</v>
      </c>
      <c r="E1952">
        <v>1867.43</v>
      </c>
      <c r="F1952">
        <v>1117.53</v>
      </c>
      <c r="G1952">
        <v>4</v>
      </c>
      <c r="H1952">
        <f t="shared" si="180"/>
        <v>7469.72</v>
      </c>
      <c r="I1952">
        <f t="shared" si="184"/>
        <v>4470.12</v>
      </c>
      <c r="J1952">
        <f t="shared" si="181"/>
        <v>2999.6000000000004</v>
      </c>
      <c r="K1952" s="8">
        <f t="shared" si="182"/>
        <v>0.40156793025709131</v>
      </c>
      <c r="L1952" t="str">
        <f t="shared" si="185"/>
        <v>2022-11</v>
      </c>
      <c r="M1952">
        <f t="shared" si="183"/>
        <v>2999.6000000000004</v>
      </c>
    </row>
    <row r="1953" spans="1:13" x14ac:dyDescent="0.25">
      <c r="A1953" s="1">
        <v>44615</v>
      </c>
      <c r="B1953" t="s">
        <v>25</v>
      </c>
      <c r="C1953" t="s">
        <v>15</v>
      </c>
      <c r="D1953" t="s">
        <v>13</v>
      </c>
      <c r="E1953">
        <v>1045.1600000000001</v>
      </c>
      <c r="F1953">
        <v>871.22</v>
      </c>
      <c r="G1953">
        <v>4</v>
      </c>
      <c r="H1953">
        <f t="shared" si="180"/>
        <v>4180.6400000000003</v>
      </c>
      <c r="I1953">
        <f t="shared" si="184"/>
        <v>3484.88</v>
      </c>
      <c r="J1953">
        <f t="shared" si="181"/>
        <v>695.76000000000022</v>
      </c>
      <c r="K1953" s="8">
        <f t="shared" si="182"/>
        <v>0.16642427953614761</v>
      </c>
      <c r="L1953" t="str">
        <f t="shared" si="185"/>
        <v>2022-02</v>
      </c>
      <c r="M1953">
        <f t="shared" si="183"/>
        <v>695.76000000000022</v>
      </c>
    </row>
    <row r="1954" spans="1:13" x14ac:dyDescent="0.25">
      <c r="A1954" s="1">
        <v>45057</v>
      </c>
      <c r="B1954" t="s">
        <v>25</v>
      </c>
      <c r="C1954" t="s">
        <v>15</v>
      </c>
      <c r="D1954" t="s">
        <v>9</v>
      </c>
      <c r="E1954">
        <v>557.30999999999995</v>
      </c>
      <c r="F1954">
        <v>361.19</v>
      </c>
      <c r="G1954">
        <v>5</v>
      </c>
      <c r="H1954">
        <f t="shared" si="180"/>
        <v>2786.5499999999997</v>
      </c>
      <c r="I1954">
        <f t="shared" si="184"/>
        <v>1805.95</v>
      </c>
      <c r="J1954">
        <f t="shared" si="181"/>
        <v>980.59999999999968</v>
      </c>
      <c r="K1954" s="8">
        <f t="shared" si="182"/>
        <v>0.35190468500475491</v>
      </c>
      <c r="L1954" t="str">
        <f t="shared" si="185"/>
        <v>2023-05</v>
      </c>
      <c r="M1954">
        <f t="shared" si="183"/>
        <v>980.59999999999968</v>
      </c>
    </row>
    <row r="1955" spans="1:13" x14ac:dyDescent="0.25">
      <c r="A1955" s="1">
        <v>45229</v>
      </c>
      <c r="B1955" t="s">
        <v>16</v>
      </c>
      <c r="C1955" t="s">
        <v>15</v>
      </c>
      <c r="D1955" t="s">
        <v>18</v>
      </c>
      <c r="E1955">
        <v>1656.72</v>
      </c>
      <c r="F1955">
        <v>1188.3699999999999</v>
      </c>
      <c r="G1955">
        <v>6</v>
      </c>
      <c r="H1955">
        <f t="shared" si="180"/>
        <v>9940.32</v>
      </c>
      <c r="I1955">
        <f t="shared" si="184"/>
        <v>7130.2199999999993</v>
      </c>
      <c r="J1955">
        <f t="shared" si="181"/>
        <v>2810.1000000000004</v>
      </c>
      <c r="K1955" s="8">
        <f t="shared" si="182"/>
        <v>0.28269713651069589</v>
      </c>
      <c r="L1955" t="str">
        <f t="shared" si="185"/>
        <v>2023-10</v>
      </c>
      <c r="M1955">
        <f t="shared" si="183"/>
        <v>2810.1000000000004</v>
      </c>
    </row>
    <row r="1956" spans="1:13" x14ac:dyDescent="0.25">
      <c r="A1956" s="1">
        <v>44811</v>
      </c>
      <c r="B1956" t="s">
        <v>23</v>
      </c>
      <c r="C1956" t="s">
        <v>11</v>
      </c>
      <c r="D1956" t="s">
        <v>17</v>
      </c>
      <c r="E1956">
        <v>1511.84</v>
      </c>
      <c r="F1956">
        <v>758.85</v>
      </c>
      <c r="G1956">
        <v>6</v>
      </c>
      <c r="H1956">
        <f t="shared" si="180"/>
        <v>9071.0399999999991</v>
      </c>
      <c r="I1956">
        <f t="shared" si="184"/>
        <v>4553.1000000000004</v>
      </c>
      <c r="J1956">
        <f t="shared" si="181"/>
        <v>4517.9399999999987</v>
      </c>
      <c r="K1956" s="8">
        <f t="shared" si="182"/>
        <v>0.49806196422901883</v>
      </c>
      <c r="L1956" t="str">
        <f t="shared" si="185"/>
        <v>2022-09</v>
      </c>
      <c r="M1956">
        <f t="shared" si="183"/>
        <v>4517.9399999999987</v>
      </c>
    </row>
    <row r="1957" spans="1:13" x14ac:dyDescent="0.25">
      <c r="A1957" s="1">
        <v>45414</v>
      </c>
      <c r="B1957" t="s">
        <v>10</v>
      </c>
      <c r="C1957" t="s">
        <v>11</v>
      </c>
      <c r="D1957" t="s">
        <v>18</v>
      </c>
      <c r="E1957">
        <v>1043.01</v>
      </c>
      <c r="F1957">
        <v>598.89</v>
      </c>
      <c r="G1957">
        <v>4</v>
      </c>
      <c r="H1957">
        <f t="shared" si="180"/>
        <v>4172.04</v>
      </c>
      <c r="I1957">
        <f t="shared" si="184"/>
        <v>2395.56</v>
      </c>
      <c r="J1957">
        <f t="shared" si="181"/>
        <v>1776.48</v>
      </c>
      <c r="K1957" s="8">
        <f t="shared" si="182"/>
        <v>0.42580608047861479</v>
      </c>
      <c r="L1957" t="str">
        <f t="shared" si="185"/>
        <v>2024-05</v>
      </c>
      <c r="M1957">
        <f t="shared" si="183"/>
        <v>1776.48</v>
      </c>
    </row>
    <row r="1958" spans="1:13" x14ac:dyDescent="0.25">
      <c r="A1958" s="1">
        <v>45002</v>
      </c>
      <c r="B1958" t="s">
        <v>23</v>
      </c>
      <c r="C1958" t="s">
        <v>11</v>
      </c>
      <c r="D1958" t="s">
        <v>13</v>
      </c>
      <c r="E1958">
        <v>518.46</v>
      </c>
      <c r="F1958">
        <v>348.43</v>
      </c>
      <c r="G1958">
        <v>1</v>
      </c>
      <c r="H1958">
        <f t="shared" si="180"/>
        <v>518.46</v>
      </c>
      <c r="I1958">
        <f t="shared" si="184"/>
        <v>348.43</v>
      </c>
      <c r="J1958">
        <f t="shared" si="181"/>
        <v>170.03000000000003</v>
      </c>
      <c r="K1958" s="8">
        <f t="shared" si="182"/>
        <v>0.32795201172703781</v>
      </c>
      <c r="L1958" t="str">
        <f t="shared" si="185"/>
        <v>2023-03</v>
      </c>
      <c r="M1958">
        <f t="shared" si="183"/>
        <v>170.03000000000003</v>
      </c>
    </row>
    <row r="1959" spans="1:13" x14ac:dyDescent="0.25">
      <c r="A1959" s="1">
        <v>45076</v>
      </c>
      <c r="B1959" t="s">
        <v>23</v>
      </c>
      <c r="C1959" t="s">
        <v>11</v>
      </c>
      <c r="D1959" t="s">
        <v>18</v>
      </c>
      <c r="E1959">
        <v>260.39</v>
      </c>
      <c r="F1959">
        <v>173.42</v>
      </c>
      <c r="G1959">
        <v>7</v>
      </c>
      <c r="H1959">
        <f t="shared" si="180"/>
        <v>1822.73</v>
      </c>
      <c r="I1959">
        <f t="shared" si="184"/>
        <v>1213.9399999999998</v>
      </c>
      <c r="J1959">
        <f t="shared" si="181"/>
        <v>608.79000000000019</v>
      </c>
      <c r="K1959" s="8">
        <f t="shared" si="182"/>
        <v>0.33399900149775347</v>
      </c>
      <c r="L1959" t="str">
        <f t="shared" si="185"/>
        <v>2023-05</v>
      </c>
      <c r="M1959">
        <f t="shared" si="183"/>
        <v>608.79000000000019</v>
      </c>
    </row>
    <row r="1960" spans="1:13" x14ac:dyDescent="0.25">
      <c r="A1960" s="1">
        <v>45375</v>
      </c>
      <c r="B1960" t="s">
        <v>23</v>
      </c>
      <c r="C1960" t="s">
        <v>11</v>
      </c>
      <c r="D1960" t="s">
        <v>18</v>
      </c>
      <c r="E1960">
        <v>987.27</v>
      </c>
      <c r="F1960">
        <v>504.8</v>
      </c>
      <c r="G1960">
        <v>7</v>
      </c>
      <c r="H1960">
        <f t="shared" si="180"/>
        <v>6910.8899999999994</v>
      </c>
      <c r="I1960">
        <f t="shared" si="184"/>
        <v>3533.6</v>
      </c>
      <c r="J1960">
        <f t="shared" si="181"/>
        <v>3377.2899999999995</v>
      </c>
      <c r="K1960" s="8">
        <f t="shared" si="182"/>
        <v>0.48869103689973359</v>
      </c>
      <c r="L1960" t="str">
        <f t="shared" si="185"/>
        <v>2024-03</v>
      </c>
      <c r="M1960">
        <f t="shared" si="183"/>
        <v>3377.2899999999995</v>
      </c>
    </row>
    <row r="1961" spans="1:13" x14ac:dyDescent="0.25">
      <c r="A1961" s="1">
        <v>45481</v>
      </c>
      <c r="B1961" t="s">
        <v>23</v>
      </c>
      <c r="C1961" t="s">
        <v>11</v>
      </c>
      <c r="D1961" t="s">
        <v>17</v>
      </c>
      <c r="E1961">
        <v>694.21</v>
      </c>
      <c r="F1961">
        <v>355.99</v>
      </c>
      <c r="G1961">
        <v>6</v>
      </c>
      <c r="H1961">
        <f t="shared" si="180"/>
        <v>4165.26</v>
      </c>
      <c r="I1961">
        <f t="shared" si="184"/>
        <v>2135.94</v>
      </c>
      <c r="J1961">
        <f t="shared" si="181"/>
        <v>2029.3200000000002</v>
      </c>
      <c r="K1961" s="8">
        <f t="shared" si="182"/>
        <v>0.48720127915184169</v>
      </c>
      <c r="L1961" t="str">
        <f t="shared" si="185"/>
        <v>2024-07</v>
      </c>
      <c r="M1961">
        <f t="shared" si="183"/>
        <v>2029.3200000000002</v>
      </c>
    </row>
    <row r="1962" spans="1:13" x14ac:dyDescent="0.25">
      <c r="A1962" s="1">
        <v>45318</v>
      </c>
      <c r="B1962" t="s">
        <v>23</v>
      </c>
      <c r="C1962" t="s">
        <v>11</v>
      </c>
      <c r="D1962" t="s">
        <v>9</v>
      </c>
      <c r="E1962">
        <v>1328.84</v>
      </c>
      <c r="F1962">
        <v>1191.06</v>
      </c>
      <c r="G1962">
        <v>2</v>
      </c>
      <c r="H1962">
        <f t="shared" si="180"/>
        <v>2657.68</v>
      </c>
      <c r="I1962">
        <f t="shared" si="184"/>
        <v>2382.12</v>
      </c>
      <c r="J1962">
        <f t="shared" si="181"/>
        <v>275.55999999999995</v>
      </c>
      <c r="K1962" s="8">
        <f t="shared" si="182"/>
        <v>0.10368441648354955</v>
      </c>
      <c r="L1962" t="str">
        <f t="shared" si="185"/>
        <v>2024-01</v>
      </c>
      <c r="M1962">
        <f t="shared" si="183"/>
        <v>275.55999999999995</v>
      </c>
    </row>
    <row r="1963" spans="1:13" x14ac:dyDescent="0.25">
      <c r="A1963" s="1">
        <v>44636</v>
      </c>
      <c r="B1963" t="s">
        <v>10</v>
      </c>
      <c r="C1963" t="s">
        <v>11</v>
      </c>
      <c r="D1963" t="s">
        <v>13</v>
      </c>
      <c r="E1963">
        <v>1426.63</v>
      </c>
      <c r="F1963">
        <v>1054.55</v>
      </c>
      <c r="G1963">
        <v>3</v>
      </c>
      <c r="H1963">
        <f t="shared" si="180"/>
        <v>4279.8900000000003</v>
      </c>
      <c r="I1963">
        <f t="shared" si="184"/>
        <v>3163.6499999999996</v>
      </c>
      <c r="J1963">
        <f t="shared" si="181"/>
        <v>1116.2400000000007</v>
      </c>
      <c r="K1963" s="8">
        <f t="shared" si="182"/>
        <v>0.26081044138984893</v>
      </c>
      <c r="L1963" t="str">
        <f t="shared" si="185"/>
        <v>2022-03</v>
      </c>
      <c r="M1963">
        <f t="shared" si="183"/>
        <v>1116.2400000000007</v>
      </c>
    </row>
    <row r="1964" spans="1:13" x14ac:dyDescent="0.25">
      <c r="A1964" s="1">
        <v>44667</v>
      </c>
      <c r="B1964" t="s">
        <v>23</v>
      </c>
      <c r="C1964" t="s">
        <v>11</v>
      </c>
      <c r="D1964" t="s">
        <v>9</v>
      </c>
      <c r="E1964">
        <v>1772.13</v>
      </c>
      <c r="F1964">
        <v>1044.5</v>
      </c>
      <c r="G1964">
        <v>8</v>
      </c>
      <c r="H1964">
        <f t="shared" si="180"/>
        <v>14177.04</v>
      </c>
      <c r="I1964">
        <f t="shared" si="184"/>
        <v>8356</v>
      </c>
      <c r="J1964">
        <f t="shared" si="181"/>
        <v>5821.0400000000009</v>
      </c>
      <c r="K1964" s="8">
        <f t="shared" si="182"/>
        <v>0.41059628808270277</v>
      </c>
      <c r="L1964" t="str">
        <f t="shared" si="185"/>
        <v>2022-04</v>
      </c>
      <c r="M1964">
        <f t="shared" si="183"/>
        <v>5821.0400000000009</v>
      </c>
    </row>
    <row r="1965" spans="1:13" x14ac:dyDescent="0.25">
      <c r="A1965" s="1">
        <v>44629</v>
      </c>
      <c r="B1965" t="s">
        <v>23</v>
      </c>
      <c r="C1965" t="s">
        <v>11</v>
      </c>
      <c r="D1965" t="s">
        <v>9</v>
      </c>
      <c r="E1965">
        <v>1454.05</v>
      </c>
      <c r="F1965">
        <v>1278.31</v>
      </c>
      <c r="G1965">
        <v>8</v>
      </c>
      <c r="H1965">
        <f t="shared" si="180"/>
        <v>11632.4</v>
      </c>
      <c r="I1965">
        <f t="shared" si="184"/>
        <v>10226.48</v>
      </c>
      <c r="J1965">
        <f t="shared" si="181"/>
        <v>1405.92</v>
      </c>
      <c r="K1965" s="8">
        <f t="shared" si="182"/>
        <v>0.1208624187613906</v>
      </c>
      <c r="L1965" t="str">
        <f t="shared" si="185"/>
        <v>2022-03</v>
      </c>
      <c r="M1965">
        <f t="shared" si="183"/>
        <v>1405.92</v>
      </c>
    </row>
    <row r="1966" spans="1:13" x14ac:dyDescent="0.25">
      <c r="A1966" s="1">
        <v>44856</v>
      </c>
      <c r="B1966" t="s">
        <v>21</v>
      </c>
      <c r="C1966" t="s">
        <v>20</v>
      </c>
      <c r="D1966" t="s">
        <v>18</v>
      </c>
      <c r="E1966">
        <v>672.27</v>
      </c>
      <c r="F1966">
        <v>508.71</v>
      </c>
      <c r="G1966">
        <v>10</v>
      </c>
      <c r="H1966">
        <f t="shared" si="180"/>
        <v>6722.7</v>
      </c>
      <c r="I1966">
        <f t="shared" si="184"/>
        <v>5087.0999999999995</v>
      </c>
      <c r="J1966">
        <f t="shared" si="181"/>
        <v>1635.6000000000004</v>
      </c>
      <c r="K1966" s="8">
        <f t="shared" si="182"/>
        <v>0.24329510464545501</v>
      </c>
      <c r="L1966" t="str">
        <f t="shared" si="185"/>
        <v>2022-10</v>
      </c>
      <c r="M1966">
        <f t="shared" si="183"/>
        <v>1635.6000000000004</v>
      </c>
    </row>
    <row r="1967" spans="1:13" x14ac:dyDescent="0.25">
      <c r="A1967" s="1">
        <v>45451</v>
      </c>
      <c r="B1967" t="s">
        <v>7</v>
      </c>
      <c r="C1967" t="s">
        <v>8</v>
      </c>
      <c r="D1967" t="s">
        <v>18</v>
      </c>
      <c r="E1967">
        <v>650.88</v>
      </c>
      <c r="F1967">
        <v>444.46</v>
      </c>
      <c r="G1967">
        <v>5</v>
      </c>
      <c r="H1967">
        <f t="shared" si="180"/>
        <v>3254.4</v>
      </c>
      <c r="I1967">
        <f t="shared" si="184"/>
        <v>2222.2999999999997</v>
      </c>
      <c r="J1967">
        <f t="shared" si="181"/>
        <v>1032.1000000000004</v>
      </c>
      <c r="K1967" s="8">
        <f t="shared" si="182"/>
        <v>0.31713987217305811</v>
      </c>
      <c r="L1967" t="str">
        <f t="shared" si="185"/>
        <v>2024-06</v>
      </c>
      <c r="M1967">
        <f t="shared" si="183"/>
        <v>1032.1000000000004</v>
      </c>
    </row>
    <row r="1968" spans="1:13" x14ac:dyDescent="0.25">
      <c r="A1968" s="1">
        <v>44598</v>
      </c>
      <c r="B1968" t="s">
        <v>25</v>
      </c>
      <c r="C1968" t="s">
        <v>15</v>
      </c>
      <c r="D1968" t="s">
        <v>17</v>
      </c>
      <c r="E1968">
        <v>966.99</v>
      </c>
      <c r="F1968">
        <v>506.87</v>
      </c>
      <c r="G1968">
        <v>8</v>
      </c>
      <c r="H1968">
        <f t="shared" si="180"/>
        <v>7735.92</v>
      </c>
      <c r="I1968">
        <f t="shared" si="184"/>
        <v>4054.96</v>
      </c>
      <c r="J1968">
        <f t="shared" si="181"/>
        <v>3680.96</v>
      </c>
      <c r="K1968" s="8">
        <f t="shared" si="182"/>
        <v>0.47582705095192296</v>
      </c>
      <c r="L1968" t="str">
        <f t="shared" si="185"/>
        <v>2022-02</v>
      </c>
      <c r="M1968">
        <f t="shared" si="183"/>
        <v>3680.96</v>
      </c>
    </row>
    <row r="1969" spans="1:13" x14ac:dyDescent="0.25">
      <c r="A1969" s="1">
        <v>45117</v>
      </c>
      <c r="B1969" t="s">
        <v>23</v>
      </c>
      <c r="C1969" t="s">
        <v>11</v>
      </c>
      <c r="D1969" t="s">
        <v>18</v>
      </c>
      <c r="E1969">
        <v>903.76</v>
      </c>
      <c r="F1969">
        <v>555.77</v>
      </c>
      <c r="G1969">
        <v>7</v>
      </c>
      <c r="H1969">
        <f t="shared" si="180"/>
        <v>6326.32</v>
      </c>
      <c r="I1969">
        <f t="shared" si="184"/>
        <v>3890.39</v>
      </c>
      <c r="J1969">
        <f t="shared" si="181"/>
        <v>2435.9299999999998</v>
      </c>
      <c r="K1969" s="8">
        <f t="shared" si="182"/>
        <v>0.38504691511020622</v>
      </c>
      <c r="L1969" t="str">
        <f t="shared" si="185"/>
        <v>2023-07</v>
      </c>
      <c r="M1969">
        <f t="shared" si="183"/>
        <v>2435.9299999999998</v>
      </c>
    </row>
    <row r="1970" spans="1:13" x14ac:dyDescent="0.25">
      <c r="A1970" s="1">
        <v>45308</v>
      </c>
      <c r="B1970" t="s">
        <v>12</v>
      </c>
      <c r="C1970" t="s">
        <v>8</v>
      </c>
      <c r="D1970" t="s">
        <v>18</v>
      </c>
      <c r="E1970">
        <v>1028.58</v>
      </c>
      <c r="F1970">
        <v>844.22</v>
      </c>
      <c r="G1970">
        <v>1</v>
      </c>
      <c r="H1970">
        <f t="shared" si="180"/>
        <v>1028.58</v>
      </c>
      <c r="I1970">
        <f t="shared" si="184"/>
        <v>844.22</v>
      </c>
      <c r="J1970">
        <f t="shared" si="181"/>
        <v>184.3599999999999</v>
      </c>
      <c r="K1970" s="8">
        <f t="shared" si="182"/>
        <v>0.17923739524392843</v>
      </c>
      <c r="L1970" t="str">
        <f t="shared" si="185"/>
        <v>2024-01</v>
      </c>
      <c r="M1970">
        <f t="shared" si="183"/>
        <v>184.3599999999999</v>
      </c>
    </row>
    <row r="1971" spans="1:13" x14ac:dyDescent="0.25">
      <c r="A1971" s="1">
        <v>44600</v>
      </c>
      <c r="B1971" t="s">
        <v>10</v>
      </c>
      <c r="C1971" t="s">
        <v>11</v>
      </c>
      <c r="D1971" t="s">
        <v>13</v>
      </c>
      <c r="E1971">
        <v>1475.94</v>
      </c>
      <c r="F1971">
        <v>1108.6199999999999</v>
      </c>
      <c r="G1971">
        <v>9</v>
      </c>
      <c r="H1971">
        <f t="shared" si="180"/>
        <v>13283.460000000001</v>
      </c>
      <c r="I1971">
        <f t="shared" si="184"/>
        <v>9977.5799999999981</v>
      </c>
      <c r="J1971">
        <f t="shared" si="181"/>
        <v>3305.8800000000028</v>
      </c>
      <c r="K1971" s="8">
        <f t="shared" si="182"/>
        <v>0.24887190536200679</v>
      </c>
      <c r="L1971" t="str">
        <f t="shared" si="185"/>
        <v>2022-02</v>
      </c>
      <c r="M1971">
        <f t="shared" si="183"/>
        <v>3305.8800000000028</v>
      </c>
    </row>
    <row r="1972" spans="1:13" x14ac:dyDescent="0.25">
      <c r="A1972" s="1">
        <v>45441</v>
      </c>
      <c r="B1972" t="s">
        <v>24</v>
      </c>
      <c r="C1972" t="s">
        <v>20</v>
      </c>
      <c r="D1972" t="s">
        <v>18</v>
      </c>
      <c r="E1972">
        <v>80.400000000000006</v>
      </c>
      <c r="F1972">
        <v>62.5</v>
      </c>
      <c r="G1972">
        <v>7</v>
      </c>
      <c r="H1972">
        <f t="shared" si="180"/>
        <v>562.80000000000007</v>
      </c>
      <c r="I1972">
        <f t="shared" si="184"/>
        <v>437.5</v>
      </c>
      <c r="J1972">
        <f t="shared" si="181"/>
        <v>125.30000000000007</v>
      </c>
      <c r="K1972" s="8">
        <f t="shared" si="182"/>
        <v>0.22263681592039811</v>
      </c>
      <c r="L1972" t="str">
        <f t="shared" si="185"/>
        <v>2024-05</v>
      </c>
      <c r="M1972">
        <f t="shared" si="183"/>
        <v>125.30000000000007</v>
      </c>
    </row>
    <row r="1973" spans="1:13" x14ac:dyDescent="0.25">
      <c r="A1973" s="1">
        <v>45372</v>
      </c>
      <c r="B1973" t="s">
        <v>22</v>
      </c>
      <c r="C1973" t="s">
        <v>8</v>
      </c>
      <c r="D1973" t="s">
        <v>9</v>
      </c>
      <c r="E1973">
        <v>687.2</v>
      </c>
      <c r="F1973">
        <v>346.79</v>
      </c>
      <c r="G1973">
        <v>8</v>
      </c>
      <c r="H1973">
        <f t="shared" si="180"/>
        <v>5497.6</v>
      </c>
      <c r="I1973">
        <f t="shared" si="184"/>
        <v>2774.32</v>
      </c>
      <c r="J1973">
        <f t="shared" si="181"/>
        <v>2723.28</v>
      </c>
      <c r="K1973" s="8">
        <f t="shared" si="182"/>
        <v>0.49535797438882423</v>
      </c>
      <c r="L1973" t="str">
        <f t="shared" si="185"/>
        <v>2024-03</v>
      </c>
      <c r="M1973">
        <f t="shared" si="183"/>
        <v>2723.28</v>
      </c>
    </row>
    <row r="1974" spans="1:13" x14ac:dyDescent="0.25">
      <c r="A1974" s="1">
        <v>44763</v>
      </c>
      <c r="B1974" t="s">
        <v>10</v>
      </c>
      <c r="C1974" t="s">
        <v>11</v>
      </c>
      <c r="D1974" t="s">
        <v>17</v>
      </c>
      <c r="E1974">
        <v>1904.01</v>
      </c>
      <c r="F1974">
        <v>1170.74</v>
      </c>
      <c r="G1974">
        <v>1</v>
      </c>
      <c r="H1974">
        <f t="shared" si="180"/>
        <v>1904.01</v>
      </c>
      <c r="I1974">
        <f t="shared" si="184"/>
        <v>1170.74</v>
      </c>
      <c r="J1974">
        <f t="shared" si="181"/>
        <v>733.27</v>
      </c>
      <c r="K1974" s="8">
        <f t="shared" si="182"/>
        <v>0.38511877563668256</v>
      </c>
      <c r="L1974" t="str">
        <f t="shared" si="185"/>
        <v>2022-07</v>
      </c>
      <c r="M1974">
        <f t="shared" si="183"/>
        <v>733.27</v>
      </c>
    </row>
    <row r="1975" spans="1:13" x14ac:dyDescent="0.25">
      <c r="A1975" s="1">
        <v>45293</v>
      </c>
      <c r="B1975" t="s">
        <v>22</v>
      </c>
      <c r="C1975" t="s">
        <v>8</v>
      </c>
      <c r="D1975" t="s">
        <v>9</v>
      </c>
      <c r="E1975">
        <v>1796.75</v>
      </c>
      <c r="F1975">
        <v>1174.6400000000001</v>
      </c>
      <c r="G1975">
        <v>2</v>
      </c>
      <c r="H1975">
        <f t="shared" si="180"/>
        <v>3593.5</v>
      </c>
      <c r="I1975">
        <f t="shared" si="184"/>
        <v>2349.2800000000002</v>
      </c>
      <c r="J1975">
        <f t="shared" si="181"/>
        <v>1244.2199999999998</v>
      </c>
      <c r="K1975" s="8">
        <f t="shared" si="182"/>
        <v>0.34624182551829685</v>
      </c>
      <c r="L1975" t="str">
        <f t="shared" si="185"/>
        <v>2024-01</v>
      </c>
      <c r="M1975">
        <f t="shared" si="183"/>
        <v>1244.2199999999998</v>
      </c>
    </row>
    <row r="1976" spans="1:13" x14ac:dyDescent="0.25">
      <c r="A1976" s="1">
        <v>44587</v>
      </c>
      <c r="B1976" t="s">
        <v>23</v>
      </c>
      <c r="C1976" t="s">
        <v>11</v>
      </c>
      <c r="D1976" t="s">
        <v>13</v>
      </c>
      <c r="E1976">
        <v>168.47</v>
      </c>
      <c r="F1976">
        <v>93.5</v>
      </c>
      <c r="G1976">
        <v>7</v>
      </c>
      <c r="H1976">
        <f t="shared" si="180"/>
        <v>1179.29</v>
      </c>
      <c r="I1976">
        <f t="shared" si="184"/>
        <v>654.5</v>
      </c>
      <c r="J1976">
        <f t="shared" si="181"/>
        <v>524.79</v>
      </c>
      <c r="K1976" s="8">
        <f t="shared" si="182"/>
        <v>0.44500504540867808</v>
      </c>
      <c r="L1976" t="str">
        <f t="shared" si="185"/>
        <v>2022-01</v>
      </c>
      <c r="M1976">
        <f t="shared" si="183"/>
        <v>524.79</v>
      </c>
    </row>
    <row r="1977" spans="1:13" x14ac:dyDescent="0.25">
      <c r="A1977" s="1">
        <v>44960</v>
      </c>
      <c r="B1977" t="s">
        <v>14</v>
      </c>
      <c r="C1977" t="s">
        <v>15</v>
      </c>
      <c r="D1977" t="s">
        <v>18</v>
      </c>
      <c r="E1977">
        <v>556.14</v>
      </c>
      <c r="F1977">
        <v>489.26</v>
      </c>
      <c r="G1977">
        <v>9</v>
      </c>
      <c r="H1977">
        <f t="shared" si="180"/>
        <v>5005.26</v>
      </c>
      <c r="I1977">
        <f t="shared" si="184"/>
        <v>4403.34</v>
      </c>
      <c r="J1977">
        <f t="shared" si="181"/>
        <v>601.92000000000007</v>
      </c>
      <c r="K1977" s="8">
        <f t="shared" si="182"/>
        <v>0.12025748912144425</v>
      </c>
      <c r="L1977" t="str">
        <f t="shared" si="185"/>
        <v>2023-02</v>
      </c>
      <c r="M1977">
        <f t="shared" si="183"/>
        <v>601.92000000000007</v>
      </c>
    </row>
    <row r="1978" spans="1:13" x14ac:dyDescent="0.25">
      <c r="A1978" s="1">
        <v>44714</v>
      </c>
      <c r="B1978" t="s">
        <v>24</v>
      </c>
      <c r="C1978" t="s">
        <v>20</v>
      </c>
      <c r="D1978" t="s">
        <v>17</v>
      </c>
      <c r="E1978">
        <v>36.409999999999997</v>
      </c>
      <c r="F1978">
        <v>25.64</v>
      </c>
      <c r="G1978">
        <v>2</v>
      </c>
      <c r="H1978">
        <f t="shared" si="180"/>
        <v>72.819999999999993</v>
      </c>
      <c r="I1978">
        <f t="shared" si="184"/>
        <v>51.28</v>
      </c>
      <c r="J1978">
        <f t="shared" si="181"/>
        <v>21.539999999999992</v>
      </c>
      <c r="K1978" s="8">
        <f t="shared" si="182"/>
        <v>0.29579785773139239</v>
      </c>
      <c r="L1978" t="str">
        <f t="shared" si="185"/>
        <v>2022-06</v>
      </c>
      <c r="M1978">
        <f t="shared" si="183"/>
        <v>21.539999999999992</v>
      </c>
    </row>
    <row r="1979" spans="1:13" x14ac:dyDescent="0.25">
      <c r="A1979" s="1">
        <v>45266</v>
      </c>
      <c r="B1979" t="s">
        <v>23</v>
      </c>
      <c r="C1979" t="s">
        <v>11</v>
      </c>
      <c r="D1979" t="s">
        <v>17</v>
      </c>
      <c r="E1979">
        <v>798.86</v>
      </c>
      <c r="F1979">
        <v>463.19</v>
      </c>
      <c r="G1979">
        <v>9</v>
      </c>
      <c r="H1979">
        <f t="shared" si="180"/>
        <v>7189.74</v>
      </c>
      <c r="I1979">
        <f t="shared" si="184"/>
        <v>4168.71</v>
      </c>
      <c r="J1979">
        <f t="shared" si="181"/>
        <v>3021.0299999999997</v>
      </c>
      <c r="K1979" s="8">
        <f t="shared" si="182"/>
        <v>0.42018626542823523</v>
      </c>
      <c r="L1979" t="str">
        <f t="shared" si="185"/>
        <v>2023-12</v>
      </c>
      <c r="M1979">
        <f t="shared" si="183"/>
        <v>3021.0299999999997</v>
      </c>
    </row>
    <row r="1980" spans="1:13" x14ac:dyDescent="0.25">
      <c r="A1980" s="1">
        <v>45132</v>
      </c>
      <c r="B1980" t="s">
        <v>16</v>
      </c>
      <c r="C1980" t="s">
        <v>15</v>
      </c>
      <c r="D1980" t="s">
        <v>13</v>
      </c>
      <c r="E1980">
        <v>988.18</v>
      </c>
      <c r="F1980">
        <v>517.17999999999995</v>
      </c>
      <c r="G1980">
        <v>3</v>
      </c>
      <c r="H1980">
        <f t="shared" si="180"/>
        <v>2964.54</v>
      </c>
      <c r="I1980">
        <f t="shared" si="184"/>
        <v>1551.54</v>
      </c>
      <c r="J1980">
        <f t="shared" si="181"/>
        <v>1413</v>
      </c>
      <c r="K1980" s="8">
        <f t="shared" si="182"/>
        <v>0.4766338116537473</v>
      </c>
      <c r="L1980" t="str">
        <f t="shared" si="185"/>
        <v>2023-07</v>
      </c>
      <c r="M1980">
        <f t="shared" si="183"/>
        <v>1413</v>
      </c>
    </row>
    <row r="1981" spans="1:13" x14ac:dyDescent="0.25">
      <c r="A1981" s="1">
        <v>45048</v>
      </c>
      <c r="B1981" t="s">
        <v>19</v>
      </c>
      <c r="C1981" t="s">
        <v>20</v>
      </c>
      <c r="D1981" t="s">
        <v>17</v>
      </c>
      <c r="E1981">
        <v>1859.99</v>
      </c>
      <c r="F1981">
        <v>1377.55</v>
      </c>
      <c r="G1981">
        <v>2</v>
      </c>
      <c r="H1981">
        <f t="shared" si="180"/>
        <v>3719.98</v>
      </c>
      <c r="I1981">
        <f t="shared" si="184"/>
        <v>2755.1</v>
      </c>
      <c r="J1981">
        <f t="shared" si="181"/>
        <v>964.88000000000011</v>
      </c>
      <c r="K1981" s="8">
        <f t="shared" si="182"/>
        <v>0.25937773858999247</v>
      </c>
      <c r="L1981" t="str">
        <f t="shared" si="185"/>
        <v>2023-05</v>
      </c>
      <c r="M1981">
        <f t="shared" si="183"/>
        <v>964.88000000000011</v>
      </c>
    </row>
    <row r="1982" spans="1:13" x14ac:dyDescent="0.25">
      <c r="A1982" s="1">
        <v>44595</v>
      </c>
      <c r="B1982" t="s">
        <v>14</v>
      </c>
      <c r="C1982" t="s">
        <v>15</v>
      </c>
      <c r="D1982" t="s">
        <v>17</v>
      </c>
      <c r="E1982">
        <v>879.58</v>
      </c>
      <c r="F1982">
        <v>461.93</v>
      </c>
      <c r="G1982">
        <v>2</v>
      </c>
      <c r="H1982">
        <f t="shared" si="180"/>
        <v>1759.16</v>
      </c>
      <c r="I1982">
        <f t="shared" si="184"/>
        <v>923.86</v>
      </c>
      <c r="J1982">
        <f t="shared" si="181"/>
        <v>835.30000000000007</v>
      </c>
      <c r="K1982" s="8">
        <f t="shared" si="182"/>
        <v>0.47482889560926805</v>
      </c>
      <c r="L1982" t="str">
        <f t="shared" si="185"/>
        <v>2022-02</v>
      </c>
      <c r="M1982">
        <f t="shared" si="183"/>
        <v>835.30000000000007</v>
      </c>
    </row>
    <row r="1983" spans="1:13" x14ac:dyDescent="0.25">
      <c r="A1983" s="1">
        <v>45335</v>
      </c>
      <c r="B1983" t="s">
        <v>25</v>
      </c>
      <c r="C1983" t="s">
        <v>15</v>
      </c>
      <c r="D1983" t="s">
        <v>9</v>
      </c>
      <c r="E1983">
        <v>272.22000000000003</v>
      </c>
      <c r="F1983">
        <v>206.01</v>
      </c>
      <c r="G1983">
        <v>2</v>
      </c>
      <c r="H1983">
        <f t="shared" si="180"/>
        <v>544.44000000000005</v>
      </c>
      <c r="I1983">
        <f t="shared" si="184"/>
        <v>412.02</v>
      </c>
      <c r="J1983">
        <f t="shared" si="181"/>
        <v>132.42000000000007</v>
      </c>
      <c r="K1983" s="8">
        <f t="shared" si="182"/>
        <v>0.2432223936521932</v>
      </c>
      <c r="L1983" t="str">
        <f t="shared" si="185"/>
        <v>2024-02</v>
      </c>
      <c r="M1983">
        <f t="shared" si="183"/>
        <v>132.42000000000007</v>
      </c>
    </row>
    <row r="1984" spans="1:13" x14ac:dyDescent="0.25">
      <c r="A1984" s="1">
        <v>44806</v>
      </c>
      <c r="B1984" t="s">
        <v>23</v>
      </c>
      <c r="C1984" t="s">
        <v>11</v>
      </c>
      <c r="D1984" t="s">
        <v>13</v>
      </c>
      <c r="E1984">
        <v>1442.21</v>
      </c>
      <c r="F1984">
        <v>1108.51</v>
      </c>
      <c r="G1984">
        <v>2</v>
      </c>
      <c r="H1984">
        <f t="shared" si="180"/>
        <v>2884.42</v>
      </c>
      <c r="I1984">
        <f t="shared" si="184"/>
        <v>2217.02</v>
      </c>
      <c r="J1984">
        <f t="shared" si="181"/>
        <v>667.40000000000009</v>
      </c>
      <c r="K1984" s="8">
        <f t="shared" si="182"/>
        <v>0.2313810055401086</v>
      </c>
      <c r="L1984" t="str">
        <f t="shared" si="185"/>
        <v>2022-09</v>
      </c>
      <c r="M1984">
        <f t="shared" si="183"/>
        <v>667.40000000000009</v>
      </c>
    </row>
    <row r="1985" spans="1:13" x14ac:dyDescent="0.25">
      <c r="A1985" s="1">
        <v>44887</v>
      </c>
      <c r="B1985" t="s">
        <v>25</v>
      </c>
      <c r="C1985" t="s">
        <v>15</v>
      </c>
      <c r="D1985" t="s">
        <v>18</v>
      </c>
      <c r="E1985">
        <v>1077.73</v>
      </c>
      <c r="F1985">
        <v>878.44</v>
      </c>
      <c r="G1985">
        <v>7</v>
      </c>
      <c r="H1985">
        <f t="shared" si="180"/>
        <v>7544.1100000000006</v>
      </c>
      <c r="I1985">
        <f t="shared" si="184"/>
        <v>6149.08</v>
      </c>
      <c r="J1985">
        <f t="shared" si="181"/>
        <v>1395.0300000000007</v>
      </c>
      <c r="K1985" s="8">
        <f t="shared" si="182"/>
        <v>0.18491644474961269</v>
      </c>
      <c r="L1985" t="str">
        <f t="shared" si="185"/>
        <v>2022-11</v>
      </c>
      <c r="M1985">
        <f t="shared" si="183"/>
        <v>1395.0300000000007</v>
      </c>
    </row>
    <row r="1986" spans="1:13" x14ac:dyDescent="0.25">
      <c r="A1986" s="1">
        <v>45599</v>
      </c>
      <c r="B1986" t="s">
        <v>24</v>
      </c>
      <c r="C1986" t="s">
        <v>20</v>
      </c>
      <c r="D1986" t="s">
        <v>9</v>
      </c>
      <c r="E1986">
        <v>1164.57</v>
      </c>
      <c r="F1986">
        <v>641.91</v>
      </c>
      <c r="G1986">
        <v>1</v>
      </c>
      <c r="H1986">
        <f t="shared" si="180"/>
        <v>1164.57</v>
      </c>
      <c r="I1986">
        <f t="shared" si="184"/>
        <v>641.91</v>
      </c>
      <c r="J1986">
        <f t="shared" si="181"/>
        <v>522.66</v>
      </c>
      <c r="K1986" s="8">
        <f t="shared" si="182"/>
        <v>0.44880084494706202</v>
      </c>
      <c r="L1986" t="str">
        <f t="shared" si="185"/>
        <v>2024-11</v>
      </c>
      <c r="M1986">
        <f t="shared" si="183"/>
        <v>522.66</v>
      </c>
    </row>
    <row r="1987" spans="1:13" x14ac:dyDescent="0.25">
      <c r="A1987" s="1">
        <v>44861</v>
      </c>
      <c r="B1987" t="s">
        <v>22</v>
      </c>
      <c r="C1987" t="s">
        <v>8</v>
      </c>
      <c r="D1987" t="s">
        <v>18</v>
      </c>
      <c r="E1987">
        <v>28.3</v>
      </c>
      <c r="F1987">
        <v>19.77</v>
      </c>
      <c r="G1987">
        <v>5</v>
      </c>
      <c r="H1987">
        <f t="shared" ref="H1987:H2050" si="186">E1987*G1987</f>
        <v>141.5</v>
      </c>
      <c r="I1987">
        <f t="shared" si="184"/>
        <v>98.85</v>
      </c>
      <c r="J1987">
        <f t="shared" ref="J1987:J2050" si="187">H1987-I1987</f>
        <v>42.650000000000006</v>
      </c>
      <c r="K1987" s="8">
        <f t="shared" ref="K1987:K2050" si="188">(H1987-I1987)/H1987</f>
        <v>0.30141342756183748</v>
      </c>
      <c r="L1987" t="str">
        <f t="shared" si="185"/>
        <v>2022-10</v>
      </c>
      <c r="M1987">
        <f t="shared" ref="M1987:M2050" si="189">H1987-I1987</f>
        <v>42.650000000000006</v>
      </c>
    </row>
    <row r="1988" spans="1:13" x14ac:dyDescent="0.25">
      <c r="A1988" s="1">
        <v>44685</v>
      </c>
      <c r="B1988" t="s">
        <v>16</v>
      </c>
      <c r="C1988" t="s">
        <v>15</v>
      </c>
      <c r="D1988" t="s">
        <v>17</v>
      </c>
      <c r="E1988">
        <v>850.01</v>
      </c>
      <c r="F1988">
        <v>544.05999999999995</v>
      </c>
      <c r="G1988">
        <v>4</v>
      </c>
      <c r="H1988">
        <f t="shared" si="186"/>
        <v>3400.04</v>
      </c>
      <c r="I1988">
        <f t="shared" ref="I1988:I2051" si="190">F1988*G1988</f>
        <v>2176.2399999999998</v>
      </c>
      <c r="J1988">
        <f t="shared" si="187"/>
        <v>1223.8000000000002</v>
      </c>
      <c r="K1988" s="8">
        <f t="shared" si="188"/>
        <v>0.35993694191833042</v>
      </c>
      <c r="L1988" t="str">
        <f t="shared" ref="L1988:L2051" si="191">TEXT(A1988,"rrrr-mm")</f>
        <v>2022-05</v>
      </c>
      <c r="M1988">
        <f t="shared" si="189"/>
        <v>1223.8000000000002</v>
      </c>
    </row>
    <row r="1989" spans="1:13" x14ac:dyDescent="0.25">
      <c r="A1989" s="1">
        <v>45007</v>
      </c>
      <c r="B1989" t="s">
        <v>25</v>
      </c>
      <c r="C1989" t="s">
        <v>15</v>
      </c>
      <c r="D1989" t="s">
        <v>18</v>
      </c>
      <c r="E1989">
        <v>947.73</v>
      </c>
      <c r="F1989">
        <v>835.98</v>
      </c>
      <c r="G1989">
        <v>10</v>
      </c>
      <c r="H1989">
        <f t="shared" si="186"/>
        <v>9477.2999999999993</v>
      </c>
      <c r="I1989">
        <f t="shared" si="190"/>
        <v>8359.7999999999993</v>
      </c>
      <c r="J1989">
        <f t="shared" si="187"/>
        <v>1117.5</v>
      </c>
      <c r="K1989" s="8">
        <f t="shared" si="188"/>
        <v>0.11791332974581369</v>
      </c>
      <c r="L1989" t="str">
        <f t="shared" si="191"/>
        <v>2023-03</v>
      </c>
      <c r="M1989">
        <f t="shared" si="189"/>
        <v>1117.5</v>
      </c>
    </row>
    <row r="1990" spans="1:13" x14ac:dyDescent="0.25">
      <c r="A1990" s="1">
        <v>44649</v>
      </c>
      <c r="B1990" t="s">
        <v>19</v>
      </c>
      <c r="C1990" t="s">
        <v>20</v>
      </c>
      <c r="D1990" t="s">
        <v>18</v>
      </c>
      <c r="E1990">
        <v>1448.52</v>
      </c>
      <c r="F1990">
        <v>1018.72</v>
      </c>
      <c r="G1990">
        <v>9</v>
      </c>
      <c r="H1990">
        <f t="shared" si="186"/>
        <v>13036.68</v>
      </c>
      <c r="I1990">
        <f t="shared" si="190"/>
        <v>9168.48</v>
      </c>
      <c r="J1990">
        <f t="shared" si="187"/>
        <v>3868.2000000000007</v>
      </c>
      <c r="K1990" s="8">
        <f t="shared" si="188"/>
        <v>0.29671664871731152</v>
      </c>
      <c r="L1990" t="str">
        <f t="shared" si="191"/>
        <v>2022-03</v>
      </c>
      <c r="M1990">
        <f t="shared" si="189"/>
        <v>3868.2000000000007</v>
      </c>
    </row>
    <row r="1991" spans="1:13" x14ac:dyDescent="0.25">
      <c r="A1991" s="1">
        <v>45479</v>
      </c>
      <c r="B1991" t="s">
        <v>12</v>
      </c>
      <c r="C1991" t="s">
        <v>8</v>
      </c>
      <c r="D1991" t="s">
        <v>17</v>
      </c>
      <c r="E1991">
        <v>919.84</v>
      </c>
      <c r="F1991">
        <v>486.83</v>
      </c>
      <c r="G1991">
        <v>5</v>
      </c>
      <c r="H1991">
        <f t="shared" si="186"/>
        <v>4599.2</v>
      </c>
      <c r="I1991">
        <f t="shared" si="190"/>
        <v>2434.15</v>
      </c>
      <c r="J1991">
        <f t="shared" si="187"/>
        <v>2165.0499999999997</v>
      </c>
      <c r="K1991" s="8">
        <f t="shared" si="188"/>
        <v>0.47074491215863623</v>
      </c>
      <c r="L1991" t="str">
        <f t="shared" si="191"/>
        <v>2024-07</v>
      </c>
      <c r="M1991">
        <f t="shared" si="189"/>
        <v>2165.0499999999997</v>
      </c>
    </row>
    <row r="1992" spans="1:13" x14ac:dyDescent="0.25">
      <c r="A1992" s="1">
        <v>45336</v>
      </c>
      <c r="B1992" t="s">
        <v>10</v>
      </c>
      <c r="C1992" t="s">
        <v>11</v>
      </c>
      <c r="D1992" t="s">
        <v>17</v>
      </c>
      <c r="E1992">
        <v>1478.44</v>
      </c>
      <c r="F1992">
        <v>807.94</v>
      </c>
      <c r="G1992">
        <v>1</v>
      </c>
      <c r="H1992">
        <f t="shared" si="186"/>
        <v>1478.44</v>
      </c>
      <c r="I1992">
        <f t="shared" si="190"/>
        <v>807.94</v>
      </c>
      <c r="J1992">
        <f t="shared" si="187"/>
        <v>670.5</v>
      </c>
      <c r="K1992" s="8">
        <f t="shared" si="188"/>
        <v>0.45351857363166581</v>
      </c>
      <c r="L1992" t="str">
        <f t="shared" si="191"/>
        <v>2024-02</v>
      </c>
      <c r="M1992">
        <f t="shared" si="189"/>
        <v>670.5</v>
      </c>
    </row>
    <row r="1993" spans="1:13" x14ac:dyDescent="0.25">
      <c r="A1993" s="1">
        <v>45405</v>
      </c>
      <c r="B1993" t="s">
        <v>14</v>
      </c>
      <c r="C1993" t="s">
        <v>15</v>
      </c>
      <c r="D1993" t="s">
        <v>13</v>
      </c>
      <c r="E1993">
        <v>147.28</v>
      </c>
      <c r="F1993">
        <v>116.15</v>
      </c>
      <c r="G1993">
        <v>8</v>
      </c>
      <c r="H1993">
        <f t="shared" si="186"/>
        <v>1178.24</v>
      </c>
      <c r="I1993">
        <f t="shared" si="190"/>
        <v>929.2</v>
      </c>
      <c r="J1993">
        <f t="shared" si="187"/>
        <v>249.03999999999996</v>
      </c>
      <c r="K1993" s="8">
        <f t="shared" si="188"/>
        <v>0.21136610537751219</v>
      </c>
      <c r="L1993" t="str">
        <f t="shared" si="191"/>
        <v>2024-04</v>
      </c>
      <c r="M1993">
        <f t="shared" si="189"/>
        <v>249.03999999999996</v>
      </c>
    </row>
    <row r="1994" spans="1:13" x14ac:dyDescent="0.25">
      <c r="A1994" s="1">
        <v>45274</v>
      </c>
      <c r="B1994" t="s">
        <v>19</v>
      </c>
      <c r="C1994" t="s">
        <v>20</v>
      </c>
      <c r="D1994" t="s">
        <v>9</v>
      </c>
      <c r="E1994">
        <v>120.79</v>
      </c>
      <c r="F1994">
        <v>75.28</v>
      </c>
      <c r="G1994">
        <v>5</v>
      </c>
      <c r="H1994">
        <f t="shared" si="186"/>
        <v>603.95000000000005</v>
      </c>
      <c r="I1994">
        <f t="shared" si="190"/>
        <v>376.4</v>
      </c>
      <c r="J1994">
        <f t="shared" si="187"/>
        <v>227.55000000000007</v>
      </c>
      <c r="K1994" s="8">
        <f t="shared" si="188"/>
        <v>0.37676960013246136</v>
      </c>
      <c r="L1994" t="str">
        <f t="shared" si="191"/>
        <v>2023-12</v>
      </c>
      <c r="M1994">
        <f t="shared" si="189"/>
        <v>227.55000000000007</v>
      </c>
    </row>
    <row r="1995" spans="1:13" x14ac:dyDescent="0.25">
      <c r="A1995" s="1">
        <v>45516</v>
      </c>
      <c r="B1995" t="s">
        <v>12</v>
      </c>
      <c r="C1995" t="s">
        <v>8</v>
      </c>
      <c r="D1995" t="s">
        <v>13</v>
      </c>
      <c r="E1995">
        <v>882.64</v>
      </c>
      <c r="F1995">
        <v>625.79999999999995</v>
      </c>
      <c r="G1995">
        <v>7</v>
      </c>
      <c r="H1995">
        <f t="shared" si="186"/>
        <v>6178.48</v>
      </c>
      <c r="I1995">
        <f t="shared" si="190"/>
        <v>4380.5999999999995</v>
      </c>
      <c r="J1995">
        <f t="shared" si="187"/>
        <v>1797.88</v>
      </c>
      <c r="K1995" s="8">
        <f t="shared" si="188"/>
        <v>0.29099066437052484</v>
      </c>
      <c r="L1995" t="str">
        <f t="shared" si="191"/>
        <v>2024-08</v>
      </c>
      <c r="M1995">
        <f t="shared" si="189"/>
        <v>1797.88</v>
      </c>
    </row>
    <row r="1996" spans="1:13" x14ac:dyDescent="0.25">
      <c r="A1996" s="1">
        <v>45553</v>
      </c>
      <c r="B1996" t="s">
        <v>16</v>
      </c>
      <c r="C1996" t="s">
        <v>15</v>
      </c>
      <c r="D1996" t="s">
        <v>13</v>
      </c>
      <c r="E1996">
        <v>620.16</v>
      </c>
      <c r="F1996">
        <v>415.69</v>
      </c>
      <c r="G1996">
        <v>7</v>
      </c>
      <c r="H1996">
        <f t="shared" si="186"/>
        <v>4341.12</v>
      </c>
      <c r="I1996">
        <f t="shared" si="190"/>
        <v>2909.83</v>
      </c>
      <c r="J1996">
        <f t="shared" si="187"/>
        <v>1431.29</v>
      </c>
      <c r="K1996" s="8">
        <f t="shared" si="188"/>
        <v>0.32970523735810114</v>
      </c>
      <c r="L1996" t="str">
        <f t="shared" si="191"/>
        <v>2024-09</v>
      </c>
      <c r="M1996">
        <f t="shared" si="189"/>
        <v>1431.29</v>
      </c>
    </row>
    <row r="1997" spans="1:13" x14ac:dyDescent="0.25">
      <c r="A1997" s="1">
        <v>44822</v>
      </c>
      <c r="B1997" t="s">
        <v>7</v>
      </c>
      <c r="C1997" t="s">
        <v>8</v>
      </c>
      <c r="D1997" t="s">
        <v>17</v>
      </c>
      <c r="E1997">
        <v>1523.48</v>
      </c>
      <c r="F1997">
        <v>935.36</v>
      </c>
      <c r="G1997">
        <v>10</v>
      </c>
      <c r="H1997">
        <f t="shared" si="186"/>
        <v>15234.8</v>
      </c>
      <c r="I1997">
        <f t="shared" si="190"/>
        <v>9353.6</v>
      </c>
      <c r="J1997">
        <f t="shared" si="187"/>
        <v>5881.1999999999989</v>
      </c>
      <c r="K1997" s="8">
        <f t="shared" si="188"/>
        <v>0.38603723055110661</v>
      </c>
      <c r="L1997" t="str">
        <f t="shared" si="191"/>
        <v>2022-09</v>
      </c>
      <c r="M1997">
        <f t="shared" si="189"/>
        <v>5881.1999999999989</v>
      </c>
    </row>
    <row r="1998" spans="1:13" x14ac:dyDescent="0.25">
      <c r="A1998" s="1">
        <v>45179</v>
      </c>
      <c r="B1998" t="s">
        <v>23</v>
      </c>
      <c r="C1998" t="s">
        <v>11</v>
      </c>
      <c r="D1998" t="s">
        <v>18</v>
      </c>
      <c r="E1998">
        <v>966.71</v>
      </c>
      <c r="F1998">
        <v>746.83</v>
      </c>
      <c r="G1998">
        <v>2</v>
      </c>
      <c r="H1998">
        <f t="shared" si="186"/>
        <v>1933.42</v>
      </c>
      <c r="I1998">
        <f t="shared" si="190"/>
        <v>1493.66</v>
      </c>
      <c r="J1998">
        <f t="shared" si="187"/>
        <v>439.76</v>
      </c>
      <c r="K1998" s="8">
        <f t="shared" si="188"/>
        <v>0.22745187284707927</v>
      </c>
      <c r="L1998" t="str">
        <f t="shared" si="191"/>
        <v>2023-09</v>
      </c>
      <c r="M1998">
        <f t="shared" si="189"/>
        <v>439.76</v>
      </c>
    </row>
    <row r="1999" spans="1:13" x14ac:dyDescent="0.25">
      <c r="A1999" s="1">
        <v>45414</v>
      </c>
      <c r="B1999" t="s">
        <v>12</v>
      </c>
      <c r="C1999" t="s">
        <v>8</v>
      </c>
      <c r="D1999" t="s">
        <v>9</v>
      </c>
      <c r="E1999">
        <v>371.83</v>
      </c>
      <c r="F1999">
        <v>309.60000000000002</v>
      </c>
      <c r="G1999">
        <v>2</v>
      </c>
      <c r="H1999">
        <f t="shared" si="186"/>
        <v>743.66</v>
      </c>
      <c r="I1999">
        <f t="shared" si="190"/>
        <v>619.20000000000005</v>
      </c>
      <c r="J1999">
        <f t="shared" si="187"/>
        <v>124.45999999999992</v>
      </c>
      <c r="K1999" s="8">
        <f t="shared" si="188"/>
        <v>0.16736142860984848</v>
      </c>
      <c r="L1999" t="str">
        <f t="shared" si="191"/>
        <v>2024-05</v>
      </c>
      <c r="M1999">
        <f t="shared" si="189"/>
        <v>124.45999999999992</v>
      </c>
    </row>
    <row r="2000" spans="1:13" x14ac:dyDescent="0.25">
      <c r="A2000" s="1">
        <v>44606</v>
      </c>
      <c r="B2000" t="s">
        <v>23</v>
      </c>
      <c r="C2000" t="s">
        <v>11</v>
      </c>
      <c r="D2000" t="s">
        <v>17</v>
      </c>
      <c r="E2000">
        <v>1146.21</v>
      </c>
      <c r="F2000">
        <v>668.7</v>
      </c>
      <c r="G2000">
        <v>1</v>
      </c>
      <c r="H2000">
        <f t="shared" si="186"/>
        <v>1146.21</v>
      </c>
      <c r="I2000">
        <f t="shared" si="190"/>
        <v>668.7</v>
      </c>
      <c r="J2000">
        <f t="shared" si="187"/>
        <v>477.51</v>
      </c>
      <c r="K2000" s="8">
        <f t="shared" si="188"/>
        <v>0.41659905252964113</v>
      </c>
      <c r="L2000" t="str">
        <f t="shared" si="191"/>
        <v>2022-02</v>
      </c>
      <c r="M2000">
        <f t="shared" si="189"/>
        <v>477.51</v>
      </c>
    </row>
    <row r="2001" spans="1:13" x14ac:dyDescent="0.25">
      <c r="A2001" s="1">
        <v>45450</v>
      </c>
      <c r="B2001" t="s">
        <v>16</v>
      </c>
      <c r="C2001" t="s">
        <v>15</v>
      </c>
      <c r="D2001" t="s">
        <v>9</v>
      </c>
      <c r="E2001">
        <v>1536.62</v>
      </c>
      <c r="F2001">
        <v>1318.97</v>
      </c>
      <c r="G2001">
        <v>10</v>
      </c>
      <c r="H2001">
        <f t="shared" si="186"/>
        <v>15366.199999999999</v>
      </c>
      <c r="I2001">
        <f t="shared" si="190"/>
        <v>13189.7</v>
      </c>
      <c r="J2001">
        <f t="shared" si="187"/>
        <v>2176.4999999999982</v>
      </c>
      <c r="K2001" s="8">
        <f t="shared" si="188"/>
        <v>0.14164204552849749</v>
      </c>
      <c r="L2001" t="str">
        <f t="shared" si="191"/>
        <v>2024-06</v>
      </c>
      <c r="M2001">
        <f t="shared" si="189"/>
        <v>2176.4999999999982</v>
      </c>
    </row>
    <row r="2002" spans="1:13" x14ac:dyDescent="0.25">
      <c r="A2002" s="1">
        <v>44660</v>
      </c>
      <c r="B2002" t="s">
        <v>21</v>
      </c>
      <c r="C2002" t="s">
        <v>20</v>
      </c>
      <c r="D2002" t="s">
        <v>17</v>
      </c>
      <c r="E2002">
        <v>276.57</v>
      </c>
      <c r="F2002">
        <v>213.44</v>
      </c>
      <c r="G2002">
        <v>1</v>
      </c>
      <c r="H2002">
        <f t="shared" si="186"/>
        <v>276.57</v>
      </c>
      <c r="I2002">
        <f t="shared" si="190"/>
        <v>213.44</v>
      </c>
      <c r="J2002">
        <f t="shared" si="187"/>
        <v>63.129999999999995</v>
      </c>
      <c r="K2002" s="8">
        <f t="shared" si="188"/>
        <v>0.22826047655204829</v>
      </c>
      <c r="L2002" t="str">
        <f t="shared" si="191"/>
        <v>2022-04</v>
      </c>
      <c r="M2002">
        <f t="shared" si="189"/>
        <v>63.129999999999995</v>
      </c>
    </row>
    <row r="2003" spans="1:13" x14ac:dyDescent="0.25">
      <c r="A2003" s="1">
        <v>45631</v>
      </c>
      <c r="B2003" t="s">
        <v>21</v>
      </c>
      <c r="C2003" t="s">
        <v>20</v>
      </c>
      <c r="D2003" t="s">
        <v>13</v>
      </c>
      <c r="E2003">
        <v>1070.7</v>
      </c>
      <c r="F2003">
        <v>620.98</v>
      </c>
      <c r="G2003">
        <v>2</v>
      </c>
      <c r="H2003">
        <f t="shared" si="186"/>
        <v>2141.4</v>
      </c>
      <c r="I2003">
        <f t="shared" si="190"/>
        <v>1241.96</v>
      </c>
      <c r="J2003">
        <f t="shared" si="187"/>
        <v>899.44</v>
      </c>
      <c r="K2003" s="8">
        <f t="shared" si="188"/>
        <v>0.42002428317922857</v>
      </c>
      <c r="L2003" t="str">
        <f t="shared" si="191"/>
        <v>2024-12</v>
      </c>
      <c r="M2003">
        <f t="shared" si="189"/>
        <v>899.44</v>
      </c>
    </row>
    <row r="2004" spans="1:13" x14ac:dyDescent="0.25">
      <c r="A2004" s="1">
        <v>45466</v>
      </c>
      <c r="B2004" t="s">
        <v>10</v>
      </c>
      <c r="C2004" t="s">
        <v>11</v>
      </c>
      <c r="D2004" t="s">
        <v>17</v>
      </c>
      <c r="E2004">
        <v>1868.02</v>
      </c>
      <c r="F2004">
        <v>1378.48</v>
      </c>
      <c r="G2004">
        <v>4</v>
      </c>
      <c r="H2004">
        <f t="shared" si="186"/>
        <v>7472.08</v>
      </c>
      <c r="I2004">
        <f t="shared" si="190"/>
        <v>5513.92</v>
      </c>
      <c r="J2004">
        <f t="shared" si="187"/>
        <v>1958.1599999999999</v>
      </c>
      <c r="K2004" s="8">
        <f t="shared" si="188"/>
        <v>0.26206357533645247</v>
      </c>
      <c r="L2004" t="str">
        <f t="shared" si="191"/>
        <v>2024-06</v>
      </c>
      <c r="M2004">
        <f t="shared" si="189"/>
        <v>1958.1599999999999</v>
      </c>
    </row>
    <row r="2005" spans="1:13" x14ac:dyDescent="0.25">
      <c r="A2005" s="1">
        <v>44816</v>
      </c>
      <c r="B2005" t="s">
        <v>19</v>
      </c>
      <c r="C2005" t="s">
        <v>20</v>
      </c>
      <c r="D2005" t="s">
        <v>13</v>
      </c>
      <c r="E2005">
        <v>1750.16</v>
      </c>
      <c r="F2005">
        <v>1156.26</v>
      </c>
      <c r="G2005">
        <v>8</v>
      </c>
      <c r="H2005">
        <f t="shared" si="186"/>
        <v>14001.28</v>
      </c>
      <c r="I2005">
        <f t="shared" si="190"/>
        <v>9250.08</v>
      </c>
      <c r="J2005">
        <f t="shared" si="187"/>
        <v>4751.2000000000007</v>
      </c>
      <c r="K2005" s="8">
        <f t="shared" si="188"/>
        <v>0.3393404031631394</v>
      </c>
      <c r="L2005" t="str">
        <f t="shared" si="191"/>
        <v>2022-09</v>
      </c>
      <c r="M2005">
        <f t="shared" si="189"/>
        <v>4751.2000000000007</v>
      </c>
    </row>
    <row r="2006" spans="1:13" x14ac:dyDescent="0.25">
      <c r="A2006" s="1">
        <v>45475</v>
      </c>
      <c r="B2006" t="s">
        <v>19</v>
      </c>
      <c r="C2006" t="s">
        <v>20</v>
      </c>
      <c r="D2006" t="s">
        <v>9</v>
      </c>
      <c r="E2006">
        <v>581.53</v>
      </c>
      <c r="F2006">
        <v>344.4</v>
      </c>
      <c r="G2006">
        <v>3</v>
      </c>
      <c r="H2006">
        <f t="shared" si="186"/>
        <v>1744.59</v>
      </c>
      <c r="I2006">
        <f t="shared" si="190"/>
        <v>1033.1999999999998</v>
      </c>
      <c r="J2006">
        <f t="shared" si="187"/>
        <v>711.3900000000001</v>
      </c>
      <c r="K2006" s="8">
        <f t="shared" si="188"/>
        <v>0.40776916066239066</v>
      </c>
      <c r="L2006" t="str">
        <f t="shared" si="191"/>
        <v>2024-07</v>
      </c>
      <c r="M2006">
        <f t="shared" si="189"/>
        <v>711.3900000000001</v>
      </c>
    </row>
    <row r="2007" spans="1:13" x14ac:dyDescent="0.25">
      <c r="A2007" s="1">
        <v>44996</v>
      </c>
      <c r="B2007" t="s">
        <v>12</v>
      </c>
      <c r="C2007" t="s">
        <v>8</v>
      </c>
      <c r="D2007" t="s">
        <v>18</v>
      </c>
      <c r="E2007">
        <v>1342.44</v>
      </c>
      <c r="F2007">
        <v>803.86</v>
      </c>
      <c r="G2007">
        <v>5</v>
      </c>
      <c r="H2007">
        <f t="shared" si="186"/>
        <v>6712.2000000000007</v>
      </c>
      <c r="I2007">
        <f t="shared" si="190"/>
        <v>4019.3</v>
      </c>
      <c r="J2007">
        <f t="shared" si="187"/>
        <v>2692.9000000000005</v>
      </c>
      <c r="K2007" s="8">
        <f t="shared" si="188"/>
        <v>0.40119483924793664</v>
      </c>
      <c r="L2007" t="str">
        <f t="shared" si="191"/>
        <v>2023-03</v>
      </c>
      <c r="M2007">
        <f t="shared" si="189"/>
        <v>2692.9000000000005</v>
      </c>
    </row>
    <row r="2008" spans="1:13" x14ac:dyDescent="0.25">
      <c r="A2008" s="1">
        <v>45058</v>
      </c>
      <c r="B2008" t="s">
        <v>24</v>
      </c>
      <c r="C2008" t="s">
        <v>20</v>
      </c>
      <c r="D2008" t="s">
        <v>9</v>
      </c>
      <c r="E2008">
        <v>623.45000000000005</v>
      </c>
      <c r="F2008">
        <v>488.77</v>
      </c>
      <c r="G2008">
        <v>2</v>
      </c>
      <c r="H2008">
        <f t="shared" si="186"/>
        <v>1246.9000000000001</v>
      </c>
      <c r="I2008">
        <f t="shared" si="190"/>
        <v>977.54</v>
      </c>
      <c r="J2008">
        <f t="shared" si="187"/>
        <v>269.36000000000013</v>
      </c>
      <c r="K2008" s="8">
        <f t="shared" si="188"/>
        <v>0.21602373887240364</v>
      </c>
      <c r="L2008" t="str">
        <f t="shared" si="191"/>
        <v>2023-05</v>
      </c>
      <c r="M2008">
        <f t="shared" si="189"/>
        <v>269.36000000000013</v>
      </c>
    </row>
    <row r="2009" spans="1:13" x14ac:dyDescent="0.25">
      <c r="A2009" s="1">
        <v>45360</v>
      </c>
      <c r="B2009" t="s">
        <v>24</v>
      </c>
      <c r="C2009" t="s">
        <v>20</v>
      </c>
      <c r="D2009" t="s">
        <v>9</v>
      </c>
      <c r="E2009">
        <v>1486.84</v>
      </c>
      <c r="F2009">
        <v>1335.22</v>
      </c>
      <c r="G2009">
        <v>4</v>
      </c>
      <c r="H2009">
        <f t="shared" si="186"/>
        <v>5947.36</v>
      </c>
      <c r="I2009">
        <f t="shared" si="190"/>
        <v>5340.88</v>
      </c>
      <c r="J2009">
        <f t="shared" si="187"/>
        <v>606.47999999999956</v>
      </c>
      <c r="K2009" s="8">
        <f t="shared" si="188"/>
        <v>0.10197465766323202</v>
      </c>
      <c r="L2009" t="str">
        <f t="shared" si="191"/>
        <v>2024-03</v>
      </c>
      <c r="M2009">
        <f t="shared" si="189"/>
        <v>606.47999999999956</v>
      </c>
    </row>
    <row r="2010" spans="1:13" x14ac:dyDescent="0.25">
      <c r="A2010" s="1">
        <v>45552</v>
      </c>
      <c r="B2010" t="s">
        <v>14</v>
      </c>
      <c r="C2010" t="s">
        <v>15</v>
      </c>
      <c r="D2010" t="s">
        <v>9</v>
      </c>
      <c r="E2010">
        <v>1729.83</v>
      </c>
      <c r="F2010">
        <v>1067.75</v>
      </c>
      <c r="G2010">
        <v>6</v>
      </c>
      <c r="H2010">
        <f t="shared" si="186"/>
        <v>10378.98</v>
      </c>
      <c r="I2010">
        <f t="shared" si="190"/>
        <v>6406.5</v>
      </c>
      <c r="J2010">
        <f t="shared" si="187"/>
        <v>3972.4799999999996</v>
      </c>
      <c r="K2010" s="8">
        <f t="shared" si="188"/>
        <v>0.38274281287756595</v>
      </c>
      <c r="L2010" t="str">
        <f t="shared" si="191"/>
        <v>2024-09</v>
      </c>
      <c r="M2010">
        <f t="shared" si="189"/>
        <v>3972.4799999999996</v>
      </c>
    </row>
    <row r="2011" spans="1:13" x14ac:dyDescent="0.25">
      <c r="A2011" s="1">
        <v>45154</v>
      </c>
      <c r="B2011" t="s">
        <v>22</v>
      </c>
      <c r="C2011" t="s">
        <v>8</v>
      </c>
      <c r="D2011" t="s">
        <v>18</v>
      </c>
      <c r="E2011">
        <v>473.91</v>
      </c>
      <c r="F2011">
        <v>358.15</v>
      </c>
      <c r="G2011">
        <v>1</v>
      </c>
      <c r="H2011">
        <f t="shared" si="186"/>
        <v>473.91</v>
      </c>
      <c r="I2011">
        <f t="shared" si="190"/>
        <v>358.15</v>
      </c>
      <c r="J2011">
        <f t="shared" si="187"/>
        <v>115.76000000000005</v>
      </c>
      <c r="K2011" s="8">
        <f t="shared" si="188"/>
        <v>0.24426578886286435</v>
      </c>
      <c r="L2011" t="str">
        <f t="shared" si="191"/>
        <v>2023-08</v>
      </c>
      <c r="M2011">
        <f t="shared" si="189"/>
        <v>115.76000000000005</v>
      </c>
    </row>
    <row r="2012" spans="1:13" x14ac:dyDescent="0.25">
      <c r="A2012" s="1">
        <v>44904</v>
      </c>
      <c r="B2012" t="s">
        <v>25</v>
      </c>
      <c r="C2012" t="s">
        <v>15</v>
      </c>
      <c r="D2012" t="s">
        <v>17</v>
      </c>
      <c r="E2012">
        <v>982.01</v>
      </c>
      <c r="F2012">
        <v>695.72</v>
      </c>
      <c r="G2012">
        <v>3</v>
      </c>
      <c r="H2012">
        <f t="shared" si="186"/>
        <v>2946.0299999999997</v>
      </c>
      <c r="I2012">
        <f t="shared" si="190"/>
        <v>2087.16</v>
      </c>
      <c r="J2012">
        <f t="shared" si="187"/>
        <v>858.86999999999989</v>
      </c>
      <c r="K2012" s="8">
        <f t="shared" si="188"/>
        <v>0.29153470942251097</v>
      </c>
      <c r="L2012" t="str">
        <f t="shared" si="191"/>
        <v>2022-12</v>
      </c>
      <c r="M2012">
        <f t="shared" si="189"/>
        <v>858.86999999999989</v>
      </c>
    </row>
    <row r="2013" spans="1:13" x14ac:dyDescent="0.25">
      <c r="A2013" s="1">
        <v>45335</v>
      </c>
      <c r="B2013" t="s">
        <v>25</v>
      </c>
      <c r="C2013" t="s">
        <v>15</v>
      </c>
      <c r="D2013" t="s">
        <v>18</v>
      </c>
      <c r="E2013">
        <v>170.95</v>
      </c>
      <c r="F2013">
        <v>112.01</v>
      </c>
      <c r="G2013">
        <v>5</v>
      </c>
      <c r="H2013">
        <f t="shared" si="186"/>
        <v>854.75</v>
      </c>
      <c r="I2013">
        <f t="shared" si="190"/>
        <v>560.05000000000007</v>
      </c>
      <c r="J2013">
        <f t="shared" si="187"/>
        <v>294.69999999999993</v>
      </c>
      <c r="K2013" s="8">
        <f t="shared" si="188"/>
        <v>0.34477917519742607</v>
      </c>
      <c r="L2013" t="str">
        <f t="shared" si="191"/>
        <v>2024-02</v>
      </c>
      <c r="M2013">
        <f t="shared" si="189"/>
        <v>294.69999999999993</v>
      </c>
    </row>
    <row r="2014" spans="1:13" x14ac:dyDescent="0.25">
      <c r="A2014" s="1">
        <v>45370</v>
      </c>
      <c r="B2014" t="s">
        <v>7</v>
      </c>
      <c r="C2014" t="s">
        <v>8</v>
      </c>
      <c r="D2014" t="s">
        <v>13</v>
      </c>
      <c r="E2014">
        <v>988.31</v>
      </c>
      <c r="F2014">
        <v>656.47</v>
      </c>
      <c r="G2014">
        <v>6</v>
      </c>
      <c r="H2014">
        <f t="shared" si="186"/>
        <v>5929.86</v>
      </c>
      <c r="I2014">
        <f t="shared" si="190"/>
        <v>3938.82</v>
      </c>
      <c r="J2014">
        <f t="shared" si="187"/>
        <v>1991.0399999999995</v>
      </c>
      <c r="K2014" s="8">
        <f t="shared" si="188"/>
        <v>0.33576509394825504</v>
      </c>
      <c r="L2014" t="str">
        <f t="shared" si="191"/>
        <v>2024-03</v>
      </c>
      <c r="M2014">
        <f t="shared" si="189"/>
        <v>1991.0399999999995</v>
      </c>
    </row>
    <row r="2015" spans="1:13" x14ac:dyDescent="0.25">
      <c r="A2015" s="1">
        <v>44727</v>
      </c>
      <c r="B2015" t="s">
        <v>24</v>
      </c>
      <c r="C2015" t="s">
        <v>20</v>
      </c>
      <c r="D2015" t="s">
        <v>9</v>
      </c>
      <c r="E2015">
        <v>1733.36</v>
      </c>
      <c r="F2015">
        <v>908.59</v>
      </c>
      <c r="G2015">
        <v>8</v>
      </c>
      <c r="H2015">
        <f t="shared" si="186"/>
        <v>13866.88</v>
      </c>
      <c r="I2015">
        <f t="shared" si="190"/>
        <v>7268.72</v>
      </c>
      <c r="J2015">
        <f t="shared" si="187"/>
        <v>6598.1599999999989</v>
      </c>
      <c r="K2015" s="8">
        <f t="shared" si="188"/>
        <v>0.47582152582267961</v>
      </c>
      <c r="L2015" t="str">
        <f t="shared" si="191"/>
        <v>2022-06</v>
      </c>
      <c r="M2015">
        <f t="shared" si="189"/>
        <v>6598.1599999999989</v>
      </c>
    </row>
    <row r="2016" spans="1:13" x14ac:dyDescent="0.25">
      <c r="A2016" s="1">
        <v>44984</v>
      </c>
      <c r="B2016" t="s">
        <v>23</v>
      </c>
      <c r="C2016" t="s">
        <v>11</v>
      </c>
      <c r="D2016" t="s">
        <v>13</v>
      </c>
      <c r="E2016">
        <v>1612.39</v>
      </c>
      <c r="F2016">
        <v>1066.69</v>
      </c>
      <c r="G2016">
        <v>4</v>
      </c>
      <c r="H2016">
        <f t="shared" si="186"/>
        <v>6449.56</v>
      </c>
      <c r="I2016">
        <f t="shared" si="190"/>
        <v>4266.76</v>
      </c>
      <c r="J2016">
        <f t="shared" si="187"/>
        <v>2182.8000000000002</v>
      </c>
      <c r="K2016" s="8">
        <f t="shared" si="188"/>
        <v>0.33844169214644099</v>
      </c>
      <c r="L2016" t="str">
        <f t="shared" si="191"/>
        <v>2023-02</v>
      </c>
      <c r="M2016">
        <f t="shared" si="189"/>
        <v>2182.8000000000002</v>
      </c>
    </row>
    <row r="2017" spans="1:13" x14ac:dyDescent="0.25">
      <c r="A2017" s="1">
        <v>44784</v>
      </c>
      <c r="B2017" t="s">
        <v>10</v>
      </c>
      <c r="C2017" t="s">
        <v>11</v>
      </c>
      <c r="D2017" t="s">
        <v>17</v>
      </c>
      <c r="E2017">
        <v>1580.41</v>
      </c>
      <c r="F2017">
        <v>1228.9100000000001</v>
      </c>
      <c r="G2017">
        <v>2</v>
      </c>
      <c r="H2017">
        <f t="shared" si="186"/>
        <v>3160.82</v>
      </c>
      <c r="I2017">
        <f t="shared" si="190"/>
        <v>2457.8200000000002</v>
      </c>
      <c r="J2017">
        <f t="shared" si="187"/>
        <v>703</v>
      </c>
      <c r="K2017" s="8">
        <f t="shared" si="188"/>
        <v>0.22241064027689017</v>
      </c>
      <c r="L2017" t="str">
        <f t="shared" si="191"/>
        <v>2022-08</v>
      </c>
      <c r="M2017">
        <f t="shared" si="189"/>
        <v>703</v>
      </c>
    </row>
    <row r="2018" spans="1:13" x14ac:dyDescent="0.25">
      <c r="A2018" s="1">
        <v>44666</v>
      </c>
      <c r="B2018" t="s">
        <v>7</v>
      </c>
      <c r="C2018" t="s">
        <v>8</v>
      </c>
      <c r="D2018" t="s">
        <v>17</v>
      </c>
      <c r="E2018">
        <v>1170.56</v>
      </c>
      <c r="F2018">
        <v>634.1</v>
      </c>
      <c r="G2018">
        <v>3</v>
      </c>
      <c r="H2018">
        <f t="shared" si="186"/>
        <v>3511.68</v>
      </c>
      <c r="I2018">
        <f t="shared" si="190"/>
        <v>1902.3000000000002</v>
      </c>
      <c r="J2018">
        <f t="shared" si="187"/>
        <v>1609.3799999999997</v>
      </c>
      <c r="K2018" s="8">
        <f t="shared" si="188"/>
        <v>0.45829346637506829</v>
      </c>
      <c r="L2018" t="str">
        <f t="shared" si="191"/>
        <v>2022-04</v>
      </c>
      <c r="M2018">
        <f t="shared" si="189"/>
        <v>1609.3799999999997</v>
      </c>
    </row>
    <row r="2019" spans="1:13" x14ac:dyDescent="0.25">
      <c r="A2019" s="1">
        <v>45325</v>
      </c>
      <c r="B2019" t="s">
        <v>22</v>
      </c>
      <c r="C2019" t="s">
        <v>8</v>
      </c>
      <c r="D2019" t="s">
        <v>17</v>
      </c>
      <c r="E2019">
        <v>1446.92</v>
      </c>
      <c r="F2019">
        <v>970.75</v>
      </c>
      <c r="G2019">
        <v>5</v>
      </c>
      <c r="H2019">
        <f t="shared" si="186"/>
        <v>7234.6</v>
      </c>
      <c r="I2019">
        <f t="shared" si="190"/>
        <v>4853.75</v>
      </c>
      <c r="J2019">
        <f t="shared" si="187"/>
        <v>2380.8500000000004</v>
      </c>
      <c r="K2019" s="8">
        <f t="shared" si="188"/>
        <v>0.32909214054681674</v>
      </c>
      <c r="L2019" t="str">
        <f t="shared" si="191"/>
        <v>2024-02</v>
      </c>
      <c r="M2019">
        <f t="shared" si="189"/>
        <v>2380.8500000000004</v>
      </c>
    </row>
    <row r="2020" spans="1:13" x14ac:dyDescent="0.25">
      <c r="A2020" s="1">
        <v>45065</v>
      </c>
      <c r="B2020" t="s">
        <v>19</v>
      </c>
      <c r="C2020" t="s">
        <v>20</v>
      </c>
      <c r="D2020" t="s">
        <v>13</v>
      </c>
      <c r="E2020">
        <v>581.63</v>
      </c>
      <c r="F2020">
        <v>430.2</v>
      </c>
      <c r="G2020">
        <v>6</v>
      </c>
      <c r="H2020">
        <f t="shared" si="186"/>
        <v>3489.7799999999997</v>
      </c>
      <c r="I2020">
        <f t="shared" si="190"/>
        <v>2581.1999999999998</v>
      </c>
      <c r="J2020">
        <f t="shared" si="187"/>
        <v>908.57999999999993</v>
      </c>
      <c r="K2020" s="8">
        <f t="shared" si="188"/>
        <v>0.26035452091535854</v>
      </c>
      <c r="L2020" t="str">
        <f t="shared" si="191"/>
        <v>2023-05</v>
      </c>
      <c r="M2020">
        <f t="shared" si="189"/>
        <v>908.57999999999993</v>
      </c>
    </row>
    <row r="2021" spans="1:13" x14ac:dyDescent="0.25">
      <c r="A2021" s="1">
        <v>45062</v>
      </c>
      <c r="B2021" t="s">
        <v>24</v>
      </c>
      <c r="C2021" t="s">
        <v>20</v>
      </c>
      <c r="D2021" t="s">
        <v>9</v>
      </c>
      <c r="E2021">
        <v>843.38</v>
      </c>
      <c r="F2021">
        <v>755.32</v>
      </c>
      <c r="G2021">
        <v>1</v>
      </c>
      <c r="H2021">
        <f t="shared" si="186"/>
        <v>843.38</v>
      </c>
      <c r="I2021">
        <f t="shared" si="190"/>
        <v>755.32</v>
      </c>
      <c r="J2021">
        <f t="shared" si="187"/>
        <v>88.059999999999945</v>
      </c>
      <c r="K2021" s="8">
        <f t="shared" si="188"/>
        <v>0.10441319452678502</v>
      </c>
      <c r="L2021" t="str">
        <f t="shared" si="191"/>
        <v>2023-05</v>
      </c>
      <c r="M2021">
        <f t="shared" si="189"/>
        <v>88.059999999999945</v>
      </c>
    </row>
    <row r="2022" spans="1:13" x14ac:dyDescent="0.25">
      <c r="A2022" s="1">
        <v>45444</v>
      </c>
      <c r="B2022" t="s">
        <v>14</v>
      </c>
      <c r="C2022" t="s">
        <v>15</v>
      </c>
      <c r="D2022" t="s">
        <v>17</v>
      </c>
      <c r="E2022">
        <v>817.34</v>
      </c>
      <c r="F2022">
        <v>610.6</v>
      </c>
      <c r="G2022">
        <v>8</v>
      </c>
      <c r="H2022">
        <f t="shared" si="186"/>
        <v>6538.72</v>
      </c>
      <c r="I2022">
        <f t="shared" si="190"/>
        <v>4884.8</v>
      </c>
      <c r="J2022">
        <f t="shared" si="187"/>
        <v>1653.92</v>
      </c>
      <c r="K2022" s="8">
        <f t="shared" si="188"/>
        <v>0.25294247192110997</v>
      </c>
      <c r="L2022" t="str">
        <f t="shared" si="191"/>
        <v>2024-06</v>
      </c>
      <c r="M2022">
        <f t="shared" si="189"/>
        <v>1653.92</v>
      </c>
    </row>
    <row r="2023" spans="1:13" x14ac:dyDescent="0.25">
      <c r="A2023" s="1">
        <v>44940</v>
      </c>
      <c r="B2023" t="s">
        <v>12</v>
      </c>
      <c r="C2023" t="s">
        <v>8</v>
      </c>
      <c r="D2023" t="s">
        <v>9</v>
      </c>
      <c r="E2023">
        <v>1624.76</v>
      </c>
      <c r="F2023">
        <v>1396.04</v>
      </c>
      <c r="G2023">
        <v>2</v>
      </c>
      <c r="H2023">
        <f t="shared" si="186"/>
        <v>3249.52</v>
      </c>
      <c r="I2023">
        <f t="shared" si="190"/>
        <v>2792.08</v>
      </c>
      <c r="J2023">
        <f t="shared" si="187"/>
        <v>457.44000000000005</v>
      </c>
      <c r="K2023" s="8">
        <f t="shared" si="188"/>
        <v>0.14077156010733896</v>
      </c>
      <c r="L2023" t="str">
        <f t="shared" si="191"/>
        <v>2023-01</v>
      </c>
      <c r="M2023">
        <f t="shared" si="189"/>
        <v>457.44000000000005</v>
      </c>
    </row>
    <row r="2024" spans="1:13" x14ac:dyDescent="0.25">
      <c r="A2024" s="1">
        <v>44619</v>
      </c>
      <c r="B2024" t="s">
        <v>7</v>
      </c>
      <c r="C2024" t="s">
        <v>8</v>
      </c>
      <c r="D2024" t="s">
        <v>9</v>
      </c>
      <c r="E2024">
        <v>1861.13</v>
      </c>
      <c r="F2024">
        <v>1288.51</v>
      </c>
      <c r="G2024">
        <v>5</v>
      </c>
      <c r="H2024">
        <f t="shared" si="186"/>
        <v>9305.6500000000015</v>
      </c>
      <c r="I2024">
        <f t="shared" si="190"/>
        <v>6442.55</v>
      </c>
      <c r="J2024">
        <f t="shared" si="187"/>
        <v>2863.1000000000013</v>
      </c>
      <c r="K2024" s="8">
        <f t="shared" si="188"/>
        <v>0.30767329525610793</v>
      </c>
      <c r="L2024" t="str">
        <f t="shared" si="191"/>
        <v>2022-02</v>
      </c>
      <c r="M2024">
        <f t="shared" si="189"/>
        <v>2863.1000000000013</v>
      </c>
    </row>
    <row r="2025" spans="1:13" x14ac:dyDescent="0.25">
      <c r="A2025" s="1">
        <v>45126</v>
      </c>
      <c r="B2025" t="s">
        <v>25</v>
      </c>
      <c r="C2025" t="s">
        <v>15</v>
      </c>
      <c r="D2025" t="s">
        <v>9</v>
      </c>
      <c r="E2025">
        <v>811.17</v>
      </c>
      <c r="F2025">
        <v>423.02</v>
      </c>
      <c r="G2025">
        <v>9</v>
      </c>
      <c r="H2025">
        <f t="shared" si="186"/>
        <v>7300.53</v>
      </c>
      <c r="I2025">
        <f t="shared" si="190"/>
        <v>3807.18</v>
      </c>
      <c r="J2025">
        <f t="shared" si="187"/>
        <v>3493.35</v>
      </c>
      <c r="K2025" s="8">
        <f t="shared" si="188"/>
        <v>0.47850635501806033</v>
      </c>
      <c r="L2025" t="str">
        <f t="shared" si="191"/>
        <v>2023-07</v>
      </c>
      <c r="M2025">
        <f t="shared" si="189"/>
        <v>3493.35</v>
      </c>
    </row>
    <row r="2026" spans="1:13" x14ac:dyDescent="0.25">
      <c r="A2026" s="1">
        <v>45393</v>
      </c>
      <c r="B2026" t="s">
        <v>21</v>
      </c>
      <c r="C2026" t="s">
        <v>20</v>
      </c>
      <c r="D2026" t="s">
        <v>13</v>
      </c>
      <c r="E2026">
        <v>541.76</v>
      </c>
      <c r="F2026">
        <v>376.29</v>
      </c>
      <c r="G2026">
        <v>10</v>
      </c>
      <c r="H2026">
        <f t="shared" si="186"/>
        <v>5417.6</v>
      </c>
      <c r="I2026">
        <f t="shared" si="190"/>
        <v>3762.9</v>
      </c>
      <c r="J2026">
        <f t="shared" si="187"/>
        <v>1654.7000000000003</v>
      </c>
      <c r="K2026" s="8">
        <f t="shared" si="188"/>
        <v>0.30543044890726523</v>
      </c>
      <c r="L2026" t="str">
        <f t="shared" si="191"/>
        <v>2024-04</v>
      </c>
      <c r="M2026">
        <f t="shared" si="189"/>
        <v>1654.7000000000003</v>
      </c>
    </row>
    <row r="2027" spans="1:13" x14ac:dyDescent="0.25">
      <c r="A2027" s="1">
        <v>45544</v>
      </c>
      <c r="B2027" t="s">
        <v>24</v>
      </c>
      <c r="C2027" t="s">
        <v>20</v>
      </c>
      <c r="D2027" t="s">
        <v>17</v>
      </c>
      <c r="E2027">
        <v>713.2</v>
      </c>
      <c r="F2027">
        <v>426.13</v>
      </c>
      <c r="G2027">
        <v>8</v>
      </c>
      <c r="H2027">
        <f t="shared" si="186"/>
        <v>5705.6</v>
      </c>
      <c r="I2027">
        <f t="shared" si="190"/>
        <v>3409.04</v>
      </c>
      <c r="J2027">
        <f t="shared" si="187"/>
        <v>2296.5600000000004</v>
      </c>
      <c r="K2027" s="8">
        <f t="shared" si="188"/>
        <v>0.40250981491867643</v>
      </c>
      <c r="L2027" t="str">
        <f t="shared" si="191"/>
        <v>2024-09</v>
      </c>
      <c r="M2027">
        <f t="shared" si="189"/>
        <v>2296.5600000000004</v>
      </c>
    </row>
    <row r="2028" spans="1:13" x14ac:dyDescent="0.25">
      <c r="A2028" s="1">
        <v>45426</v>
      </c>
      <c r="B2028" t="s">
        <v>24</v>
      </c>
      <c r="C2028" t="s">
        <v>20</v>
      </c>
      <c r="D2028" t="s">
        <v>9</v>
      </c>
      <c r="E2028">
        <v>1949.49</v>
      </c>
      <c r="F2028">
        <v>1119.1400000000001</v>
      </c>
      <c r="G2028">
        <v>2</v>
      </c>
      <c r="H2028">
        <f t="shared" si="186"/>
        <v>3898.98</v>
      </c>
      <c r="I2028">
        <f t="shared" si="190"/>
        <v>2238.2800000000002</v>
      </c>
      <c r="J2028">
        <f t="shared" si="187"/>
        <v>1660.6999999999998</v>
      </c>
      <c r="K2028" s="8">
        <f t="shared" si="188"/>
        <v>0.42593191039707817</v>
      </c>
      <c r="L2028" t="str">
        <f t="shared" si="191"/>
        <v>2024-05</v>
      </c>
      <c r="M2028">
        <f t="shared" si="189"/>
        <v>1660.6999999999998</v>
      </c>
    </row>
    <row r="2029" spans="1:13" x14ac:dyDescent="0.25">
      <c r="A2029" s="1">
        <v>45409</v>
      </c>
      <c r="B2029" t="s">
        <v>10</v>
      </c>
      <c r="C2029" t="s">
        <v>11</v>
      </c>
      <c r="D2029" t="s">
        <v>9</v>
      </c>
      <c r="E2029">
        <v>1699.71</v>
      </c>
      <c r="F2029">
        <v>942.63</v>
      </c>
      <c r="G2029">
        <v>7</v>
      </c>
      <c r="H2029">
        <f t="shared" si="186"/>
        <v>11897.970000000001</v>
      </c>
      <c r="I2029">
        <f t="shared" si="190"/>
        <v>6598.41</v>
      </c>
      <c r="J2029">
        <f t="shared" si="187"/>
        <v>5299.5600000000013</v>
      </c>
      <c r="K2029" s="8">
        <f t="shared" si="188"/>
        <v>0.44541715939777971</v>
      </c>
      <c r="L2029" t="str">
        <f t="shared" si="191"/>
        <v>2024-04</v>
      </c>
      <c r="M2029">
        <f t="shared" si="189"/>
        <v>5299.5600000000013</v>
      </c>
    </row>
    <row r="2030" spans="1:13" x14ac:dyDescent="0.25">
      <c r="A2030" s="1">
        <v>44902</v>
      </c>
      <c r="B2030" t="s">
        <v>14</v>
      </c>
      <c r="C2030" t="s">
        <v>15</v>
      </c>
      <c r="D2030" t="s">
        <v>13</v>
      </c>
      <c r="E2030">
        <v>1331.73</v>
      </c>
      <c r="F2030">
        <v>1143.47</v>
      </c>
      <c r="G2030">
        <v>4</v>
      </c>
      <c r="H2030">
        <f t="shared" si="186"/>
        <v>5326.92</v>
      </c>
      <c r="I2030">
        <f t="shared" si="190"/>
        <v>4573.88</v>
      </c>
      <c r="J2030">
        <f t="shared" si="187"/>
        <v>753.04</v>
      </c>
      <c r="K2030" s="8">
        <f t="shared" si="188"/>
        <v>0.14136499140216108</v>
      </c>
      <c r="L2030" t="str">
        <f t="shared" si="191"/>
        <v>2022-12</v>
      </c>
      <c r="M2030">
        <f t="shared" si="189"/>
        <v>753.04</v>
      </c>
    </row>
    <row r="2031" spans="1:13" x14ac:dyDescent="0.25">
      <c r="A2031" s="1">
        <v>44725</v>
      </c>
      <c r="B2031" t="s">
        <v>16</v>
      </c>
      <c r="C2031" t="s">
        <v>15</v>
      </c>
      <c r="D2031" t="s">
        <v>18</v>
      </c>
      <c r="E2031">
        <v>1764.33</v>
      </c>
      <c r="F2031">
        <v>926.21</v>
      </c>
      <c r="G2031">
        <v>1</v>
      </c>
      <c r="H2031">
        <f t="shared" si="186"/>
        <v>1764.33</v>
      </c>
      <c r="I2031">
        <f t="shared" si="190"/>
        <v>926.21</v>
      </c>
      <c r="J2031">
        <f t="shared" si="187"/>
        <v>838.11999999999989</v>
      </c>
      <c r="K2031" s="8">
        <f t="shared" si="188"/>
        <v>0.47503584930256809</v>
      </c>
      <c r="L2031" t="str">
        <f t="shared" si="191"/>
        <v>2022-06</v>
      </c>
      <c r="M2031">
        <f t="shared" si="189"/>
        <v>838.11999999999989</v>
      </c>
    </row>
    <row r="2032" spans="1:13" x14ac:dyDescent="0.25">
      <c r="A2032" s="1">
        <v>45630</v>
      </c>
      <c r="B2032" t="s">
        <v>22</v>
      </c>
      <c r="C2032" t="s">
        <v>8</v>
      </c>
      <c r="D2032" t="s">
        <v>17</v>
      </c>
      <c r="E2032">
        <v>749.91</v>
      </c>
      <c r="F2032">
        <v>521.45000000000005</v>
      </c>
      <c r="G2032">
        <v>8</v>
      </c>
      <c r="H2032">
        <f t="shared" si="186"/>
        <v>5999.28</v>
      </c>
      <c r="I2032">
        <f t="shared" si="190"/>
        <v>4171.6000000000004</v>
      </c>
      <c r="J2032">
        <f t="shared" si="187"/>
        <v>1827.6799999999994</v>
      </c>
      <c r="K2032" s="8">
        <f t="shared" si="188"/>
        <v>0.30464989132029169</v>
      </c>
      <c r="L2032" t="str">
        <f t="shared" si="191"/>
        <v>2024-12</v>
      </c>
      <c r="M2032">
        <f t="shared" si="189"/>
        <v>1827.6799999999994</v>
      </c>
    </row>
    <row r="2033" spans="1:13" x14ac:dyDescent="0.25">
      <c r="A2033" s="1">
        <v>44591</v>
      </c>
      <c r="B2033" t="s">
        <v>22</v>
      </c>
      <c r="C2033" t="s">
        <v>8</v>
      </c>
      <c r="D2033" t="s">
        <v>17</v>
      </c>
      <c r="E2033">
        <v>1113.26</v>
      </c>
      <c r="F2033">
        <v>998.1</v>
      </c>
      <c r="G2033">
        <v>4</v>
      </c>
      <c r="H2033">
        <f t="shared" si="186"/>
        <v>4453.04</v>
      </c>
      <c r="I2033">
        <f t="shared" si="190"/>
        <v>3992.4</v>
      </c>
      <c r="J2033">
        <f t="shared" si="187"/>
        <v>460.63999999999987</v>
      </c>
      <c r="K2033" s="8">
        <f t="shared" si="188"/>
        <v>0.10344393942115945</v>
      </c>
      <c r="L2033" t="str">
        <f t="shared" si="191"/>
        <v>2022-01</v>
      </c>
      <c r="M2033">
        <f t="shared" si="189"/>
        <v>460.63999999999987</v>
      </c>
    </row>
    <row r="2034" spans="1:13" x14ac:dyDescent="0.25">
      <c r="A2034" s="1">
        <v>45263</v>
      </c>
      <c r="B2034" t="s">
        <v>16</v>
      </c>
      <c r="C2034" t="s">
        <v>15</v>
      </c>
      <c r="D2034" t="s">
        <v>13</v>
      </c>
      <c r="E2034">
        <v>907.49</v>
      </c>
      <c r="F2034">
        <v>475.11</v>
      </c>
      <c r="G2034">
        <v>4</v>
      </c>
      <c r="H2034">
        <f t="shared" si="186"/>
        <v>3629.96</v>
      </c>
      <c r="I2034">
        <f t="shared" si="190"/>
        <v>1900.44</v>
      </c>
      <c r="J2034">
        <f t="shared" si="187"/>
        <v>1729.52</v>
      </c>
      <c r="K2034" s="8">
        <f t="shared" si="188"/>
        <v>0.47645704084893498</v>
      </c>
      <c r="L2034" t="str">
        <f t="shared" si="191"/>
        <v>2023-12</v>
      </c>
      <c r="M2034">
        <f t="shared" si="189"/>
        <v>1729.52</v>
      </c>
    </row>
    <row r="2035" spans="1:13" x14ac:dyDescent="0.25">
      <c r="A2035" s="1">
        <v>44618</v>
      </c>
      <c r="B2035" t="s">
        <v>12</v>
      </c>
      <c r="C2035" t="s">
        <v>8</v>
      </c>
      <c r="D2035" t="s">
        <v>13</v>
      </c>
      <c r="E2035">
        <v>489.65</v>
      </c>
      <c r="F2035">
        <v>377.49</v>
      </c>
      <c r="G2035">
        <v>10</v>
      </c>
      <c r="H2035">
        <f t="shared" si="186"/>
        <v>4896.5</v>
      </c>
      <c r="I2035">
        <f t="shared" si="190"/>
        <v>3774.9</v>
      </c>
      <c r="J2035">
        <f t="shared" si="187"/>
        <v>1121.5999999999999</v>
      </c>
      <c r="K2035" s="8">
        <f t="shared" si="188"/>
        <v>0.22906157459409782</v>
      </c>
      <c r="L2035" t="str">
        <f t="shared" si="191"/>
        <v>2022-02</v>
      </c>
      <c r="M2035">
        <f t="shared" si="189"/>
        <v>1121.5999999999999</v>
      </c>
    </row>
    <row r="2036" spans="1:13" x14ac:dyDescent="0.25">
      <c r="A2036" s="1">
        <v>44587</v>
      </c>
      <c r="B2036" t="s">
        <v>24</v>
      </c>
      <c r="C2036" t="s">
        <v>20</v>
      </c>
      <c r="D2036" t="s">
        <v>18</v>
      </c>
      <c r="E2036">
        <v>702.03</v>
      </c>
      <c r="F2036">
        <v>551.41999999999996</v>
      </c>
      <c r="G2036">
        <v>4</v>
      </c>
      <c r="H2036">
        <f t="shared" si="186"/>
        <v>2808.12</v>
      </c>
      <c r="I2036">
        <f t="shared" si="190"/>
        <v>2205.6799999999998</v>
      </c>
      <c r="J2036">
        <f t="shared" si="187"/>
        <v>602.44000000000005</v>
      </c>
      <c r="K2036" s="8">
        <f t="shared" si="188"/>
        <v>0.21453499138213469</v>
      </c>
      <c r="L2036" t="str">
        <f t="shared" si="191"/>
        <v>2022-01</v>
      </c>
      <c r="M2036">
        <f t="shared" si="189"/>
        <v>602.44000000000005</v>
      </c>
    </row>
    <row r="2037" spans="1:13" x14ac:dyDescent="0.25">
      <c r="A2037" s="1">
        <v>45352</v>
      </c>
      <c r="B2037" t="s">
        <v>24</v>
      </c>
      <c r="C2037" t="s">
        <v>20</v>
      </c>
      <c r="D2037" t="s">
        <v>9</v>
      </c>
      <c r="E2037">
        <v>858.03</v>
      </c>
      <c r="F2037">
        <v>557.48</v>
      </c>
      <c r="G2037">
        <v>9</v>
      </c>
      <c r="H2037">
        <f t="shared" si="186"/>
        <v>7722.2699999999995</v>
      </c>
      <c r="I2037">
        <f t="shared" si="190"/>
        <v>5017.32</v>
      </c>
      <c r="J2037">
        <f t="shared" si="187"/>
        <v>2704.95</v>
      </c>
      <c r="K2037" s="8">
        <f t="shared" si="188"/>
        <v>0.35027912776942532</v>
      </c>
      <c r="L2037" t="str">
        <f t="shared" si="191"/>
        <v>2024-03</v>
      </c>
      <c r="M2037">
        <f t="shared" si="189"/>
        <v>2704.95</v>
      </c>
    </row>
    <row r="2038" spans="1:13" x14ac:dyDescent="0.25">
      <c r="A2038" s="1">
        <v>45560</v>
      </c>
      <c r="B2038" t="s">
        <v>21</v>
      </c>
      <c r="C2038" t="s">
        <v>20</v>
      </c>
      <c r="D2038" t="s">
        <v>13</v>
      </c>
      <c r="E2038">
        <v>1602.64</v>
      </c>
      <c r="F2038">
        <v>836.64</v>
      </c>
      <c r="G2038">
        <v>2</v>
      </c>
      <c r="H2038">
        <f t="shared" si="186"/>
        <v>3205.28</v>
      </c>
      <c r="I2038">
        <f t="shared" si="190"/>
        <v>1673.28</v>
      </c>
      <c r="J2038">
        <f t="shared" si="187"/>
        <v>1532.0000000000002</v>
      </c>
      <c r="K2038" s="8">
        <f t="shared" si="188"/>
        <v>0.47796136374981285</v>
      </c>
      <c r="L2038" t="str">
        <f t="shared" si="191"/>
        <v>2024-09</v>
      </c>
      <c r="M2038">
        <f t="shared" si="189"/>
        <v>1532.0000000000002</v>
      </c>
    </row>
    <row r="2039" spans="1:13" x14ac:dyDescent="0.25">
      <c r="A2039" s="1">
        <v>44732</v>
      </c>
      <c r="B2039" t="s">
        <v>16</v>
      </c>
      <c r="C2039" t="s">
        <v>15</v>
      </c>
      <c r="D2039" t="s">
        <v>13</v>
      </c>
      <c r="E2039">
        <v>1552.58</v>
      </c>
      <c r="F2039">
        <v>930.23</v>
      </c>
      <c r="G2039">
        <v>4</v>
      </c>
      <c r="H2039">
        <f t="shared" si="186"/>
        <v>6210.32</v>
      </c>
      <c r="I2039">
        <f t="shared" si="190"/>
        <v>3720.92</v>
      </c>
      <c r="J2039">
        <f t="shared" si="187"/>
        <v>2489.3999999999996</v>
      </c>
      <c r="K2039" s="8">
        <f t="shared" si="188"/>
        <v>0.40084890955699543</v>
      </c>
      <c r="L2039" t="str">
        <f t="shared" si="191"/>
        <v>2022-06</v>
      </c>
      <c r="M2039">
        <f t="shared" si="189"/>
        <v>2489.3999999999996</v>
      </c>
    </row>
    <row r="2040" spans="1:13" x14ac:dyDescent="0.25">
      <c r="A2040" s="1">
        <v>45540</v>
      </c>
      <c r="B2040" t="s">
        <v>23</v>
      </c>
      <c r="C2040" t="s">
        <v>11</v>
      </c>
      <c r="D2040" t="s">
        <v>13</v>
      </c>
      <c r="E2040">
        <v>1309.28</v>
      </c>
      <c r="F2040">
        <v>1106.9000000000001</v>
      </c>
      <c r="G2040">
        <v>7</v>
      </c>
      <c r="H2040">
        <f t="shared" si="186"/>
        <v>9164.9599999999991</v>
      </c>
      <c r="I2040">
        <f t="shared" si="190"/>
        <v>7748.3000000000011</v>
      </c>
      <c r="J2040">
        <f t="shared" si="187"/>
        <v>1416.659999999998</v>
      </c>
      <c r="K2040" s="8">
        <f t="shared" si="188"/>
        <v>0.15457350604912604</v>
      </c>
      <c r="L2040" t="str">
        <f t="shared" si="191"/>
        <v>2024-09</v>
      </c>
      <c r="M2040">
        <f t="shared" si="189"/>
        <v>1416.659999999998</v>
      </c>
    </row>
    <row r="2041" spans="1:13" x14ac:dyDescent="0.25">
      <c r="A2041" s="1">
        <v>44748</v>
      </c>
      <c r="B2041" t="s">
        <v>16</v>
      </c>
      <c r="C2041" t="s">
        <v>15</v>
      </c>
      <c r="D2041" t="s">
        <v>13</v>
      </c>
      <c r="E2041">
        <v>793.28</v>
      </c>
      <c r="F2041">
        <v>555.26</v>
      </c>
      <c r="G2041">
        <v>9</v>
      </c>
      <c r="H2041">
        <f t="shared" si="186"/>
        <v>7139.5199999999995</v>
      </c>
      <c r="I2041">
        <f t="shared" si="190"/>
        <v>4997.34</v>
      </c>
      <c r="J2041">
        <f t="shared" si="187"/>
        <v>2142.1799999999994</v>
      </c>
      <c r="K2041" s="8">
        <f t="shared" si="188"/>
        <v>0.30004538120209756</v>
      </c>
      <c r="L2041" t="str">
        <f t="shared" si="191"/>
        <v>2022-07</v>
      </c>
      <c r="M2041">
        <f t="shared" si="189"/>
        <v>2142.1799999999994</v>
      </c>
    </row>
    <row r="2042" spans="1:13" x14ac:dyDescent="0.25">
      <c r="A2042" s="1">
        <v>44799</v>
      </c>
      <c r="B2042" t="s">
        <v>12</v>
      </c>
      <c r="C2042" t="s">
        <v>8</v>
      </c>
      <c r="D2042" t="s">
        <v>18</v>
      </c>
      <c r="E2042">
        <v>1202.57</v>
      </c>
      <c r="F2042">
        <v>964.29</v>
      </c>
      <c r="G2042">
        <v>2</v>
      </c>
      <c r="H2042">
        <f t="shared" si="186"/>
        <v>2405.14</v>
      </c>
      <c r="I2042">
        <f t="shared" si="190"/>
        <v>1928.58</v>
      </c>
      <c r="J2042">
        <f t="shared" si="187"/>
        <v>476.55999999999995</v>
      </c>
      <c r="K2042" s="8">
        <f t="shared" si="188"/>
        <v>0.19814231188205259</v>
      </c>
      <c r="L2042" t="str">
        <f t="shared" si="191"/>
        <v>2022-08</v>
      </c>
      <c r="M2042">
        <f t="shared" si="189"/>
        <v>476.55999999999995</v>
      </c>
    </row>
    <row r="2043" spans="1:13" x14ac:dyDescent="0.25">
      <c r="A2043" s="1">
        <v>44741</v>
      </c>
      <c r="B2043" t="s">
        <v>19</v>
      </c>
      <c r="C2043" t="s">
        <v>20</v>
      </c>
      <c r="D2043" t="s">
        <v>18</v>
      </c>
      <c r="E2043">
        <v>62.37</v>
      </c>
      <c r="F2043">
        <v>34.130000000000003</v>
      </c>
      <c r="G2043">
        <v>4</v>
      </c>
      <c r="H2043">
        <f t="shared" si="186"/>
        <v>249.48</v>
      </c>
      <c r="I2043">
        <f t="shared" si="190"/>
        <v>136.52000000000001</v>
      </c>
      <c r="J2043">
        <f t="shared" si="187"/>
        <v>112.95999999999998</v>
      </c>
      <c r="K2043" s="8">
        <f t="shared" si="188"/>
        <v>0.45278178611511938</v>
      </c>
      <c r="L2043" t="str">
        <f t="shared" si="191"/>
        <v>2022-06</v>
      </c>
      <c r="M2043">
        <f t="shared" si="189"/>
        <v>112.95999999999998</v>
      </c>
    </row>
    <row r="2044" spans="1:13" x14ac:dyDescent="0.25">
      <c r="A2044" s="1">
        <v>45163</v>
      </c>
      <c r="B2044" t="s">
        <v>22</v>
      </c>
      <c r="C2044" t="s">
        <v>8</v>
      </c>
      <c r="D2044" t="s">
        <v>13</v>
      </c>
      <c r="E2044">
        <v>1255.6600000000001</v>
      </c>
      <c r="F2044">
        <v>899.66</v>
      </c>
      <c r="G2044">
        <v>5</v>
      </c>
      <c r="H2044">
        <f t="shared" si="186"/>
        <v>6278.3</v>
      </c>
      <c r="I2044">
        <f t="shared" si="190"/>
        <v>4498.3</v>
      </c>
      <c r="J2044">
        <f t="shared" si="187"/>
        <v>1780</v>
      </c>
      <c r="K2044" s="8">
        <f t="shared" si="188"/>
        <v>0.28351623847219787</v>
      </c>
      <c r="L2044" t="str">
        <f t="shared" si="191"/>
        <v>2023-08</v>
      </c>
      <c r="M2044">
        <f t="shared" si="189"/>
        <v>1780</v>
      </c>
    </row>
    <row r="2045" spans="1:13" x14ac:dyDescent="0.25">
      <c r="A2045" s="1">
        <v>45334</v>
      </c>
      <c r="B2045" t="s">
        <v>10</v>
      </c>
      <c r="C2045" t="s">
        <v>11</v>
      </c>
      <c r="D2045" t="s">
        <v>9</v>
      </c>
      <c r="E2045">
        <v>142.68</v>
      </c>
      <c r="F2045">
        <v>78.91</v>
      </c>
      <c r="G2045">
        <v>7</v>
      </c>
      <c r="H2045">
        <f t="shared" si="186"/>
        <v>998.76</v>
      </c>
      <c r="I2045">
        <f t="shared" si="190"/>
        <v>552.37</v>
      </c>
      <c r="J2045">
        <f t="shared" si="187"/>
        <v>446.39</v>
      </c>
      <c r="K2045" s="8">
        <f t="shared" si="188"/>
        <v>0.44694421082141855</v>
      </c>
      <c r="L2045" t="str">
        <f t="shared" si="191"/>
        <v>2024-02</v>
      </c>
      <c r="M2045">
        <f t="shared" si="189"/>
        <v>446.39</v>
      </c>
    </row>
    <row r="2046" spans="1:13" x14ac:dyDescent="0.25">
      <c r="A2046" s="1">
        <v>45296</v>
      </c>
      <c r="B2046" t="s">
        <v>16</v>
      </c>
      <c r="C2046" t="s">
        <v>15</v>
      </c>
      <c r="D2046" t="s">
        <v>17</v>
      </c>
      <c r="E2046">
        <v>911.3</v>
      </c>
      <c r="F2046">
        <v>735.05</v>
      </c>
      <c r="G2046">
        <v>4</v>
      </c>
      <c r="H2046">
        <f t="shared" si="186"/>
        <v>3645.2</v>
      </c>
      <c r="I2046">
        <f t="shared" si="190"/>
        <v>2940.2</v>
      </c>
      <c r="J2046">
        <f t="shared" si="187"/>
        <v>705</v>
      </c>
      <c r="K2046" s="8">
        <f t="shared" si="188"/>
        <v>0.19340502578733679</v>
      </c>
      <c r="L2046" t="str">
        <f t="shared" si="191"/>
        <v>2024-01</v>
      </c>
      <c r="M2046">
        <f t="shared" si="189"/>
        <v>705</v>
      </c>
    </row>
    <row r="2047" spans="1:13" x14ac:dyDescent="0.25">
      <c r="A2047" s="1">
        <v>44929</v>
      </c>
      <c r="B2047" t="s">
        <v>16</v>
      </c>
      <c r="C2047" t="s">
        <v>15</v>
      </c>
      <c r="D2047" t="s">
        <v>13</v>
      </c>
      <c r="E2047">
        <v>1288.58</v>
      </c>
      <c r="F2047">
        <v>870.62</v>
      </c>
      <c r="G2047">
        <v>8</v>
      </c>
      <c r="H2047">
        <f t="shared" si="186"/>
        <v>10308.64</v>
      </c>
      <c r="I2047">
        <f t="shared" si="190"/>
        <v>6964.96</v>
      </c>
      <c r="J2047">
        <f t="shared" si="187"/>
        <v>3343.6799999999994</v>
      </c>
      <c r="K2047" s="8">
        <f t="shared" si="188"/>
        <v>0.32435704418817607</v>
      </c>
      <c r="L2047" t="str">
        <f t="shared" si="191"/>
        <v>2023-01</v>
      </c>
      <c r="M2047">
        <f t="shared" si="189"/>
        <v>3343.6799999999994</v>
      </c>
    </row>
    <row r="2048" spans="1:13" x14ac:dyDescent="0.25">
      <c r="A2048" s="1">
        <v>45559</v>
      </c>
      <c r="B2048" t="s">
        <v>14</v>
      </c>
      <c r="C2048" t="s">
        <v>15</v>
      </c>
      <c r="D2048" t="s">
        <v>17</v>
      </c>
      <c r="E2048">
        <v>787.8</v>
      </c>
      <c r="F2048">
        <v>608.16999999999996</v>
      </c>
      <c r="G2048">
        <v>7</v>
      </c>
      <c r="H2048">
        <f t="shared" si="186"/>
        <v>5514.5999999999995</v>
      </c>
      <c r="I2048">
        <f t="shared" si="190"/>
        <v>4257.1899999999996</v>
      </c>
      <c r="J2048">
        <f t="shared" si="187"/>
        <v>1257.4099999999999</v>
      </c>
      <c r="K2048" s="8">
        <f t="shared" si="188"/>
        <v>0.22801472454937802</v>
      </c>
      <c r="L2048" t="str">
        <f t="shared" si="191"/>
        <v>2024-09</v>
      </c>
      <c r="M2048">
        <f t="shared" si="189"/>
        <v>1257.4099999999999</v>
      </c>
    </row>
    <row r="2049" spans="1:13" x14ac:dyDescent="0.25">
      <c r="A2049" s="1">
        <v>44703</v>
      </c>
      <c r="B2049" t="s">
        <v>25</v>
      </c>
      <c r="C2049" t="s">
        <v>15</v>
      </c>
      <c r="D2049" t="s">
        <v>9</v>
      </c>
      <c r="E2049">
        <v>1130.06</v>
      </c>
      <c r="F2049">
        <v>617.57000000000005</v>
      </c>
      <c r="G2049">
        <v>6</v>
      </c>
      <c r="H2049">
        <f t="shared" si="186"/>
        <v>6780.36</v>
      </c>
      <c r="I2049">
        <f t="shared" si="190"/>
        <v>3705.42</v>
      </c>
      <c r="J2049">
        <f t="shared" si="187"/>
        <v>3074.9399999999996</v>
      </c>
      <c r="K2049" s="8">
        <f t="shared" si="188"/>
        <v>0.45350689343928635</v>
      </c>
      <c r="L2049" t="str">
        <f t="shared" si="191"/>
        <v>2022-05</v>
      </c>
      <c r="M2049">
        <f t="shared" si="189"/>
        <v>3074.9399999999996</v>
      </c>
    </row>
    <row r="2050" spans="1:13" x14ac:dyDescent="0.25">
      <c r="A2050" s="1">
        <v>44649</v>
      </c>
      <c r="B2050" t="s">
        <v>23</v>
      </c>
      <c r="C2050" t="s">
        <v>11</v>
      </c>
      <c r="D2050" t="s">
        <v>9</v>
      </c>
      <c r="E2050">
        <v>1227.29</v>
      </c>
      <c r="F2050">
        <v>924.83</v>
      </c>
      <c r="G2050">
        <v>10</v>
      </c>
      <c r="H2050">
        <f t="shared" si="186"/>
        <v>12272.9</v>
      </c>
      <c r="I2050">
        <f t="shared" si="190"/>
        <v>9248.3000000000011</v>
      </c>
      <c r="J2050">
        <f t="shared" si="187"/>
        <v>3024.5999999999985</v>
      </c>
      <c r="K2050" s="8">
        <f t="shared" si="188"/>
        <v>0.24644542039778689</v>
      </c>
      <c r="L2050" t="str">
        <f t="shared" si="191"/>
        <v>2022-03</v>
      </c>
      <c r="M2050">
        <f t="shared" si="189"/>
        <v>3024.5999999999985</v>
      </c>
    </row>
    <row r="2051" spans="1:13" x14ac:dyDescent="0.25">
      <c r="A2051" s="1">
        <v>45422</v>
      </c>
      <c r="B2051" t="s">
        <v>23</v>
      </c>
      <c r="C2051" t="s">
        <v>11</v>
      </c>
      <c r="D2051" t="s">
        <v>17</v>
      </c>
      <c r="E2051">
        <v>1101.97</v>
      </c>
      <c r="F2051">
        <v>673.12</v>
      </c>
      <c r="G2051">
        <v>2</v>
      </c>
      <c r="H2051">
        <f t="shared" ref="H2051:H2114" si="192">E2051*G2051</f>
        <v>2203.94</v>
      </c>
      <c r="I2051">
        <f t="shared" si="190"/>
        <v>1346.24</v>
      </c>
      <c r="J2051">
        <f t="shared" ref="J2051:J2114" si="193">H2051-I2051</f>
        <v>857.7</v>
      </c>
      <c r="K2051" s="8">
        <f t="shared" ref="K2051:K2114" si="194">(H2051-I2051)/H2051</f>
        <v>0.38916667422888102</v>
      </c>
      <c r="L2051" t="str">
        <f t="shared" si="191"/>
        <v>2024-05</v>
      </c>
      <c r="M2051">
        <f t="shared" ref="M2051:M2114" si="195">H2051-I2051</f>
        <v>857.7</v>
      </c>
    </row>
    <row r="2052" spans="1:13" x14ac:dyDescent="0.25">
      <c r="A2052" s="1">
        <v>44754</v>
      </c>
      <c r="B2052" t="s">
        <v>21</v>
      </c>
      <c r="C2052" t="s">
        <v>20</v>
      </c>
      <c r="D2052" t="s">
        <v>9</v>
      </c>
      <c r="E2052">
        <v>1113.28</v>
      </c>
      <c r="F2052">
        <v>762.32</v>
      </c>
      <c r="G2052">
        <v>3</v>
      </c>
      <c r="H2052">
        <f t="shared" si="192"/>
        <v>3339.84</v>
      </c>
      <c r="I2052">
        <f t="shared" ref="I2052:I2115" si="196">F2052*G2052</f>
        <v>2286.96</v>
      </c>
      <c r="J2052">
        <f t="shared" si="193"/>
        <v>1052.8800000000001</v>
      </c>
      <c r="K2052" s="8">
        <f t="shared" si="194"/>
        <v>0.3152486346651337</v>
      </c>
      <c r="L2052" t="str">
        <f t="shared" ref="L2052:L2115" si="197">TEXT(A2052,"rrrr-mm")</f>
        <v>2022-07</v>
      </c>
      <c r="M2052">
        <f t="shared" si="195"/>
        <v>1052.8800000000001</v>
      </c>
    </row>
    <row r="2053" spans="1:13" x14ac:dyDescent="0.25">
      <c r="A2053" s="1">
        <v>44642</v>
      </c>
      <c r="B2053" t="s">
        <v>16</v>
      </c>
      <c r="C2053" t="s">
        <v>15</v>
      </c>
      <c r="D2053" t="s">
        <v>17</v>
      </c>
      <c r="E2053">
        <v>856.53</v>
      </c>
      <c r="F2053">
        <v>769.53</v>
      </c>
      <c r="G2053">
        <v>7</v>
      </c>
      <c r="H2053">
        <f t="shared" si="192"/>
        <v>5995.71</v>
      </c>
      <c r="I2053">
        <f t="shared" si="196"/>
        <v>5386.71</v>
      </c>
      <c r="J2053">
        <f t="shared" si="193"/>
        <v>609</v>
      </c>
      <c r="K2053" s="8">
        <f t="shared" si="194"/>
        <v>0.10157262442646492</v>
      </c>
      <c r="L2053" t="str">
        <f t="shared" si="197"/>
        <v>2022-03</v>
      </c>
      <c r="M2053">
        <f t="shared" si="195"/>
        <v>609</v>
      </c>
    </row>
    <row r="2054" spans="1:13" x14ac:dyDescent="0.25">
      <c r="A2054" s="1">
        <v>45021</v>
      </c>
      <c r="B2054" t="s">
        <v>19</v>
      </c>
      <c r="C2054" t="s">
        <v>20</v>
      </c>
      <c r="D2054" t="s">
        <v>13</v>
      </c>
      <c r="E2054">
        <v>337.05</v>
      </c>
      <c r="F2054">
        <v>232.71</v>
      </c>
      <c r="G2054">
        <v>3</v>
      </c>
      <c r="H2054">
        <f t="shared" si="192"/>
        <v>1011.1500000000001</v>
      </c>
      <c r="I2054">
        <f t="shared" si="196"/>
        <v>698.13</v>
      </c>
      <c r="J2054">
        <f t="shared" si="193"/>
        <v>313.0200000000001</v>
      </c>
      <c r="K2054" s="8">
        <f t="shared" si="194"/>
        <v>0.30956831330663115</v>
      </c>
      <c r="L2054" t="str">
        <f t="shared" si="197"/>
        <v>2023-04</v>
      </c>
      <c r="M2054">
        <f t="shared" si="195"/>
        <v>313.0200000000001</v>
      </c>
    </row>
    <row r="2055" spans="1:13" x14ac:dyDescent="0.25">
      <c r="A2055" s="1">
        <v>44914</v>
      </c>
      <c r="B2055" t="s">
        <v>23</v>
      </c>
      <c r="C2055" t="s">
        <v>11</v>
      </c>
      <c r="D2055" t="s">
        <v>13</v>
      </c>
      <c r="E2055">
        <v>1709.72</v>
      </c>
      <c r="F2055">
        <v>1034.67</v>
      </c>
      <c r="G2055">
        <v>7</v>
      </c>
      <c r="H2055">
        <f t="shared" si="192"/>
        <v>11968.04</v>
      </c>
      <c r="I2055">
        <f t="shared" si="196"/>
        <v>7242.6900000000005</v>
      </c>
      <c r="J2055">
        <f t="shared" si="193"/>
        <v>4725.3500000000004</v>
      </c>
      <c r="K2055" s="8">
        <f t="shared" si="194"/>
        <v>0.3948307325176052</v>
      </c>
      <c r="L2055" t="str">
        <f t="shared" si="197"/>
        <v>2022-12</v>
      </c>
      <c r="M2055">
        <f t="shared" si="195"/>
        <v>4725.3500000000004</v>
      </c>
    </row>
    <row r="2056" spans="1:13" x14ac:dyDescent="0.25">
      <c r="A2056" s="1">
        <v>44784</v>
      </c>
      <c r="B2056" t="s">
        <v>22</v>
      </c>
      <c r="C2056" t="s">
        <v>8</v>
      </c>
      <c r="D2056" t="s">
        <v>17</v>
      </c>
      <c r="E2056">
        <v>1546.6</v>
      </c>
      <c r="F2056">
        <v>1149.3800000000001</v>
      </c>
      <c r="G2056">
        <v>1</v>
      </c>
      <c r="H2056">
        <f t="shared" si="192"/>
        <v>1546.6</v>
      </c>
      <c r="I2056">
        <f t="shared" si="196"/>
        <v>1149.3800000000001</v>
      </c>
      <c r="J2056">
        <f t="shared" si="193"/>
        <v>397.2199999999998</v>
      </c>
      <c r="K2056" s="8">
        <f t="shared" si="194"/>
        <v>0.25683434630803043</v>
      </c>
      <c r="L2056" t="str">
        <f t="shared" si="197"/>
        <v>2022-08</v>
      </c>
      <c r="M2056">
        <f t="shared" si="195"/>
        <v>397.2199999999998</v>
      </c>
    </row>
    <row r="2057" spans="1:13" x14ac:dyDescent="0.25">
      <c r="A2057" s="1">
        <v>45536</v>
      </c>
      <c r="B2057" t="s">
        <v>19</v>
      </c>
      <c r="C2057" t="s">
        <v>20</v>
      </c>
      <c r="D2057" t="s">
        <v>18</v>
      </c>
      <c r="E2057">
        <v>1708.73</v>
      </c>
      <c r="F2057">
        <v>1446.99</v>
      </c>
      <c r="G2057">
        <v>4</v>
      </c>
      <c r="H2057">
        <f t="shared" si="192"/>
        <v>6834.92</v>
      </c>
      <c r="I2057">
        <f t="shared" si="196"/>
        <v>5787.96</v>
      </c>
      <c r="J2057">
        <f t="shared" si="193"/>
        <v>1046.96</v>
      </c>
      <c r="K2057" s="8">
        <f t="shared" si="194"/>
        <v>0.1531780913309885</v>
      </c>
      <c r="L2057" t="str">
        <f t="shared" si="197"/>
        <v>2024-09</v>
      </c>
      <c r="M2057">
        <f t="shared" si="195"/>
        <v>1046.96</v>
      </c>
    </row>
    <row r="2058" spans="1:13" x14ac:dyDescent="0.25">
      <c r="A2058" s="1">
        <v>44638</v>
      </c>
      <c r="B2058" t="s">
        <v>21</v>
      </c>
      <c r="C2058" t="s">
        <v>20</v>
      </c>
      <c r="D2058" t="s">
        <v>13</v>
      </c>
      <c r="E2058">
        <v>1884.3</v>
      </c>
      <c r="F2058">
        <v>1511.99</v>
      </c>
      <c r="G2058">
        <v>7</v>
      </c>
      <c r="H2058">
        <f t="shared" si="192"/>
        <v>13190.1</v>
      </c>
      <c r="I2058">
        <f t="shared" si="196"/>
        <v>10583.93</v>
      </c>
      <c r="J2058">
        <f t="shared" si="193"/>
        <v>2606.17</v>
      </c>
      <c r="K2058" s="8">
        <f t="shared" si="194"/>
        <v>0.1975853101947673</v>
      </c>
      <c r="L2058" t="str">
        <f t="shared" si="197"/>
        <v>2022-03</v>
      </c>
      <c r="M2058">
        <f t="shared" si="195"/>
        <v>2606.17</v>
      </c>
    </row>
    <row r="2059" spans="1:13" x14ac:dyDescent="0.25">
      <c r="A2059" s="1">
        <v>44842</v>
      </c>
      <c r="B2059" t="s">
        <v>7</v>
      </c>
      <c r="C2059" t="s">
        <v>8</v>
      </c>
      <c r="D2059" t="s">
        <v>17</v>
      </c>
      <c r="E2059">
        <v>528.85</v>
      </c>
      <c r="F2059">
        <v>405.78</v>
      </c>
      <c r="G2059">
        <v>1</v>
      </c>
      <c r="H2059">
        <f t="shared" si="192"/>
        <v>528.85</v>
      </c>
      <c r="I2059">
        <f t="shared" si="196"/>
        <v>405.78</v>
      </c>
      <c r="J2059">
        <f t="shared" si="193"/>
        <v>123.07000000000005</v>
      </c>
      <c r="K2059" s="8">
        <f t="shared" si="194"/>
        <v>0.2327124893637138</v>
      </c>
      <c r="L2059" t="str">
        <f t="shared" si="197"/>
        <v>2022-10</v>
      </c>
      <c r="M2059">
        <f t="shared" si="195"/>
        <v>123.07000000000005</v>
      </c>
    </row>
    <row r="2060" spans="1:13" x14ac:dyDescent="0.25">
      <c r="A2060" s="1">
        <v>45097</v>
      </c>
      <c r="B2060" t="s">
        <v>23</v>
      </c>
      <c r="C2060" t="s">
        <v>11</v>
      </c>
      <c r="D2060" t="s">
        <v>9</v>
      </c>
      <c r="E2060">
        <v>1765.37</v>
      </c>
      <c r="F2060">
        <v>973.48</v>
      </c>
      <c r="G2060">
        <v>5</v>
      </c>
      <c r="H2060">
        <f t="shared" si="192"/>
        <v>8826.8499999999985</v>
      </c>
      <c r="I2060">
        <f t="shared" si="196"/>
        <v>4867.3999999999996</v>
      </c>
      <c r="J2060">
        <f t="shared" si="193"/>
        <v>3959.4499999999989</v>
      </c>
      <c r="K2060" s="8">
        <f t="shared" si="194"/>
        <v>0.44856885525413931</v>
      </c>
      <c r="L2060" t="str">
        <f t="shared" si="197"/>
        <v>2023-06</v>
      </c>
      <c r="M2060">
        <f t="shared" si="195"/>
        <v>3959.4499999999989</v>
      </c>
    </row>
    <row r="2061" spans="1:13" x14ac:dyDescent="0.25">
      <c r="A2061" s="1">
        <v>44994</v>
      </c>
      <c r="B2061" t="s">
        <v>22</v>
      </c>
      <c r="C2061" t="s">
        <v>8</v>
      </c>
      <c r="D2061" t="s">
        <v>17</v>
      </c>
      <c r="E2061">
        <v>1546.64</v>
      </c>
      <c r="F2061">
        <v>852.39</v>
      </c>
      <c r="G2061">
        <v>4</v>
      </c>
      <c r="H2061">
        <f t="shared" si="192"/>
        <v>6186.56</v>
      </c>
      <c r="I2061">
        <f t="shared" si="196"/>
        <v>3409.56</v>
      </c>
      <c r="J2061">
        <f t="shared" si="193"/>
        <v>2777.0000000000005</v>
      </c>
      <c r="K2061" s="8">
        <f t="shared" si="194"/>
        <v>0.44887627372885741</v>
      </c>
      <c r="L2061" t="str">
        <f t="shared" si="197"/>
        <v>2023-03</v>
      </c>
      <c r="M2061">
        <f t="shared" si="195"/>
        <v>2777.0000000000005</v>
      </c>
    </row>
    <row r="2062" spans="1:13" x14ac:dyDescent="0.25">
      <c r="A2062" s="1">
        <v>45065</v>
      </c>
      <c r="B2062" t="s">
        <v>21</v>
      </c>
      <c r="C2062" t="s">
        <v>20</v>
      </c>
      <c r="D2062" t="s">
        <v>18</v>
      </c>
      <c r="E2062">
        <v>791.83</v>
      </c>
      <c r="F2062">
        <v>556.91</v>
      </c>
      <c r="G2062">
        <v>4</v>
      </c>
      <c r="H2062">
        <f t="shared" si="192"/>
        <v>3167.32</v>
      </c>
      <c r="I2062">
        <f t="shared" si="196"/>
        <v>2227.64</v>
      </c>
      <c r="J2062">
        <f t="shared" si="193"/>
        <v>939.68000000000029</v>
      </c>
      <c r="K2062" s="8">
        <f t="shared" si="194"/>
        <v>0.29667984289557109</v>
      </c>
      <c r="L2062" t="str">
        <f t="shared" si="197"/>
        <v>2023-05</v>
      </c>
      <c r="M2062">
        <f t="shared" si="195"/>
        <v>939.68000000000029</v>
      </c>
    </row>
    <row r="2063" spans="1:13" x14ac:dyDescent="0.25">
      <c r="A2063" s="1">
        <v>44826</v>
      </c>
      <c r="B2063" t="s">
        <v>25</v>
      </c>
      <c r="C2063" t="s">
        <v>15</v>
      </c>
      <c r="D2063" t="s">
        <v>17</v>
      </c>
      <c r="E2063">
        <v>1005.54</v>
      </c>
      <c r="F2063">
        <v>873.93</v>
      </c>
      <c r="G2063">
        <v>7</v>
      </c>
      <c r="H2063">
        <f t="shared" si="192"/>
        <v>7038.78</v>
      </c>
      <c r="I2063">
        <f t="shared" si="196"/>
        <v>6117.5099999999993</v>
      </c>
      <c r="J2063">
        <f t="shared" si="193"/>
        <v>921.27000000000044</v>
      </c>
      <c r="K2063" s="8">
        <f t="shared" si="194"/>
        <v>0.13088489766692529</v>
      </c>
      <c r="L2063" t="str">
        <f t="shared" si="197"/>
        <v>2022-09</v>
      </c>
      <c r="M2063">
        <f t="shared" si="195"/>
        <v>921.27000000000044</v>
      </c>
    </row>
    <row r="2064" spans="1:13" x14ac:dyDescent="0.25">
      <c r="A2064" s="1">
        <v>44970</v>
      </c>
      <c r="B2064" t="s">
        <v>23</v>
      </c>
      <c r="C2064" t="s">
        <v>11</v>
      </c>
      <c r="D2064" t="s">
        <v>9</v>
      </c>
      <c r="E2064">
        <v>1181.54</v>
      </c>
      <c r="F2064">
        <v>828.88</v>
      </c>
      <c r="G2064">
        <v>3</v>
      </c>
      <c r="H2064">
        <f t="shared" si="192"/>
        <v>3544.62</v>
      </c>
      <c r="I2064">
        <f t="shared" si="196"/>
        <v>2486.64</v>
      </c>
      <c r="J2064">
        <f t="shared" si="193"/>
        <v>1057.98</v>
      </c>
      <c r="K2064" s="8">
        <f t="shared" si="194"/>
        <v>0.2984748717775107</v>
      </c>
      <c r="L2064" t="str">
        <f t="shared" si="197"/>
        <v>2023-02</v>
      </c>
      <c r="M2064">
        <f t="shared" si="195"/>
        <v>1057.98</v>
      </c>
    </row>
    <row r="2065" spans="1:13" x14ac:dyDescent="0.25">
      <c r="A2065" s="1">
        <v>45361</v>
      </c>
      <c r="B2065" t="s">
        <v>24</v>
      </c>
      <c r="C2065" t="s">
        <v>20</v>
      </c>
      <c r="D2065" t="s">
        <v>18</v>
      </c>
      <c r="E2065">
        <v>141.80000000000001</v>
      </c>
      <c r="F2065">
        <v>111.7</v>
      </c>
      <c r="G2065">
        <v>4</v>
      </c>
      <c r="H2065">
        <f t="shared" si="192"/>
        <v>567.20000000000005</v>
      </c>
      <c r="I2065">
        <f t="shared" si="196"/>
        <v>446.8</v>
      </c>
      <c r="J2065">
        <f t="shared" si="193"/>
        <v>120.40000000000003</v>
      </c>
      <c r="K2065" s="8">
        <f t="shared" si="194"/>
        <v>0.21227080394922429</v>
      </c>
      <c r="L2065" t="str">
        <f t="shared" si="197"/>
        <v>2024-03</v>
      </c>
      <c r="M2065">
        <f t="shared" si="195"/>
        <v>120.40000000000003</v>
      </c>
    </row>
    <row r="2066" spans="1:13" x14ac:dyDescent="0.25">
      <c r="A2066" s="1">
        <v>44950</v>
      </c>
      <c r="B2066" t="s">
        <v>21</v>
      </c>
      <c r="C2066" t="s">
        <v>20</v>
      </c>
      <c r="D2066" t="s">
        <v>13</v>
      </c>
      <c r="E2066">
        <v>1217.67</v>
      </c>
      <c r="F2066">
        <v>797.47</v>
      </c>
      <c r="G2066">
        <v>8</v>
      </c>
      <c r="H2066">
        <f t="shared" si="192"/>
        <v>9741.36</v>
      </c>
      <c r="I2066">
        <f t="shared" si="196"/>
        <v>6379.76</v>
      </c>
      <c r="J2066">
        <f t="shared" si="193"/>
        <v>3361.6000000000004</v>
      </c>
      <c r="K2066" s="8">
        <f t="shared" si="194"/>
        <v>0.34508528583277903</v>
      </c>
      <c r="L2066" t="str">
        <f t="shared" si="197"/>
        <v>2023-01</v>
      </c>
      <c r="M2066">
        <f t="shared" si="195"/>
        <v>3361.6000000000004</v>
      </c>
    </row>
    <row r="2067" spans="1:13" x14ac:dyDescent="0.25">
      <c r="A2067" s="1">
        <v>45311</v>
      </c>
      <c r="B2067" t="s">
        <v>19</v>
      </c>
      <c r="C2067" t="s">
        <v>20</v>
      </c>
      <c r="D2067" t="s">
        <v>9</v>
      </c>
      <c r="E2067">
        <v>931.57</v>
      </c>
      <c r="F2067">
        <v>524.66999999999996</v>
      </c>
      <c r="G2067">
        <v>3</v>
      </c>
      <c r="H2067">
        <f t="shared" si="192"/>
        <v>2794.71</v>
      </c>
      <c r="I2067">
        <f t="shared" si="196"/>
        <v>1574.0099999999998</v>
      </c>
      <c r="J2067">
        <f t="shared" si="193"/>
        <v>1220.7000000000003</v>
      </c>
      <c r="K2067" s="8">
        <f t="shared" si="194"/>
        <v>0.43678950588790977</v>
      </c>
      <c r="L2067" t="str">
        <f t="shared" si="197"/>
        <v>2024-01</v>
      </c>
      <c r="M2067">
        <f t="shared" si="195"/>
        <v>1220.7000000000003</v>
      </c>
    </row>
    <row r="2068" spans="1:13" x14ac:dyDescent="0.25">
      <c r="A2068" s="1">
        <v>44725</v>
      </c>
      <c r="B2068" t="s">
        <v>25</v>
      </c>
      <c r="C2068" t="s">
        <v>15</v>
      </c>
      <c r="D2068" t="s">
        <v>17</v>
      </c>
      <c r="E2068">
        <v>1712.24</v>
      </c>
      <c r="F2068">
        <v>1454.63</v>
      </c>
      <c r="G2068">
        <v>7</v>
      </c>
      <c r="H2068">
        <f t="shared" si="192"/>
        <v>11985.68</v>
      </c>
      <c r="I2068">
        <f t="shared" si="196"/>
        <v>10182.41</v>
      </c>
      <c r="J2068">
        <f t="shared" si="193"/>
        <v>1803.2700000000004</v>
      </c>
      <c r="K2068" s="8">
        <f t="shared" si="194"/>
        <v>0.15045203943372429</v>
      </c>
      <c r="L2068" t="str">
        <f t="shared" si="197"/>
        <v>2022-06</v>
      </c>
      <c r="M2068">
        <f t="shared" si="195"/>
        <v>1803.2700000000004</v>
      </c>
    </row>
    <row r="2069" spans="1:13" x14ac:dyDescent="0.25">
      <c r="A2069" s="1">
        <v>45505</v>
      </c>
      <c r="B2069" t="s">
        <v>21</v>
      </c>
      <c r="C2069" t="s">
        <v>20</v>
      </c>
      <c r="D2069" t="s">
        <v>18</v>
      </c>
      <c r="E2069">
        <v>1535.84</v>
      </c>
      <c r="F2069">
        <v>1129.96</v>
      </c>
      <c r="G2069">
        <v>6</v>
      </c>
      <c r="H2069">
        <f t="shared" si="192"/>
        <v>9215.0399999999991</v>
      </c>
      <c r="I2069">
        <f t="shared" si="196"/>
        <v>6779.76</v>
      </c>
      <c r="J2069">
        <f t="shared" si="193"/>
        <v>2435.2799999999988</v>
      </c>
      <c r="K2069" s="8">
        <f t="shared" si="194"/>
        <v>0.26427232003333673</v>
      </c>
      <c r="L2069" t="str">
        <f t="shared" si="197"/>
        <v>2024-08</v>
      </c>
      <c r="M2069">
        <f t="shared" si="195"/>
        <v>2435.2799999999988</v>
      </c>
    </row>
    <row r="2070" spans="1:13" x14ac:dyDescent="0.25">
      <c r="A2070" s="1">
        <v>44565</v>
      </c>
      <c r="B2070" t="s">
        <v>21</v>
      </c>
      <c r="C2070" t="s">
        <v>20</v>
      </c>
      <c r="D2070" t="s">
        <v>13</v>
      </c>
      <c r="E2070">
        <v>722.46</v>
      </c>
      <c r="F2070">
        <v>576.09</v>
      </c>
      <c r="G2070">
        <v>10</v>
      </c>
      <c r="H2070">
        <f t="shared" si="192"/>
        <v>7224.6</v>
      </c>
      <c r="I2070">
        <f t="shared" si="196"/>
        <v>5760.9000000000005</v>
      </c>
      <c r="J2070">
        <f t="shared" si="193"/>
        <v>1463.6999999999998</v>
      </c>
      <c r="K2070" s="8">
        <f t="shared" si="194"/>
        <v>0.20259945187276801</v>
      </c>
      <c r="L2070" t="str">
        <f t="shared" si="197"/>
        <v>2022-01</v>
      </c>
      <c r="M2070">
        <f t="shared" si="195"/>
        <v>1463.6999999999998</v>
      </c>
    </row>
    <row r="2071" spans="1:13" x14ac:dyDescent="0.25">
      <c r="A2071" s="1">
        <v>45323</v>
      </c>
      <c r="B2071" t="s">
        <v>14</v>
      </c>
      <c r="C2071" t="s">
        <v>15</v>
      </c>
      <c r="D2071" t="s">
        <v>18</v>
      </c>
      <c r="E2071">
        <v>316.89999999999998</v>
      </c>
      <c r="F2071">
        <v>282.72000000000003</v>
      </c>
      <c r="G2071">
        <v>9</v>
      </c>
      <c r="H2071">
        <f t="shared" si="192"/>
        <v>2852.1</v>
      </c>
      <c r="I2071">
        <f t="shared" si="196"/>
        <v>2544.4800000000005</v>
      </c>
      <c r="J2071">
        <f t="shared" si="193"/>
        <v>307.61999999999944</v>
      </c>
      <c r="K2071" s="8">
        <f t="shared" si="194"/>
        <v>0.10785736825496983</v>
      </c>
      <c r="L2071" t="str">
        <f t="shared" si="197"/>
        <v>2024-02</v>
      </c>
      <c r="M2071">
        <f t="shared" si="195"/>
        <v>307.61999999999944</v>
      </c>
    </row>
    <row r="2072" spans="1:13" x14ac:dyDescent="0.25">
      <c r="A2072" s="1">
        <v>45438</v>
      </c>
      <c r="B2072" t="s">
        <v>21</v>
      </c>
      <c r="C2072" t="s">
        <v>20</v>
      </c>
      <c r="D2072" t="s">
        <v>17</v>
      </c>
      <c r="E2072">
        <v>955.87</v>
      </c>
      <c r="F2072">
        <v>524.13</v>
      </c>
      <c r="G2072">
        <v>4</v>
      </c>
      <c r="H2072">
        <f t="shared" si="192"/>
        <v>3823.48</v>
      </c>
      <c r="I2072">
        <f t="shared" si="196"/>
        <v>2096.52</v>
      </c>
      <c r="J2072">
        <f t="shared" si="193"/>
        <v>1726.96</v>
      </c>
      <c r="K2072" s="8">
        <f t="shared" si="194"/>
        <v>0.45167229853431951</v>
      </c>
      <c r="L2072" t="str">
        <f t="shared" si="197"/>
        <v>2024-05</v>
      </c>
      <c r="M2072">
        <f t="shared" si="195"/>
        <v>1726.96</v>
      </c>
    </row>
    <row r="2073" spans="1:13" x14ac:dyDescent="0.25">
      <c r="A2073" s="1">
        <v>44892</v>
      </c>
      <c r="B2073" t="s">
        <v>19</v>
      </c>
      <c r="C2073" t="s">
        <v>20</v>
      </c>
      <c r="D2073" t="s">
        <v>18</v>
      </c>
      <c r="E2073">
        <v>744.49</v>
      </c>
      <c r="F2073">
        <v>460.97</v>
      </c>
      <c r="G2073">
        <v>5</v>
      </c>
      <c r="H2073">
        <f t="shared" si="192"/>
        <v>3722.45</v>
      </c>
      <c r="I2073">
        <f t="shared" si="196"/>
        <v>2304.8500000000004</v>
      </c>
      <c r="J2073">
        <f t="shared" si="193"/>
        <v>1417.5999999999995</v>
      </c>
      <c r="K2073" s="8">
        <f t="shared" si="194"/>
        <v>0.3808244570108395</v>
      </c>
      <c r="L2073" t="str">
        <f t="shared" si="197"/>
        <v>2022-11</v>
      </c>
      <c r="M2073">
        <f t="shared" si="195"/>
        <v>1417.5999999999995</v>
      </c>
    </row>
    <row r="2074" spans="1:13" x14ac:dyDescent="0.25">
      <c r="A2074" s="1">
        <v>45309</v>
      </c>
      <c r="B2074" t="s">
        <v>19</v>
      </c>
      <c r="C2074" t="s">
        <v>20</v>
      </c>
      <c r="D2074" t="s">
        <v>18</v>
      </c>
      <c r="E2074">
        <v>1045.8699999999999</v>
      </c>
      <c r="F2074">
        <v>891.28</v>
      </c>
      <c r="G2074">
        <v>8</v>
      </c>
      <c r="H2074">
        <f t="shared" si="192"/>
        <v>8366.9599999999991</v>
      </c>
      <c r="I2074">
        <f t="shared" si="196"/>
        <v>7130.24</v>
      </c>
      <c r="J2074">
        <f t="shared" si="193"/>
        <v>1236.7199999999993</v>
      </c>
      <c r="K2074" s="8">
        <f t="shared" si="194"/>
        <v>0.14780995726046253</v>
      </c>
      <c r="L2074" t="str">
        <f t="shared" si="197"/>
        <v>2024-01</v>
      </c>
      <c r="M2074">
        <f t="shared" si="195"/>
        <v>1236.7199999999993</v>
      </c>
    </row>
    <row r="2075" spans="1:13" x14ac:dyDescent="0.25">
      <c r="A2075" s="1">
        <v>44714</v>
      </c>
      <c r="B2075" t="s">
        <v>7</v>
      </c>
      <c r="C2075" t="s">
        <v>8</v>
      </c>
      <c r="D2075" t="s">
        <v>17</v>
      </c>
      <c r="E2075">
        <v>69.23</v>
      </c>
      <c r="F2075">
        <v>54.72</v>
      </c>
      <c r="G2075">
        <v>1</v>
      </c>
      <c r="H2075">
        <f t="shared" si="192"/>
        <v>69.23</v>
      </c>
      <c r="I2075">
        <f t="shared" si="196"/>
        <v>54.72</v>
      </c>
      <c r="J2075">
        <f t="shared" si="193"/>
        <v>14.510000000000005</v>
      </c>
      <c r="K2075" s="8">
        <f t="shared" si="194"/>
        <v>0.20959121768019651</v>
      </c>
      <c r="L2075" t="str">
        <f t="shared" si="197"/>
        <v>2022-06</v>
      </c>
      <c r="M2075">
        <f t="shared" si="195"/>
        <v>14.510000000000005</v>
      </c>
    </row>
    <row r="2076" spans="1:13" x14ac:dyDescent="0.25">
      <c r="A2076" s="1">
        <v>45445</v>
      </c>
      <c r="B2076" t="s">
        <v>24</v>
      </c>
      <c r="C2076" t="s">
        <v>20</v>
      </c>
      <c r="D2076" t="s">
        <v>18</v>
      </c>
      <c r="E2076">
        <v>1764.55</v>
      </c>
      <c r="F2076">
        <v>1587.66</v>
      </c>
      <c r="G2076">
        <v>7</v>
      </c>
      <c r="H2076">
        <f t="shared" si="192"/>
        <v>12351.85</v>
      </c>
      <c r="I2076">
        <f t="shared" si="196"/>
        <v>11113.62</v>
      </c>
      <c r="J2076">
        <f t="shared" si="193"/>
        <v>1238.2299999999996</v>
      </c>
      <c r="K2076" s="8">
        <f t="shared" si="194"/>
        <v>0.10024652177609018</v>
      </c>
      <c r="L2076" t="str">
        <f t="shared" si="197"/>
        <v>2024-06</v>
      </c>
      <c r="M2076">
        <f t="shared" si="195"/>
        <v>1238.2299999999996</v>
      </c>
    </row>
    <row r="2077" spans="1:13" x14ac:dyDescent="0.25">
      <c r="A2077" s="1">
        <v>44567</v>
      </c>
      <c r="B2077" t="s">
        <v>7</v>
      </c>
      <c r="C2077" t="s">
        <v>8</v>
      </c>
      <c r="D2077" t="s">
        <v>13</v>
      </c>
      <c r="E2077">
        <v>1043.19</v>
      </c>
      <c r="F2077">
        <v>709.03</v>
      </c>
      <c r="G2077">
        <v>1</v>
      </c>
      <c r="H2077">
        <f t="shared" si="192"/>
        <v>1043.19</v>
      </c>
      <c r="I2077">
        <f t="shared" si="196"/>
        <v>709.03</v>
      </c>
      <c r="J2077">
        <f t="shared" si="193"/>
        <v>334.16000000000008</v>
      </c>
      <c r="K2077" s="8">
        <f t="shared" si="194"/>
        <v>0.3203251564911474</v>
      </c>
      <c r="L2077" t="str">
        <f t="shared" si="197"/>
        <v>2022-01</v>
      </c>
      <c r="M2077">
        <f t="shared" si="195"/>
        <v>334.16000000000008</v>
      </c>
    </row>
    <row r="2078" spans="1:13" x14ac:dyDescent="0.25">
      <c r="A2078" s="1">
        <v>45541</v>
      </c>
      <c r="B2078" t="s">
        <v>14</v>
      </c>
      <c r="C2078" t="s">
        <v>15</v>
      </c>
      <c r="D2078" t="s">
        <v>9</v>
      </c>
      <c r="E2078">
        <v>442.53</v>
      </c>
      <c r="F2078">
        <v>265.63</v>
      </c>
      <c r="G2078">
        <v>3</v>
      </c>
      <c r="H2078">
        <f t="shared" si="192"/>
        <v>1327.59</v>
      </c>
      <c r="I2078">
        <f t="shared" si="196"/>
        <v>796.89</v>
      </c>
      <c r="J2078">
        <f t="shared" si="193"/>
        <v>530.69999999999993</v>
      </c>
      <c r="K2078" s="8">
        <f t="shared" si="194"/>
        <v>0.39974690981402389</v>
      </c>
      <c r="L2078" t="str">
        <f t="shared" si="197"/>
        <v>2024-09</v>
      </c>
      <c r="M2078">
        <f t="shared" si="195"/>
        <v>530.69999999999993</v>
      </c>
    </row>
    <row r="2079" spans="1:13" x14ac:dyDescent="0.25">
      <c r="A2079" s="1">
        <v>45307</v>
      </c>
      <c r="B2079" t="s">
        <v>16</v>
      </c>
      <c r="C2079" t="s">
        <v>15</v>
      </c>
      <c r="D2079" t="s">
        <v>18</v>
      </c>
      <c r="E2079">
        <v>1315.66</v>
      </c>
      <c r="F2079">
        <v>994.69</v>
      </c>
      <c r="G2079">
        <v>5</v>
      </c>
      <c r="H2079">
        <f t="shared" si="192"/>
        <v>6578.3</v>
      </c>
      <c r="I2079">
        <f t="shared" si="196"/>
        <v>4973.4500000000007</v>
      </c>
      <c r="J2079">
        <f t="shared" si="193"/>
        <v>1604.8499999999995</v>
      </c>
      <c r="K2079" s="8">
        <f t="shared" si="194"/>
        <v>0.24396120578264893</v>
      </c>
      <c r="L2079" t="str">
        <f t="shared" si="197"/>
        <v>2024-01</v>
      </c>
      <c r="M2079">
        <f t="shared" si="195"/>
        <v>1604.8499999999995</v>
      </c>
    </row>
    <row r="2080" spans="1:13" x14ac:dyDescent="0.25">
      <c r="A2080" s="1">
        <v>45202</v>
      </c>
      <c r="B2080" t="s">
        <v>23</v>
      </c>
      <c r="C2080" t="s">
        <v>11</v>
      </c>
      <c r="D2080" t="s">
        <v>13</v>
      </c>
      <c r="E2080">
        <v>1125.3699999999999</v>
      </c>
      <c r="F2080">
        <v>828.33</v>
      </c>
      <c r="G2080">
        <v>6</v>
      </c>
      <c r="H2080">
        <f t="shared" si="192"/>
        <v>6752.2199999999993</v>
      </c>
      <c r="I2080">
        <f t="shared" si="196"/>
        <v>4969.9800000000005</v>
      </c>
      <c r="J2080">
        <f t="shared" si="193"/>
        <v>1782.2399999999989</v>
      </c>
      <c r="K2080" s="8">
        <f t="shared" si="194"/>
        <v>0.26394874574584343</v>
      </c>
      <c r="L2080" t="str">
        <f t="shared" si="197"/>
        <v>2023-10</v>
      </c>
      <c r="M2080">
        <f t="shared" si="195"/>
        <v>1782.2399999999989</v>
      </c>
    </row>
    <row r="2081" spans="1:13" x14ac:dyDescent="0.25">
      <c r="A2081" s="1">
        <v>44857</v>
      </c>
      <c r="B2081" t="s">
        <v>25</v>
      </c>
      <c r="C2081" t="s">
        <v>15</v>
      </c>
      <c r="D2081" t="s">
        <v>13</v>
      </c>
      <c r="E2081">
        <v>1589.12</v>
      </c>
      <c r="F2081">
        <v>1165.01</v>
      </c>
      <c r="G2081">
        <v>7</v>
      </c>
      <c r="H2081">
        <f t="shared" si="192"/>
        <v>11123.84</v>
      </c>
      <c r="I2081">
        <f t="shared" si="196"/>
        <v>8155.07</v>
      </c>
      <c r="J2081">
        <f t="shared" si="193"/>
        <v>2968.7700000000004</v>
      </c>
      <c r="K2081" s="8">
        <f t="shared" si="194"/>
        <v>0.26688355819573101</v>
      </c>
      <c r="L2081" t="str">
        <f t="shared" si="197"/>
        <v>2022-10</v>
      </c>
      <c r="M2081">
        <f t="shared" si="195"/>
        <v>2968.7700000000004</v>
      </c>
    </row>
    <row r="2082" spans="1:13" x14ac:dyDescent="0.25">
      <c r="A2082" s="1">
        <v>45134</v>
      </c>
      <c r="B2082" t="s">
        <v>22</v>
      </c>
      <c r="C2082" t="s">
        <v>8</v>
      </c>
      <c r="D2082" t="s">
        <v>13</v>
      </c>
      <c r="E2082">
        <v>599.04999999999995</v>
      </c>
      <c r="F2082">
        <v>519.73</v>
      </c>
      <c r="G2082">
        <v>10</v>
      </c>
      <c r="H2082">
        <f t="shared" si="192"/>
        <v>5990.5</v>
      </c>
      <c r="I2082">
        <f t="shared" si="196"/>
        <v>5197.3</v>
      </c>
      <c r="J2082">
        <f t="shared" si="193"/>
        <v>793.19999999999982</v>
      </c>
      <c r="K2082" s="8">
        <f t="shared" si="194"/>
        <v>0.13240964861029961</v>
      </c>
      <c r="L2082" t="str">
        <f t="shared" si="197"/>
        <v>2023-07</v>
      </c>
      <c r="M2082">
        <f t="shared" si="195"/>
        <v>793.19999999999982</v>
      </c>
    </row>
    <row r="2083" spans="1:13" x14ac:dyDescent="0.25">
      <c r="A2083" s="1">
        <v>45237</v>
      </c>
      <c r="B2083" t="s">
        <v>12</v>
      </c>
      <c r="C2083" t="s">
        <v>8</v>
      </c>
      <c r="D2083" t="s">
        <v>18</v>
      </c>
      <c r="E2083">
        <v>1833.4</v>
      </c>
      <c r="F2083">
        <v>1145.6400000000001</v>
      </c>
      <c r="G2083">
        <v>5</v>
      </c>
      <c r="H2083">
        <f t="shared" si="192"/>
        <v>9167</v>
      </c>
      <c r="I2083">
        <f t="shared" si="196"/>
        <v>5728.2000000000007</v>
      </c>
      <c r="J2083">
        <f t="shared" si="193"/>
        <v>3438.7999999999993</v>
      </c>
      <c r="K2083" s="8">
        <f t="shared" si="194"/>
        <v>0.37512817715719421</v>
      </c>
      <c r="L2083" t="str">
        <f t="shared" si="197"/>
        <v>2023-11</v>
      </c>
      <c r="M2083">
        <f t="shared" si="195"/>
        <v>3438.7999999999993</v>
      </c>
    </row>
    <row r="2084" spans="1:13" x14ac:dyDescent="0.25">
      <c r="A2084" s="1">
        <v>45442</v>
      </c>
      <c r="B2084" t="s">
        <v>10</v>
      </c>
      <c r="C2084" t="s">
        <v>11</v>
      </c>
      <c r="D2084" t="s">
        <v>9</v>
      </c>
      <c r="E2084">
        <v>1298.29</v>
      </c>
      <c r="F2084">
        <v>1144.78</v>
      </c>
      <c r="G2084">
        <v>8</v>
      </c>
      <c r="H2084">
        <f t="shared" si="192"/>
        <v>10386.32</v>
      </c>
      <c r="I2084">
        <f t="shared" si="196"/>
        <v>9158.24</v>
      </c>
      <c r="J2084">
        <f t="shared" si="193"/>
        <v>1228.08</v>
      </c>
      <c r="K2084" s="8">
        <f t="shared" si="194"/>
        <v>0.11824014665444546</v>
      </c>
      <c r="L2084" t="str">
        <f t="shared" si="197"/>
        <v>2024-05</v>
      </c>
      <c r="M2084">
        <f t="shared" si="195"/>
        <v>1228.08</v>
      </c>
    </row>
    <row r="2085" spans="1:13" x14ac:dyDescent="0.25">
      <c r="A2085" s="1">
        <v>45583</v>
      </c>
      <c r="B2085" t="s">
        <v>10</v>
      </c>
      <c r="C2085" t="s">
        <v>11</v>
      </c>
      <c r="D2085" t="s">
        <v>17</v>
      </c>
      <c r="E2085">
        <v>642.49</v>
      </c>
      <c r="F2085">
        <v>374.39</v>
      </c>
      <c r="G2085">
        <v>10</v>
      </c>
      <c r="H2085">
        <f t="shared" si="192"/>
        <v>6424.9</v>
      </c>
      <c r="I2085">
        <f t="shared" si="196"/>
        <v>3743.8999999999996</v>
      </c>
      <c r="J2085">
        <f t="shared" si="193"/>
        <v>2681</v>
      </c>
      <c r="K2085" s="8">
        <f t="shared" si="194"/>
        <v>0.41728275926473568</v>
      </c>
      <c r="L2085" t="str">
        <f t="shared" si="197"/>
        <v>2024-10</v>
      </c>
      <c r="M2085">
        <f t="shared" si="195"/>
        <v>2681</v>
      </c>
    </row>
    <row r="2086" spans="1:13" x14ac:dyDescent="0.25">
      <c r="A2086" s="1">
        <v>45439</v>
      </c>
      <c r="B2086" t="s">
        <v>19</v>
      </c>
      <c r="C2086" t="s">
        <v>20</v>
      </c>
      <c r="D2086" t="s">
        <v>18</v>
      </c>
      <c r="E2086">
        <v>1389.17</v>
      </c>
      <c r="F2086">
        <v>850.55</v>
      </c>
      <c r="G2086">
        <v>10</v>
      </c>
      <c r="H2086">
        <f t="shared" si="192"/>
        <v>13891.7</v>
      </c>
      <c r="I2086">
        <f t="shared" si="196"/>
        <v>8505.5</v>
      </c>
      <c r="J2086">
        <f t="shared" si="193"/>
        <v>5386.2000000000007</v>
      </c>
      <c r="K2086" s="8">
        <f t="shared" si="194"/>
        <v>0.38772792386820909</v>
      </c>
      <c r="L2086" t="str">
        <f t="shared" si="197"/>
        <v>2024-05</v>
      </c>
      <c r="M2086">
        <f t="shared" si="195"/>
        <v>5386.2000000000007</v>
      </c>
    </row>
    <row r="2087" spans="1:13" x14ac:dyDescent="0.25">
      <c r="A2087" s="1">
        <v>45251</v>
      </c>
      <c r="B2087" t="s">
        <v>7</v>
      </c>
      <c r="C2087" t="s">
        <v>8</v>
      </c>
      <c r="D2087" t="s">
        <v>9</v>
      </c>
      <c r="E2087">
        <v>1357.49</v>
      </c>
      <c r="F2087">
        <v>737.86</v>
      </c>
      <c r="G2087">
        <v>1</v>
      </c>
      <c r="H2087">
        <f t="shared" si="192"/>
        <v>1357.49</v>
      </c>
      <c r="I2087">
        <f t="shared" si="196"/>
        <v>737.86</v>
      </c>
      <c r="J2087">
        <f t="shared" si="193"/>
        <v>619.63</v>
      </c>
      <c r="K2087" s="8">
        <f t="shared" si="194"/>
        <v>0.45645271788374131</v>
      </c>
      <c r="L2087" t="str">
        <f t="shared" si="197"/>
        <v>2023-11</v>
      </c>
      <c r="M2087">
        <f t="shared" si="195"/>
        <v>619.63</v>
      </c>
    </row>
    <row r="2088" spans="1:13" x14ac:dyDescent="0.25">
      <c r="A2088" s="1">
        <v>44568</v>
      </c>
      <c r="B2088" t="s">
        <v>22</v>
      </c>
      <c r="C2088" t="s">
        <v>8</v>
      </c>
      <c r="D2088" t="s">
        <v>17</v>
      </c>
      <c r="E2088">
        <v>1214</v>
      </c>
      <c r="F2088">
        <v>717.36</v>
      </c>
      <c r="G2088">
        <v>8</v>
      </c>
      <c r="H2088">
        <f t="shared" si="192"/>
        <v>9712</v>
      </c>
      <c r="I2088">
        <f t="shared" si="196"/>
        <v>5738.88</v>
      </c>
      <c r="J2088">
        <f t="shared" si="193"/>
        <v>3973.12</v>
      </c>
      <c r="K2088" s="8">
        <f t="shared" si="194"/>
        <v>0.40909390444810545</v>
      </c>
      <c r="L2088" t="str">
        <f t="shared" si="197"/>
        <v>2022-01</v>
      </c>
      <c r="M2088">
        <f t="shared" si="195"/>
        <v>3973.12</v>
      </c>
    </row>
    <row r="2089" spans="1:13" x14ac:dyDescent="0.25">
      <c r="A2089" s="1">
        <v>45126</v>
      </c>
      <c r="B2089" t="s">
        <v>16</v>
      </c>
      <c r="C2089" t="s">
        <v>15</v>
      </c>
      <c r="D2089" t="s">
        <v>18</v>
      </c>
      <c r="E2089">
        <v>1713.72</v>
      </c>
      <c r="F2089">
        <v>916.37</v>
      </c>
      <c r="G2089">
        <v>1</v>
      </c>
      <c r="H2089">
        <f t="shared" si="192"/>
        <v>1713.72</v>
      </c>
      <c r="I2089">
        <f t="shared" si="196"/>
        <v>916.37</v>
      </c>
      <c r="J2089">
        <f t="shared" si="193"/>
        <v>797.35</v>
      </c>
      <c r="K2089" s="8">
        <f t="shared" si="194"/>
        <v>0.46527437387671267</v>
      </c>
      <c r="L2089" t="str">
        <f t="shared" si="197"/>
        <v>2023-07</v>
      </c>
      <c r="M2089">
        <f t="shared" si="195"/>
        <v>797.35</v>
      </c>
    </row>
    <row r="2090" spans="1:13" x14ac:dyDescent="0.25">
      <c r="A2090" s="1">
        <v>45102</v>
      </c>
      <c r="B2090" t="s">
        <v>7</v>
      </c>
      <c r="C2090" t="s">
        <v>8</v>
      </c>
      <c r="D2090" t="s">
        <v>13</v>
      </c>
      <c r="E2090">
        <v>1209.01</v>
      </c>
      <c r="F2090">
        <v>852.65</v>
      </c>
      <c r="G2090">
        <v>7</v>
      </c>
      <c r="H2090">
        <f t="shared" si="192"/>
        <v>8463.07</v>
      </c>
      <c r="I2090">
        <f t="shared" si="196"/>
        <v>5968.55</v>
      </c>
      <c r="J2090">
        <f t="shared" si="193"/>
        <v>2494.5199999999995</v>
      </c>
      <c r="K2090" s="8">
        <f t="shared" si="194"/>
        <v>0.29475355869678493</v>
      </c>
      <c r="L2090" t="str">
        <f t="shared" si="197"/>
        <v>2023-06</v>
      </c>
      <c r="M2090">
        <f t="shared" si="195"/>
        <v>2494.5199999999995</v>
      </c>
    </row>
    <row r="2091" spans="1:13" x14ac:dyDescent="0.25">
      <c r="A2091" s="1">
        <v>45095</v>
      </c>
      <c r="B2091" t="s">
        <v>10</v>
      </c>
      <c r="C2091" t="s">
        <v>11</v>
      </c>
      <c r="D2091" t="s">
        <v>9</v>
      </c>
      <c r="E2091">
        <v>1090.8399999999999</v>
      </c>
      <c r="F2091">
        <v>618.66999999999996</v>
      </c>
      <c r="G2091">
        <v>9</v>
      </c>
      <c r="H2091">
        <f t="shared" si="192"/>
        <v>9817.56</v>
      </c>
      <c r="I2091">
        <f t="shared" si="196"/>
        <v>5568.03</v>
      </c>
      <c r="J2091">
        <f t="shared" si="193"/>
        <v>4249.53</v>
      </c>
      <c r="K2091" s="8">
        <f t="shared" si="194"/>
        <v>0.43284991382787574</v>
      </c>
      <c r="L2091" t="str">
        <f t="shared" si="197"/>
        <v>2023-06</v>
      </c>
      <c r="M2091">
        <f t="shared" si="195"/>
        <v>4249.53</v>
      </c>
    </row>
    <row r="2092" spans="1:13" x14ac:dyDescent="0.25">
      <c r="A2092" s="1">
        <v>44881</v>
      </c>
      <c r="B2092" t="s">
        <v>25</v>
      </c>
      <c r="C2092" t="s">
        <v>15</v>
      </c>
      <c r="D2092" t="s">
        <v>17</v>
      </c>
      <c r="E2092">
        <v>261.72000000000003</v>
      </c>
      <c r="F2092">
        <v>166.37</v>
      </c>
      <c r="G2092">
        <v>8</v>
      </c>
      <c r="H2092">
        <f t="shared" si="192"/>
        <v>2093.7600000000002</v>
      </c>
      <c r="I2092">
        <f t="shared" si="196"/>
        <v>1330.96</v>
      </c>
      <c r="J2092">
        <f t="shared" si="193"/>
        <v>762.80000000000018</v>
      </c>
      <c r="K2092" s="8">
        <f t="shared" si="194"/>
        <v>0.36432064802078562</v>
      </c>
      <c r="L2092" t="str">
        <f t="shared" si="197"/>
        <v>2022-11</v>
      </c>
      <c r="M2092">
        <f t="shared" si="195"/>
        <v>762.80000000000018</v>
      </c>
    </row>
    <row r="2093" spans="1:13" x14ac:dyDescent="0.25">
      <c r="A2093" s="1">
        <v>44581</v>
      </c>
      <c r="B2093" t="s">
        <v>23</v>
      </c>
      <c r="C2093" t="s">
        <v>11</v>
      </c>
      <c r="D2093" t="s">
        <v>17</v>
      </c>
      <c r="E2093">
        <v>818.12</v>
      </c>
      <c r="F2093">
        <v>644.97</v>
      </c>
      <c r="G2093">
        <v>4</v>
      </c>
      <c r="H2093">
        <f t="shared" si="192"/>
        <v>3272.48</v>
      </c>
      <c r="I2093">
        <f t="shared" si="196"/>
        <v>2579.88</v>
      </c>
      <c r="J2093">
        <f t="shared" si="193"/>
        <v>692.59999999999991</v>
      </c>
      <c r="K2093" s="8">
        <f t="shared" si="194"/>
        <v>0.21164376864029724</v>
      </c>
      <c r="L2093" t="str">
        <f t="shared" si="197"/>
        <v>2022-01</v>
      </c>
      <c r="M2093">
        <f t="shared" si="195"/>
        <v>692.59999999999991</v>
      </c>
    </row>
    <row r="2094" spans="1:13" x14ac:dyDescent="0.25">
      <c r="A2094" s="1">
        <v>45372</v>
      </c>
      <c r="B2094" t="s">
        <v>21</v>
      </c>
      <c r="C2094" t="s">
        <v>20</v>
      </c>
      <c r="D2094" t="s">
        <v>17</v>
      </c>
      <c r="E2094">
        <v>719.32</v>
      </c>
      <c r="F2094">
        <v>636.83000000000004</v>
      </c>
      <c r="G2094">
        <v>5</v>
      </c>
      <c r="H2094">
        <f t="shared" si="192"/>
        <v>3596.6000000000004</v>
      </c>
      <c r="I2094">
        <f t="shared" si="196"/>
        <v>3184.15</v>
      </c>
      <c r="J2094">
        <f t="shared" si="193"/>
        <v>412.45000000000027</v>
      </c>
      <c r="K2094" s="8">
        <f t="shared" si="194"/>
        <v>0.11467775120947568</v>
      </c>
      <c r="L2094" t="str">
        <f t="shared" si="197"/>
        <v>2024-03</v>
      </c>
      <c r="M2094">
        <f t="shared" si="195"/>
        <v>412.45000000000027</v>
      </c>
    </row>
    <row r="2095" spans="1:13" x14ac:dyDescent="0.25">
      <c r="A2095" s="1">
        <v>45487</v>
      </c>
      <c r="B2095" t="s">
        <v>14</v>
      </c>
      <c r="C2095" t="s">
        <v>15</v>
      </c>
      <c r="D2095" t="s">
        <v>13</v>
      </c>
      <c r="E2095">
        <v>389.02</v>
      </c>
      <c r="F2095">
        <v>316.81</v>
      </c>
      <c r="G2095">
        <v>4</v>
      </c>
      <c r="H2095">
        <f t="shared" si="192"/>
        <v>1556.08</v>
      </c>
      <c r="I2095">
        <f t="shared" si="196"/>
        <v>1267.24</v>
      </c>
      <c r="J2095">
        <f t="shared" si="193"/>
        <v>288.83999999999992</v>
      </c>
      <c r="K2095" s="8">
        <f t="shared" si="194"/>
        <v>0.18562027659246308</v>
      </c>
      <c r="L2095" t="str">
        <f t="shared" si="197"/>
        <v>2024-07</v>
      </c>
      <c r="M2095">
        <f t="shared" si="195"/>
        <v>288.83999999999992</v>
      </c>
    </row>
    <row r="2096" spans="1:13" x14ac:dyDescent="0.25">
      <c r="A2096" s="1">
        <v>45024</v>
      </c>
      <c r="B2096" t="s">
        <v>19</v>
      </c>
      <c r="C2096" t="s">
        <v>20</v>
      </c>
      <c r="D2096" t="s">
        <v>18</v>
      </c>
      <c r="E2096">
        <v>282.8</v>
      </c>
      <c r="F2096">
        <v>162.07</v>
      </c>
      <c r="G2096">
        <v>10</v>
      </c>
      <c r="H2096">
        <f t="shared" si="192"/>
        <v>2828</v>
      </c>
      <c r="I2096">
        <f t="shared" si="196"/>
        <v>1620.6999999999998</v>
      </c>
      <c r="J2096">
        <f t="shared" si="193"/>
        <v>1207.3000000000002</v>
      </c>
      <c r="K2096" s="8">
        <f t="shared" si="194"/>
        <v>0.42690947666195195</v>
      </c>
      <c r="L2096" t="str">
        <f t="shared" si="197"/>
        <v>2023-04</v>
      </c>
      <c r="M2096">
        <f t="shared" si="195"/>
        <v>1207.3000000000002</v>
      </c>
    </row>
    <row r="2097" spans="1:13" x14ac:dyDescent="0.25">
      <c r="A2097" s="1">
        <v>45545</v>
      </c>
      <c r="B2097" t="s">
        <v>16</v>
      </c>
      <c r="C2097" t="s">
        <v>15</v>
      </c>
      <c r="D2097" t="s">
        <v>18</v>
      </c>
      <c r="E2097">
        <v>106.03</v>
      </c>
      <c r="F2097">
        <v>89.35</v>
      </c>
      <c r="G2097">
        <v>6</v>
      </c>
      <c r="H2097">
        <f t="shared" si="192"/>
        <v>636.18000000000006</v>
      </c>
      <c r="I2097">
        <f t="shared" si="196"/>
        <v>536.09999999999991</v>
      </c>
      <c r="J2097">
        <f t="shared" si="193"/>
        <v>100.08000000000015</v>
      </c>
      <c r="K2097" s="8">
        <f t="shared" si="194"/>
        <v>0.15731396774497805</v>
      </c>
      <c r="L2097" t="str">
        <f t="shared" si="197"/>
        <v>2024-09</v>
      </c>
      <c r="M2097">
        <f t="shared" si="195"/>
        <v>100.08000000000015</v>
      </c>
    </row>
    <row r="2098" spans="1:13" x14ac:dyDescent="0.25">
      <c r="A2098" s="1">
        <v>45479</v>
      </c>
      <c r="B2098" t="s">
        <v>10</v>
      </c>
      <c r="C2098" t="s">
        <v>11</v>
      </c>
      <c r="D2098" t="s">
        <v>9</v>
      </c>
      <c r="E2098">
        <v>126.14</v>
      </c>
      <c r="F2098">
        <v>105.7</v>
      </c>
      <c r="G2098">
        <v>1</v>
      </c>
      <c r="H2098">
        <f t="shared" si="192"/>
        <v>126.14</v>
      </c>
      <c r="I2098">
        <f t="shared" si="196"/>
        <v>105.7</v>
      </c>
      <c r="J2098">
        <f t="shared" si="193"/>
        <v>20.439999999999998</v>
      </c>
      <c r="K2098" s="8">
        <f t="shared" si="194"/>
        <v>0.16204217536071031</v>
      </c>
      <c r="L2098" t="str">
        <f t="shared" si="197"/>
        <v>2024-07</v>
      </c>
      <c r="M2098">
        <f t="shared" si="195"/>
        <v>20.439999999999998</v>
      </c>
    </row>
    <row r="2099" spans="1:13" x14ac:dyDescent="0.25">
      <c r="A2099" s="1">
        <v>45294</v>
      </c>
      <c r="B2099" t="s">
        <v>25</v>
      </c>
      <c r="C2099" t="s">
        <v>15</v>
      </c>
      <c r="D2099" t="s">
        <v>17</v>
      </c>
      <c r="E2099">
        <v>1860.52</v>
      </c>
      <c r="F2099">
        <v>1040.75</v>
      </c>
      <c r="G2099">
        <v>3</v>
      </c>
      <c r="H2099">
        <f t="shared" si="192"/>
        <v>5581.5599999999995</v>
      </c>
      <c r="I2099">
        <f t="shared" si="196"/>
        <v>3122.25</v>
      </c>
      <c r="J2099">
        <f t="shared" si="193"/>
        <v>2459.3099999999995</v>
      </c>
      <c r="K2099" s="8">
        <f t="shared" si="194"/>
        <v>0.44061337690538122</v>
      </c>
      <c r="L2099" t="str">
        <f t="shared" si="197"/>
        <v>2024-01</v>
      </c>
      <c r="M2099">
        <f t="shared" si="195"/>
        <v>2459.3099999999995</v>
      </c>
    </row>
    <row r="2100" spans="1:13" x14ac:dyDescent="0.25">
      <c r="A2100" s="1">
        <v>45116</v>
      </c>
      <c r="B2100" t="s">
        <v>24</v>
      </c>
      <c r="C2100" t="s">
        <v>20</v>
      </c>
      <c r="D2100" t="s">
        <v>18</v>
      </c>
      <c r="E2100">
        <v>323.04000000000002</v>
      </c>
      <c r="F2100">
        <v>252.75</v>
      </c>
      <c r="G2100">
        <v>8</v>
      </c>
      <c r="H2100">
        <f t="shared" si="192"/>
        <v>2584.3200000000002</v>
      </c>
      <c r="I2100">
        <f t="shared" si="196"/>
        <v>2022</v>
      </c>
      <c r="J2100">
        <f t="shared" si="193"/>
        <v>562.32000000000016</v>
      </c>
      <c r="K2100" s="8">
        <f t="shared" si="194"/>
        <v>0.21758915304606247</v>
      </c>
      <c r="L2100" t="str">
        <f t="shared" si="197"/>
        <v>2023-07</v>
      </c>
      <c r="M2100">
        <f t="shared" si="195"/>
        <v>562.32000000000016</v>
      </c>
    </row>
    <row r="2101" spans="1:13" x14ac:dyDescent="0.25">
      <c r="A2101" s="1">
        <v>45087</v>
      </c>
      <c r="B2101" t="s">
        <v>19</v>
      </c>
      <c r="C2101" t="s">
        <v>20</v>
      </c>
      <c r="D2101" t="s">
        <v>9</v>
      </c>
      <c r="E2101">
        <v>179.11</v>
      </c>
      <c r="F2101">
        <v>144.37</v>
      </c>
      <c r="G2101">
        <v>5</v>
      </c>
      <c r="H2101">
        <f t="shared" si="192"/>
        <v>895.55000000000007</v>
      </c>
      <c r="I2101">
        <f t="shared" si="196"/>
        <v>721.85</v>
      </c>
      <c r="J2101">
        <f t="shared" si="193"/>
        <v>173.70000000000005</v>
      </c>
      <c r="K2101" s="8">
        <f t="shared" si="194"/>
        <v>0.19395901959689579</v>
      </c>
      <c r="L2101" t="str">
        <f t="shared" si="197"/>
        <v>2023-06</v>
      </c>
      <c r="M2101">
        <f t="shared" si="195"/>
        <v>173.70000000000005</v>
      </c>
    </row>
    <row r="2102" spans="1:13" x14ac:dyDescent="0.25">
      <c r="A2102" s="1">
        <v>45253</v>
      </c>
      <c r="B2102" t="s">
        <v>25</v>
      </c>
      <c r="C2102" t="s">
        <v>15</v>
      </c>
      <c r="D2102" t="s">
        <v>17</v>
      </c>
      <c r="E2102">
        <v>1336.2</v>
      </c>
      <c r="F2102">
        <v>993.08</v>
      </c>
      <c r="G2102">
        <v>6</v>
      </c>
      <c r="H2102">
        <f t="shared" si="192"/>
        <v>8017.2000000000007</v>
      </c>
      <c r="I2102">
        <f t="shared" si="196"/>
        <v>5958.4800000000005</v>
      </c>
      <c r="J2102">
        <f t="shared" si="193"/>
        <v>2058.7200000000003</v>
      </c>
      <c r="K2102" s="8">
        <f t="shared" si="194"/>
        <v>0.2567879060020955</v>
      </c>
      <c r="L2102" t="str">
        <f t="shared" si="197"/>
        <v>2023-11</v>
      </c>
      <c r="M2102">
        <f t="shared" si="195"/>
        <v>2058.7200000000003</v>
      </c>
    </row>
    <row r="2103" spans="1:13" x14ac:dyDescent="0.25">
      <c r="A2103" s="1">
        <v>45204</v>
      </c>
      <c r="B2103" t="s">
        <v>14</v>
      </c>
      <c r="C2103" t="s">
        <v>15</v>
      </c>
      <c r="D2103" t="s">
        <v>13</v>
      </c>
      <c r="E2103">
        <v>1623.67</v>
      </c>
      <c r="F2103">
        <v>921.39</v>
      </c>
      <c r="G2103">
        <v>5</v>
      </c>
      <c r="H2103">
        <f t="shared" si="192"/>
        <v>8118.35</v>
      </c>
      <c r="I2103">
        <f t="shared" si="196"/>
        <v>4606.95</v>
      </c>
      <c r="J2103">
        <f t="shared" si="193"/>
        <v>3511.4000000000005</v>
      </c>
      <c r="K2103" s="8">
        <f t="shared" si="194"/>
        <v>0.43252631384456208</v>
      </c>
      <c r="L2103" t="str">
        <f t="shared" si="197"/>
        <v>2023-10</v>
      </c>
      <c r="M2103">
        <f t="shared" si="195"/>
        <v>3511.4000000000005</v>
      </c>
    </row>
    <row r="2104" spans="1:13" x14ac:dyDescent="0.25">
      <c r="A2104" s="1">
        <v>44850</v>
      </c>
      <c r="B2104" t="s">
        <v>12</v>
      </c>
      <c r="C2104" t="s">
        <v>8</v>
      </c>
      <c r="D2104" t="s">
        <v>18</v>
      </c>
      <c r="E2104">
        <v>944.34</v>
      </c>
      <c r="F2104">
        <v>650.28</v>
      </c>
      <c r="G2104">
        <v>8</v>
      </c>
      <c r="H2104">
        <f t="shared" si="192"/>
        <v>7554.72</v>
      </c>
      <c r="I2104">
        <f t="shared" si="196"/>
        <v>5202.24</v>
      </c>
      <c r="J2104">
        <f t="shared" si="193"/>
        <v>2352.4800000000005</v>
      </c>
      <c r="K2104" s="8">
        <f t="shared" si="194"/>
        <v>0.31139208335980689</v>
      </c>
      <c r="L2104" t="str">
        <f t="shared" si="197"/>
        <v>2022-10</v>
      </c>
      <c r="M2104">
        <f t="shared" si="195"/>
        <v>2352.4800000000005</v>
      </c>
    </row>
    <row r="2105" spans="1:13" x14ac:dyDescent="0.25">
      <c r="A2105" s="1">
        <v>45365</v>
      </c>
      <c r="B2105" t="s">
        <v>10</v>
      </c>
      <c r="C2105" t="s">
        <v>11</v>
      </c>
      <c r="D2105" t="s">
        <v>13</v>
      </c>
      <c r="E2105">
        <v>1715.25</v>
      </c>
      <c r="F2105">
        <v>884.65</v>
      </c>
      <c r="G2105">
        <v>5</v>
      </c>
      <c r="H2105">
        <f t="shared" si="192"/>
        <v>8576.25</v>
      </c>
      <c r="I2105">
        <f t="shared" si="196"/>
        <v>4423.25</v>
      </c>
      <c r="J2105">
        <f t="shared" si="193"/>
        <v>4153</v>
      </c>
      <c r="K2105" s="8">
        <f t="shared" si="194"/>
        <v>0.48424427925958313</v>
      </c>
      <c r="L2105" t="str">
        <f t="shared" si="197"/>
        <v>2024-03</v>
      </c>
      <c r="M2105">
        <f t="shared" si="195"/>
        <v>4153</v>
      </c>
    </row>
    <row r="2106" spans="1:13" x14ac:dyDescent="0.25">
      <c r="A2106" s="1">
        <v>44939</v>
      </c>
      <c r="B2106" t="s">
        <v>14</v>
      </c>
      <c r="C2106" t="s">
        <v>15</v>
      </c>
      <c r="D2106" t="s">
        <v>13</v>
      </c>
      <c r="E2106">
        <v>1584.85</v>
      </c>
      <c r="F2106">
        <v>1090.44</v>
      </c>
      <c r="G2106">
        <v>8</v>
      </c>
      <c r="H2106">
        <f t="shared" si="192"/>
        <v>12678.8</v>
      </c>
      <c r="I2106">
        <f t="shared" si="196"/>
        <v>8723.52</v>
      </c>
      <c r="J2106">
        <f t="shared" si="193"/>
        <v>3955.2799999999988</v>
      </c>
      <c r="K2106" s="8">
        <f t="shared" si="194"/>
        <v>0.31196012240906074</v>
      </c>
      <c r="L2106" t="str">
        <f t="shared" si="197"/>
        <v>2023-01</v>
      </c>
      <c r="M2106">
        <f t="shared" si="195"/>
        <v>3955.2799999999988</v>
      </c>
    </row>
    <row r="2107" spans="1:13" x14ac:dyDescent="0.25">
      <c r="A2107" s="1">
        <v>45427</v>
      </c>
      <c r="B2107" t="s">
        <v>12</v>
      </c>
      <c r="C2107" t="s">
        <v>8</v>
      </c>
      <c r="D2107" t="s">
        <v>9</v>
      </c>
      <c r="E2107">
        <v>1216.45</v>
      </c>
      <c r="F2107">
        <v>627.49</v>
      </c>
      <c r="G2107">
        <v>8</v>
      </c>
      <c r="H2107">
        <f t="shared" si="192"/>
        <v>9731.6</v>
      </c>
      <c r="I2107">
        <f t="shared" si="196"/>
        <v>5019.92</v>
      </c>
      <c r="J2107">
        <f t="shared" si="193"/>
        <v>4711.68</v>
      </c>
      <c r="K2107" s="8">
        <f t="shared" si="194"/>
        <v>0.48416293312507708</v>
      </c>
      <c r="L2107" t="str">
        <f t="shared" si="197"/>
        <v>2024-05</v>
      </c>
      <c r="M2107">
        <f t="shared" si="195"/>
        <v>4711.68</v>
      </c>
    </row>
    <row r="2108" spans="1:13" x14ac:dyDescent="0.25">
      <c r="A2108" s="1">
        <v>45151</v>
      </c>
      <c r="B2108" t="s">
        <v>12</v>
      </c>
      <c r="C2108" t="s">
        <v>8</v>
      </c>
      <c r="D2108" t="s">
        <v>18</v>
      </c>
      <c r="E2108">
        <v>819.06</v>
      </c>
      <c r="F2108">
        <v>636.99</v>
      </c>
      <c r="G2108">
        <v>4</v>
      </c>
      <c r="H2108">
        <f t="shared" si="192"/>
        <v>3276.24</v>
      </c>
      <c r="I2108">
        <f t="shared" si="196"/>
        <v>2547.96</v>
      </c>
      <c r="J2108">
        <f t="shared" si="193"/>
        <v>728.27999999999975</v>
      </c>
      <c r="K2108" s="8">
        <f t="shared" si="194"/>
        <v>0.22229140722291402</v>
      </c>
      <c r="L2108" t="str">
        <f t="shared" si="197"/>
        <v>2023-08</v>
      </c>
      <c r="M2108">
        <f t="shared" si="195"/>
        <v>728.27999999999975</v>
      </c>
    </row>
    <row r="2109" spans="1:13" x14ac:dyDescent="0.25">
      <c r="A2109" s="1">
        <v>45489</v>
      </c>
      <c r="B2109" t="s">
        <v>25</v>
      </c>
      <c r="C2109" t="s">
        <v>15</v>
      </c>
      <c r="D2109" t="s">
        <v>9</v>
      </c>
      <c r="E2109">
        <v>282.24</v>
      </c>
      <c r="F2109">
        <v>188.82</v>
      </c>
      <c r="G2109">
        <v>7</v>
      </c>
      <c r="H2109">
        <f t="shared" si="192"/>
        <v>1975.68</v>
      </c>
      <c r="I2109">
        <f t="shared" si="196"/>
        <v>1321.74</v>
      </c>
      <c r="J2109">
        <f t="shared" si="193"/>
        <v>653.94000000000005</v>
      </c>
      <c r="K2109" s="8">
        <f t="shared" si="194"/>
        <v>0.33099489795918369</v>
      </c>
      <c r="L2109" t="str">
        <f t="shared" si="197"/>
        <v>2024-07</v>
      </c>
      <c r="M2109">
        <f t="shared" si="195"/>
        <v>653.94000000000005</v>
      </c>
    </row>
    <row r="2110" spans="1:13" x14ac:dyDescent="0.25">
      <c r="A2110" s="1">
        <v>44869</v>
      </c>
      <c r="B2110" t="s">
        <v>12</v>
      </c>
      <c r="C2110" t="s">
        <v>8</v>
      </c>
      <c r="D2110" t="s">
        <v>13</v>
      </c>
      <c r="E2110">
        <v>1593.55</v>
      </c>
      <c r="F2110">
        <v>1321.85</v>
      </c>
      <c r="G2110">
        <v>7</v>
      </c>
      <c r="H2110">
        <f t="shared" si="192"/>
        <v>11154.85</v>
      </c>
      <c r="I2110">
        <f t="shared" si="196"/>
        <v>9252.9499999999989</v>
      </c>
      <c r="J2110">
        <f t="shared" si="193"/>
        <v>1901.9000000000015</v>
      </c>
      <c r="K2110" s="8">
        <f t="shared" si="194"/>
        <v>0.1704998274293246</v>
      </c>
      <c r="L2110" t="str">
        <f t="shared" si="197"/>
        <v>2022-11</v>
      </c>
      <c r="M2110">
        <f t="shared" si="195"/>
        <v>1901.9000000000015</v>
      </c>
    </row>
    <row r="2111" spans="1:13" x14ac:dyDescent="0.25">
      <c r="A2111" s="1">
        <v>44659</v>
      </c>
      <c r="B2111" t="s">
        <v>24</v>
      </c>
      <c r="C2111" t="s">
        <v>20</v>
      </c>
      <c r="D2111" t="s">
        <v>18</v>
      </c>
      <c r="E2111">
        <v>1411.15</v>
      </c>
      <c r="F2111">
        <v>1106.3</v>
      </c>
      <c r="G2111">
        <v>2</v>
      </c>
      <c r="H2111">
        <f t="shared" si="192"/>
        <v>2822.3</v>
      </c>
      <c r="I2111">
        <f t="shared" si="196"/>
        <v>2212.6</v>
      </c>
      <c r="J2111">
        <f t="shared" si="193"/>
        <v>609.70000000000027</v>
      </c>
      <c r="K2111" s="8">
        <f t="shared" si="194"/>
        <v>0.21602947950253348</v>
      </c>
      <c r="L2111" t="str">
        <f t="shared" si="197"/>
        <v>2022-04</v>
      </c>
      <c r="M2111">
        <f t="shared" si="195"/>
        <v>609.70000000000027</v>
      </c>
    </row>
    <row r="2112" spans="1:13" x14ac:dyDescent="0.25">
      <c r="A2112" s="1">
        <v>44840</v>
      </c>
      <c r="B2112" t="s">
        <v>14</v>
      </c>
      <c r="C2112" t="s">
        <v>15</v>
      </c>
      <c r="D2112" t="s">
        <v>13</v>
      </c>
      <c r="E2112">
        <v>906.52</v>
      </c>
      <c r="F2112">
        <v>534.05999999999995</v>
      </c>
      <c r="G2112">
        <v>4</v>
      </c>
      <c r="H2112">
        <f t="shared" si="192"/>
        <v>3626.08</v>
      </c>
      <c r="I2112">
        <f t="shared" si="196"/>
        <v>2136.2399999999998</v>
      </c>
      <c r="J2112">
        <f t="shared" si="193"/>
        <v>1489.8400000000001</v>
      </c>
      <c r="K2112" s="8">
        <f t="shared" si="194"/>
        <v>0.41086793451881926</v>
      </c>
      <c r="L2112" t="str">
        <f t="shared" si="197"/>
        <v>2022-10</v>
      </c>
      <c r="M2112">
        <f t="shared" si="195"/>
        <v>1489.8400000000001</v>
      </c>
    </row>
    <row r="2113" spans="1:13" x14ac:dyDescent="0.25">
      <c r="A2113" s="1">
        <v>44939</v>
      </c>
      <c r="B2113" t="s">
        <v>23</v>
      </c>
      <c r="C2113" t="s">
        <v>11</v>
      </c>
      <c r="D2113" t="s">
        <v>17</v>
      </c>
      <c r="E2113">
        <v>1802.32</v>
      </c>
      <c r="F2113">
        <v>1524.81</v>
      </c>
      <c r="G2113">
        <v>10</v>
      </c>
      <c r="H2113">
        <f t="shared" si="192"/>
        <v>18023.2</v>
      </c>
      <c r="I2113">
        <f t="shared" si="196"/>
        <v>15248.099999999999</v>
      </c>
      <c r="J2113">
        <f t="shared" si="193"/>
        <v>2775.1000000000022</v>
      </c>
      <c r="K2113" s="8">
        <f t="shared" si="194"/>
        <v>0.15397376714456934</v>
      </c>
      <c r="L2113" t="str">
        <f t="shared" si="197"/>
        <v>2023-01</v>
      </c>
      <c r="M2113">
        <f t="shared" si="195"/>
        <v>2775.1000000000022</v>
      </c>
    </row>
    <row r="2114" spans="1:13" x14ac:dyDescent="0.25">
      <c r="A2114" s="1">
        <v>45109</v>
      </c>
      <c r="B2114" t="s">
        <v>19</v>
      </c>
      <c r="C2114" t="s">
        <v>20</v>
      </c>
      <c r="D2114" t="s">
        <v>9</v>
      </c>
      <c r="E2114">
        <v>300.77999999999997</v>
      </c>
      <c r="F2114">
        <v>265.04000000000002</v>
      </c>
      <c r="G2114">
        <v>2</v>
      </c>
      <c r="H2114">
        <f t="shared" si="192"/>
        <v>601.55999999999995</v>
      </c>
      <c r="I2114">
        <f t="shared" si="196"/>
        <v>530.08000000000004</v>
      </c>
      <c r="J2114">
        <f t="shared" si="193"/>
        <v>71.479999999999905</v>
      </c>
      <c r="K2114" s="8">
        <f t="shared" si="194"/>
        <v>0.11882438991954238</v>
      </c>
      <c r="L2114" t="str">
        <f t="shared" si="197"/>
        <v>2023-07</v>
      </c>
      <c r="M2114">
        <f t="shared" si="195"/>
        <v>71.479999999999905</v>
      </c>
    </row>
    <row r="2115" spans="1:13" x14ac:dyDescent="0.25">
      <c r="A2115" s="1">
        <v>45396</v>
      </c>
      <c r="B2115" t="s">
        <v>19</v>
      </c>
      <c r="C2115" t="s">
        <v>20</v>
      </c>
      <c r="D2115" t="s">
        <v>13</v>
      </c>
      <c r="E2115">
        <v>580.74</v>
      </c>
      <c r="F2115">
        <v>514.70000000000005</v>
      </c>
      <c r="G2115">
        <v>4</v>
      </c>
      <c r="H2115">
        <f t="shared" ref="H2115:H2178" si="198">E2115*G2115</f>
        <v>2322.96</v>
      </c>
      <c r="I2115">
        <f t="shared" si="196"/>
        <v>2058.8000000000002</v>
      </c>
      <c r="J2115">
        <f t="shared" ref="J2115:J2178" si="199">H2115-I2115</f>
        <v>264.15999999999985</v>
      </c>
      <c r="K2115" s="8">
        <f t="shared" ref="K2115:K2178" si="200">(H2115-I2115)/H2115</f>
        <v>0.11371698178186446</v>
      </c>
      <c r="L2115" t="str">
        <f t="shared" si="197"/>
        <v>2024-04</v>
      </c>
      <c r="M2115">
        <f t="shared" ref="M2115:M2178" si="201">H2115-I2115</f>
        <v>264.15999999999985</v>
      </c>
    </row>
    <row r="2116" spans="1:13" x14ac:dyDescent="0.25">
      <c r="A2116" s="1">
        <v>45477</v>
      </c>
      <c r="B2116" t="s">
        <v>10</v>
      </c>
      <c r="C2116" t="s">
        <v>11</v>
      </c>
      <c r="D2116" t="s">
        <v>17</v>
      </c>
      <c r="E2116">
        <v>145.21</v>
      </c>
      <c r="F2116">
        <v>97.37</v>
      </c>
      <c r="G2116">
        <v>9</v>
      </c>
      <c r="H2116">
        <f t="shared" si="198"/>
        <v>1306.8900000000001</v>
      </c>
      <c r="I2116">
        <f t="shared" ref="I2116:I2179" si="202">F2116*G2116</f>
        <v>876.33</v>
      </c>
      <c r="J2116">
        <f t="shared" si="199"/>
        <v>430.56000000000006</v>
      </c>
      <c r="K2116" s="8">
        <f t="shared" si="200"/>
        <v>0.32945389435989259</v>
      </c>
      <c r="L2116" t="str">
        <f t="shared" ref="L2116:L2179" si="203">TEXT(A2116,"rrrr-mm")</f>
        <v>2024-07</v>
      </c>
      <c r="M2116">
        <f t="shared" si="201"/>
        <v>430.56000000000006</v>
      </c>
    </row>
    <row r="2117" spans="1:13" x14ac:dyDescent="0.25">
      <c r="A2117" s="1">
        <v>45470</v>
      </c>
      <c r="B2117" t="s">
        <v>14</v>
      </c>
      <c r="C2117" t="s">
        <v>15</v>
      </c>
      <c r="D2117" t="s">
        <v>18</v>
      </c>
      <c r="E2117">
        <v>419.18</v>
      </c>
      <c r="F2117">
        <v>300.61</v>
      </c>
      <c r="G2117">
        <v>5</v>
      </c>
      <c r="H2117">
        <f t="shared" si="198"/>
        <v>2095.9</v>
      </c>
      <c r="I2117">
        <f t="shared" si="202"/>
        <v>1503.0500000000002</v>
      </c>
      <c r="J2117">
        <f t="shared" si="199"/>
        <v>592.84999999999991</v>
      </c>
      <c r="K2117" s="8">
        <f t="shared" si="200"/>
        <v>0.28286177775657229</v>
      </c>
      <c r="L2117" t="str">
        <f t="shared" si="203"/>
        <v>2024-06</v>
      </c>
      <c r="M2117">
        <f t="shared" si="201"/>
        <v>592.84999999999991</v>
      </c>
    </row>
    <row r="2118" spans="1:13" x14ac:dyDescent="0.25">
      <c r="A2118" s="1">
        <v>45294</v>
      </c>
      <c r="B2118" t="s">
        <v>12</v>
      </c>
      <c r="C2118" t="s">
        <v>8</v>
      </c>
      <c r="D2118" t="s">
        <v>17</v>
      </c>
      <c r="E2118">
        <v>185.29</v>
      </c>
      <c r="F2118">
        <v>156.85</v>
      </c>
      <c r="G2118">
        <v>3</v>
      </c>
      <c r="H2118">
        <f t="shared" si="198"/>
        <v>555.87</v>
      </c>
      <c r="I2118">
        <f t="shared" si="202"/>
        <v>470.54999999999995</v>
      </c>
      <c r="J2118">
        <f t="shared" si="199"/>
        <v>85.32000000000005</v>
      </c>
      <c r="K2118" s="8">
        <f t="shared" si="200"/>
        <v>0.15348912515516228</v>
      </c>
      <c r="L2118" t="str">
        <f t="shared" si="203"/>
        <v>2024-01</v>
      </c>
      <c r="M2118">
        <f t="shared" si="201"/>
        <v>85.32000000000005</v>
      </c>
    </row>
    <row r="2119" spans="1:13" x14ac:dyDescent="0.25">
      <c r="A2119" s="1">
        <v>45127</v>
      </c>
      <c r="B2119" t="s">
        <v>21</v>
      </c>
      <c r="C2119" t="s">
        <v>20</v>
      </c>
      <c r="D2119" t="s">
        <v>17</v>
      </c>
      <c r="E2119">
        <v>301.11</v>
      </c>
      <c r="F2119">
        <v>159.72</v>
      </c>
      <c r="G2119">
        <v>1</v>
      </c>
      <c r="H2119">
        <f t="shared" si="198"/>
        <v>301.11</v>
      </c>
      <c r="I2119">
        <f t="shared" si="202"/>
        <v>159.72</v>
      </c>
      <c r="J2119">
        <f t="shared" si="199"/>
        <v>141.39000000000001</v>
      </c>
      <c r="K2119" s="8">
        <f t="shared" si="200"/>
        <v>0.46956261831224472</v>
      </c>
      <c r="L2119" t="str">
        <f t="shared" si="203"/>
        <v>2023-07</v>
      </c>
      <c r="M2119">
        <f t="shared" si="201"/>
        <v>141.39000000000001</v>
      </c>
    </row>
    <row r="2120" spans="1:13" x14ac:dyDescent="0.25">
      <c r="A2120" s="1">
        <v>45228</v>
      </c>
      <c r="B2120" t="s">
        <v>7</v>
      </c>
      <c r="C2120" t="s">
        <v>8</v>
      </c>
      <c r="D2120" t="s">
        <v>9</v>
      </c>
      <c r="E2120">
        <v>1727.18</v>
      </c>
      <c r="F2120">
        <v>980.58</v>
      </c>
      <c r="G2120">
        <v>9</v>
      </c>
      <c r="H2120">
        <f t="shared" si="198"/>
        <v>15544.62</v>
      </c>
      <c r="I2120">
        <f t="shared" si="202"/>
        <v>8825.2200000000012</v>
      </c>
      <c r="J2120">
        <f t="shared" si="199"/>
        <v>6719.4</v>
      </c>
      <c r="K2120" s="8">
        <f t="shared" si="200"/>
        <v>0.43226531108512134</v>
      </c>
      <c r="L2120" t="str">
        <f t="shared" si="203"/>
        <v>2023-10</v>
      </c>
      <c r="M2120">
        <f t="shared" si="201"/>
        <v>6719.4</v>
      </c>
    </row>
    <row r="2121" spans="1:13" x14ac:dyDescent="0.25">
      <c r="A2121" s="1">
        <v>44867</v>
      </c>
      <c r="B2121" t="s">
        <v>16</v>
      </c>
      <c r="C2121" t="s">
        <v>15</v>
      </c>
      <c r="D2121" t="s">
        <v>9</v>
      </c>
      <c r="E2121">
        <v>128.46</v>
      </c>
      <c r="F2121">
        <v>112.87</v>
      </c>
      <c r="G2121">
        <v>3</v>
      </c>
      <c r="H2121">
        <f t="shared" si="198"/>
        <v>385.38</v>
      </c>
      <c r="I2121">
        <f t="shared" si="202"/>
        <v>338.61</v>
      </c>
      <c r="J2121">
        <f t="shared" si="199"/>
        <v>46.769999999999982</v>
      </c>
      <c r="K2121" s="8">
        <f t="shared" si="200"/>
        <v>0.12136073485910007</v>
      </c>
      <c r="L2121" t="str">
        <f t="shared" si="203"/>
        <v>2022-11</v>
      </c>
      <c r="M2121">
        <f t="shared" si="201"/>
        <v>46.769999999999982</v>
      </c>
    </row>
    <row r="2122" spans="1:13" x14ac:dyDescent="0.25">
      <c r="A2122" s="1">
        <v>45129</v>
      </c>
      <c r="B2122" t="s">
        <v>25</v>
      </c>
      <c r="C2122" t="s">
        <v>15</v>
      </c>
      <c r="D2122" t="s">
        <v>17</v>
      </c>
      <c r="E2122">
        <v>1132.99</v>
      </c>
      <c r="F2122">
        <v>868.89</v>
      </c>
      <c r="G2122">
        <v>6</v>
      </c>
      <c r="H2122">
        <f t="shared" si="198"/>
        <v>6797.9400000000005</v>
      </c>
      <c r="I2122">
        <f t="shared" si="202"/>
        <v>5213.34</v>
      </c>
      <c r="J2122">
        <f t="shared" si="199"/>
        <v>1584.6000000000004</v>
      </c>
      <c r="K2122" s="8">
        <f t="shared" si="200"/>
        <v>0.23310002736123006</v>
      </c>
      <c r="L2122" t="str">
        <f t="shared" si="203"/>
        <v>2023-07</v>
      </c>
      <c r="M2122">
        <f t="shared" si="201"/>
        <v>1584.6000000000004</v>
      </c>
    </row>
    <row r="2123" spans="1:13" x14ac:dyDescent="0.25">
      <c r="A2123" s="1">
        <v>45648</v>
      </c>
      <c r="B2123" t="s">
        <v>7</v>
      </c>
      <c r="C2123" t="s">
        <v>8</v>
      </c>
      <c r="D2123" t="s">
        <v>18</v>
      </c>
      <c r="E2123">
        <v>759.87</v>
      </c>
      <c r="F2123">
        <v>623.99</v>
      </c>
      <c r="G2123">
        <v>1</v>
      </c>
      <c r="H2123">
        <f t="shared" si="198"/>
        <v>759.87</v>
      </c>
      <c r="I2123">
        <f t="shared" si="202"/>
        <v>623.99</v>
      </c>
      <c r="J2123">
        <f t="shared" si="199"/>
        <v>135.88</v>
      </c>
      <c r="K2123" s="8">
        <f t="shared" si="200"/>
        <v>0.17882006132627948</v>
      </c>
      <c r="L2123" t="str">
        <f t="shared" si="203"/>
        <v>2024-12</v>
      </c>
      <c r="M2123">
        <f t="shared" si="201"/>
        <v>135.88</v>
      </c>
    </row>
    <row r="2124" spans="1:13" x14ac:dyDescent="0.25">
      <c r="A2124" s="1">
        <v>44870</v>
      </c>
      <c r="B2124" t="s">
        <v>22</v>
      </c>
      <c r="C2124" t="s">
        <v>8</v>
      </c>
      <c r="D2124" t="s">
        <v>9</v>
      </c>
      <c r="E2124">
        <v>1731.16</v>
      </c>
      <c r="F2124">
        <v>1221.73</v>
      </c>
      <c r="G2124">
        <v>5</v>
      </c>
      <c r="H2124">
        <f t="shared" si="198"/>
        <v>8655.8000000000011</v>
      </c>
      <c r="I2124">
        <f t="shared" si="202"/>
        <v>6108.65</v>
      </c>
      <c r="J2124">
        <f t="shared" si="199"/>
        <v>2547.1500000000015</v>
      </c>
      <c r="K2124" s="8">
        <f t="shared" si="200"/>
        <v>0.29427089350493324</v>
      </c>
      <c r="L2124" t="str">
        <f t="shared" si="203"/>
        <v>2022-11</v>
      </c>
      <c r="M2124">
        <f t="shared" si="201"/>
        <v>2547.1500000000015</v>
      </c>
    </row>
    <row r="2125" spans="1:13" x14ac:dyDescent="0.25">
      <c r="A2125" s="1">
        <v>44998</v>
      </c>
      <c r="B2125" t="s">
        <v>25</v>
      </c>
      <c r="C2125" t="s">
        <v>15</v>
      </c>
      <c r="D2125" t="s">
        <v>13</v>
      </c>
      <c r="E2125">
        <v>365.26</v>
      </c>
      <c r="F2125">
        <v>303.23</v>
      </c>
      <c r="G2125">
        <v>2</v>
      </c>
      <c r="H2125">
        <f t="shared" si="198"/>
        <v>730.52</v>
      </c>
      <c r="I2125">
        <f t="shared" si="202"/>
        <v>606.46</v>
      </c>
      <c r="J2125">
        <f t="shared" si="199"/>
        <v>124.05999999999995</v>
      </c>
      <c r="K2125" s="8">
        <f t="shared" si="200"/>
        <v>0.16982423479165518</v>
      </c>
      <c r="L2125" t="str">
        <f t="shared" si="203"/>
        <v>2023-03</v>
      </c>
      <c r="M2125">
        <f t="shared" si="201"/>
        <v>124.05999999999995</v>
      </c>
    </row>
    <row r="2126" spans="1:13" x14ac:dyDescent="0.25">
      <c r="A2126" s="1">
        <v>44582</v>
      </c>
      <c r="B2126" t="s">
        <v>22</v>
      </c>
      <c r="C2126" t="s">
        <v>8</v>
      </c>
      <c r="D2126" t="s">
        <v>18</v>
      </c>
      <c r="E2126">
        <v>460.29</v>
      </c>
      <c r="F2126">
        <v>259.75</v>
      </c>
      <c r="G2126">
        <v>1</v>
      </c>
      <c r="H2126">
        <f t="shared" si="198"/>
        <v>460.29</v>
      </c>
      <c r="I2126">
        <f t="shared" si="202"/>
        <v>259.75</v>
      </c>
      <c r="J2126">
        <f t="shared" si="199"/>
        <v>200.54000000000002</v>
      </c>
      <c r="K2126" s="8">
        <f t="shared" si="200"/>
        <v>0.43568185274500859</v>
      </c>
      <c r="L2126" t="str">
        <f t="shared" si="203"/>
        <v>2022-01</v>
      </c>
      <c r="M2126">
        <f t="shared" si="201"/>
        <v>200.54000000000002</v>
      </c>
    </row>
    <row r="2127" spans="1:13" x14ac:dyDescent="0.25">
      <c r="A2127" s="1">
        <v>45340</v>
      </c>
      <c r="B2127" t="s">
        <v>21</v>
      </c>
      <c r="C2127" t="s">
        <v>20</v>
      </c>
      <c r="D2127" t="s">
        <v>13</v>
      </c>
      <c r="E2127">
        <v>1047.94</v>
      </c>
      <c r="F2127">
        <v>533.63</v>
      </c>
      <c r="G2127">
        <v>9</v>
      </c>
      <c r="H2127">
        <f t="shared" si="198"/>
        <v>9431.4600000000009</v>
      </c>
      <c r="I2127">
        <f t="shared" si="202"/>
        <v>4802.67</v>
      </c>
      <c r="J2127">
        <f t="shared" si="199"/>
        <v>4628.7900000000009</v>
      </c>
      <c r="K2127" s="8">
        <f t="shared" si="200"/>
        <v>0.49078191499513335</v>
      </c>
      <c r="L2127" t="str">
        <f t="shared" si="203"/>
        <v>2024-02</v>
      </c>
      <c r="M2127">
        <f t="shared" si="201"/>
        <v>4628.7900000000009</v>
      </c>
    </row>
    <row r="2128" spans="1:13" x14ac:dyDescent="0.25">
      <c r="A2128" s="1">
        <v>45374</v>
      </c>
      <c r="B2128" t="s">
        <v>14</v>
      </c>
      <c r="C2128" t="s">
        <v>15</v>
      </c>
      <c r="D2128" t="s">
        <v>13</v>
      </c>
      <c r="E2128">
        <v>1150.8</v>
      </c>
      <c r="F2128">
        <v>589.42999999999995</v>
      </c>
      <c r="G2128">
        <v>3</v>
      </c>
      <c r="H2128">
        <f t="shared" si="198"/>
        <v>3452.3999999999996</v>
      </c>
      <c r="I2128">
        <f t="shared" si="202"/>
        <v>1768.29</v>
      </c>
      <c r="J2128">
        <f t="shared" si="199"/>
        <v>1684.1099999999997</v>
      </c>
      <c r="K2128" s="8">
        <f t="shared" si="200"/>
        <v>0.4878084810566562</v>
      </c>
      <c r="L2128" t="str">
        <f t="shared" si="203"/>
        <v>2024-03</v>
      </c>
      <c r="M2128">
        <f t="shared" si="201"/>
        <v>1684.1099999999997</v>
      </c>
    </row>
    <row r="2129" spans="1:13" x14ac:dyDescent="0.25">
      <c r="A2129" s="1">
        <v>45558</v>
      </c>
      <c r="B2129" t="s">
        <v>23</v>
      </c>
      <c r="C2129" t="s">
        <v>11</v>
      </c>
      <c r="D2129" t="s">
        <v>18</v>
      </c>
      <c r="E2129">
        <v>1683.53</v>
      </c>
      <c r="F2129">
        <v>1073.02</v>
      </c>
      <c r="G2129">
        <v>6</v>
      </c>
      <c r="H2129">
        <f t="shared" si="198"/>
        <v>10101.18</v>
      </c>
      <c r="I2129">
        <f t="shared" si="202"/>
        <v>6438.12</v>
      </c>
      <c r="J2129">
        <f t="shared" si="199"/>
        <v>3663.0600000000004</v>
      </c>
      <c r="K2129" s="8">
        <f t="shared" si="200"/>
        <v>0.36263684044834371</v>
      </c>
      <c r="L2129" t="str">
        <f t="shared" si="203"/>
        <v>2024-09</v>
      </c>
      <c r="M2129">
        <f t="shared" si="201"/>
        <v>3663.0600000000004</v>
      </c>
    </row>
    <row r="2130" spans="1:13" x14ac:dyDescent="0.25">
      <c r="A2130" s="1">
        <v>45310</v>
      </c>
      <c r="B2130" t="s">
        <v>12</v>
      </c>
      <c r="C2130" t="s">
        <v>8</v>
      </c>
      <c r="D2130" t="s">
        <v>17</v>
      </c>
      <c r="E2130">
        <v>273.76</v>
      </c>
      <c r="F2130">
        <v>188.88</v>
      </c>
      <c r="G2130">
        <v>10</v>
      </c>
      <c r="H2130">
        <f t="shared" si="198"/>
        <v>2737.6</v>
      </c>
      <c r="I2130">
        <f t="shared" si="202"/>
        <v>1888.8</v>
      </c>
      <c r="J2130">
        <f t="shared" si="199"/>
        <v>848.8</v>
      </c>
      <c r="K2130" s="8">
        <f t="shared" si="200"/>
        <v>0.31005260081823494</v>
      </c>
      <c r="L2130" t="str">
        <f t="shared" si="203"/>
        <v>2024-01</v>
      </c>
      <c r="M2130">
        <f t="shared" si="201"/>
        <v>848.8</v>
      </c>
    </row>
    <row r="2131" spans="1:13" x14ac:dyDescent="0.25">
      <c r="A2131" s="1">
        <v>44881</v>
      </c>
      <c r="B2131" t="s">
        <v>25</v>
      </c>
      <c r="C2131" t="s">
        <v>15</v>
      </c>
      <c r="D2131" t="s">
        <v>17</v>
      </c>
      <c r="E2131">
        <v>324.77</v>
      </c>
      <c r="F2131">
        <v>264.38</v>
      </c>
      <c r="G2131">
        <v>2</v>
      </c>
      <c r="H2131">
        <f t="shared" si="198"/>
        <v>649.54</v>
      </c>
      <c r="I2131">
        <f t="shared" si="202"/>
        <v>528.76</v>
      </c>
      <c r="J2131">
        <f t="shared" si="199"/>
        <v>120.77999999999997</v>
      </c>
      <c r="K2131" s="8">
        <f t="shared" si="200"/>
        <v>0.18594697786125564</v>
      </c>
      <c r="L2131" t="str">
        <f t="shared" si="203"/>
        <v>2022-11</v>
      </c>
      <c r="M2131">
        <f t="shared" si="201"/>
        <v>120.77999999999997</v>
      </c>
    </row>
    <row r="2132" spans="1:13" x14ac:dyDescent="0.25">
      <c r="A2132" s="1">
        <v>45381</v>
      </c>
      <c r="B2132" t="s">
        <v>23</v>
      </c>
      <c r="C2132" t="s">
        <v>11</v>
      </c>
      <c r="D2132" t="s">
        <v>9</v>
      </c>
      <c r="E2132">
        <v>658.93</v>
      </c>
      <c r="F2132">
        <v>586.75</v>
      </c>
      <c r="G2132">
        <v>1</v>
      </c>
      <c r="H2132">
        <f t="shared" si="198"/>
        <v>658.93</v>
      </c>
      <c r="I2132">
        <f t="shared" si="202"/>
        <v>586.75</v>
      </c>
      <c r="J2132">
        <f t="shared" si="199"/>
        <v>72.17999999999995</v>
      </c>
      <c r="K2132" s="8">
        <f t="shared" si="200"/>
        <v>0.1095412259268814</v>
      </c>
      <c r="L2132" t="str">
        <f t="shared" si="203"/>
        <v>2024-03</v>
      </c>
      <c r="M2132">
        <f t="shared" si="201"/>
        <v>72.17999999999995</v>
      </c>
    </row>
    <row r="2133" spans="1:13" x14ac:dyDescent="0.25">
      <c r="A2133" s="1">
        <v>44822</v>
      </c>
      <c r="B2133" t="s">
        <v>14</v>
      </c>
      <c r="C2133" t="s">
        <v>15</v>
      </c>
      <c r="D2133" t="s">
        <v>9</v>
      </c>
      <c r="E2133">
        <v>1893.39</v>
      </c>
      <c r="F2133">
        <v>1595.58</v>
      </c>
      <c r="G2133">
        <v>1</v>
      </c>
      <c r="H2133">
        <f t="shared" si="198"/>
        <v>1893.39</v>
      </c>
      <c r="I2133">
        <f t="shared" si="202"/>
        <v>1595.58</v>
      </c>
      <c r="J2133">
        <f t="shared" si="199"/>
        <v>297.81000000000017</v>
      </c>
      <c r="K2133" s="8">
        <f t="shared" si="200"/>
        <v>0.15728930648202438</v>
      </c>
      <c r="L2133" t="str">
        <f t="shared" si="203"/>
        <v>2022-09</v>
      </c>
      <c r="M2133">
        <f t="shared" si="201"/>
        <v>297.81000000000017</v>
      </c>
    </row>
    <row r="2134" spans="1:13" x14ac:dyDescent="0.25">
      <c r="A2134" s="1">
        <v>44758</v>
      </c>
      <c r="B2134" t="s">
        <v>16</v>
      </c>
      <c r="C2134" t="s">
        <v>15</v>
      </c>
      <c r="D2134" t="s">
        <v>13</v>
      </c>
      <c r="E2134">
        <v>746.07</v>
      </c>
      <c r="F2134">
        <v>600.58000000000004</v>
      </c>
      <c r="G2134">
        <v>2</v>
      </c>
      <c r="H2134">
        <f t="shared" si="198"/>
        <v>1492.14</v>
      </c>
      <c r="I2134">
        <f t="shared" si="202"/>
        <v>1201.1600000000001</v>
      </c>
      <c r="J2134">
        <f t="shared" si="199"/>
        <v>290.98</v>
      </c>
      <c r="K2134" s="8">
        <f t="shared" si="200"/>
        <v>0.19500851126569893</v>
      </c>
      <c r="L2134" t="str">
        <f t="shared" si="203"/>
        <v>2022-07</v>
      </c>
      <c r="M2134">
        <f t="shared" si="201"/>
        <v>290.98</v>
      </c>
    </row>
    <row r="2135" spans="1:13" x14ac:dyDescent="0.25">
      <c r="A2135" s="1">
        <v>45593</v>
      </c>
      <c r="B2135" t="s">
        <v>14</v>
      </c>
      <c r="C2135" t="s">
        <v>15</v>
      </c>
      <c r="D2135" t="s">
        <v>9</v>
      </c>
      <c r="E2135">
        <v>726.76</v>
      </c>
      <c r="F2135">
        <v>532.94000000000005</v>
      </c>
      <c r="G2135">
        <v>5</v>
      </c>
      <c r="H2135">
        <f t="shared" si="198"/>
        <v>3633.8</v>
      </c>
      <c r="I2135">
        <f t="shared" si="202"/>
        <v>2664.7000000000003</v>
      </c>
      <c r="J2135">
        <f t="shared" si="199"/>
        <v>969.09999999999991</v>
      </c>
      <c r="K2135" s="8">
        <f t="shared" si="200"/>
        <v>0.26669051681435407</v>
      </c>
      <c r="L2135" t="str">
        <f t="shared" si="203"/>
        <v>2024-10</v>
      </c>
      <c r="M2135">
        <f t="shared" si="201"/>
        <v>969.09999999999991</v>
      </c>
    </row>
    <row r="2136" spans="1:13" x14ac:dyDescent="0.25">
      <c r="A2136" s="1">
        <v>45550</v>
      </c>
      <c r="B2136" t="s">
        <v>16</v>
      </c>
      <c r="C2136" t="s">
        <v>15</v>
      </c>
      <c r="D2136" t="s">
        <v>13</v>
      </c>
      <c r="E2136">
        <v>221.25</v>
      </c>
      <c r="F2136">
        <v>182.17</v>
      </c>
      <c r="G2136">
        <v>10</v>
      </c>
      <c r="H2136">
        <f t="shared" si="198"/>
        <v>2212.5</v>
      </c>
      <c r="I2136">
        <f t="shared" si="202"/>
        <v>1821.6999999999998</v>
      </c>
      <c r="J2136">
        <f t="shared" si="199"/>
        <v>390.80000000000018</v>
      </c>
      <c r="K2136" s="8">
        <f t="shared" si="200"/>
        <v>0.17663276836158201</v>
      </c>
      <c r="L2136" t="str">
        <f t="shared" si="203"/>
        <v>2024-09</v>
      </c>
      <c r="M2136">
        <f t="shared" si="201"/>
        <v>390.80000000000018</v>
      </c>
    </row>
    <row r="2137" spans="1:13" x14ac:dyDescent="0.25">
      <c r="A2137" s="1">
        <v>45055</v>
      </c>
      <c r="B2137" t="s">
        <v>24</v>
      </c>
      <c r="C2137" t="s">
        <v>20</v>
      </c>
      <c r="D2137" t="s">
        <v>9</v>
      </c>
      <c r="E2137">
        <v>1652.88</v>
      </c>
      <c r="F2137">
        <v>1416.11</v>
      </c>
      <c r="G2137">
        <v>4</v>
      </c>
      <c r="H2137">
        <f t="shared" si="198"/>
        <v>6611.52</v>
      </c>
      <c r="I2137">
        <f t="shared" si="202"/>
        <v>5664.44</v>
      </c>
      <c r="J2137">
        <f t="shared" si="199"/>
        <v>947.08000000000084</v>
      </c>
      <c r="K2137" s="8">
        <f t="shared" si="200"/>
        <v>0.14324693867673405</v>
      </c>
      <c r="L2137" t="str">
        <f t="shared" si="203"/>
        <v>2023-05</v>
      </c>
      <c r="M2137">
        <f t="shared" si="201"/>
        <v>947.08000000000084</v>
      </c>
    </row>
    <row r="2138" spans="1:13" x14ac:dyDescent="0.25">
      <c r="A2138" s="1">
        <v>44857</v>
      </c>
      <c r="B2138" t="s">
        <v>22</v>
      </c>
      <c r="C2138" t="s">
        <v>8</v>
      </c>
      <c r="D2138" t="s">
        <v>17</v>
      </c>
      <c r="E2138">
        <v>217.68</v>
      </c>
      <c r="F2138">
        <v>162.09</v>
      </c>
      <c r="G2138">
        <v>2</v>
      </c>
      <c r="H2138">
        <f t="shared" si="198"/>
        <v>435.36</v>
      </c>
      <c r="I2138">
        <f t="shared" si="202"/>
        <v>324.18</v>
      </c>
      <c r="J2138">
        <f t="shared" si="199"/>
        <v>111.18</v>
      </c>
      <c r="K2138" s="8">
        <f t="shared" si="200"/>
        <v>0.25537486218302097</v>
      </c>
      <c r="L2138" t="str">
        <f t="shared" si="203"/>
        <v>2022-10</v>
      </c>
      <c r="M2138">
        <f t="shared" si="201"/>
        <v>111.18</v>
      </c>
    </row>
    <row r="2139" spans="1:13" x14ac:dyDescent="0.25">
      <c r="A2139" s="1">
        <v>45527</v>
      </c>
      <c r="B2139" t="s">
        <v>23</v>
      </c>
      <c r="C2139" t="s">
        <v>11</v>
      </c>
      <c r="D2139" t="s">
        <v>17</v>
      </c>
      <c r="E2139">
        <v>1571.65</v>
      </c>
      <c r="F2139">
        <v>1088.1600000000001</v>
      </c>
      <c r="G2139">
        <v>6</v>
      </c>
      <c r="H2139">
        <f t="shared" si="198"/>
        <v>9429.9000000000015</v>
      </c>
      <c r="I2139">
        <f t="shared" si="202"/>
        <v>6528.9600000000009</v>
      </c>
      <c r="J2139">
        <f t="shared" si="199"/>
        <v>2900.9400000000005</v>
      </c>
      <c r="K2139" s="8">
        <f t="shared" si="200"/>
        <v>0.30763210638500937</v>
      </c>
      <c r="L2139" t="str">
        <f t="shared" si="203"/>
        <v>2024-08</v>
      </c>
      <c r="M2139">
        <f t="shared" si="201"/>
        <v>2900.9400000000005</v>
      </c>
    </row>
    <row r="2140" spans="1:13" x14ac:dyDescent="0.25">
      <c r="A2140" s="1">
        <v>45554</v>
      </c>
      <c r="B2140" t="s">
        <v>25</v>
      </c>
      <c r="C2140" t="s">
        <v>15</v>
      </c>
      <c r="D2140" t="s">
        <v>13</v>
      </c>
      <c r="E2140">
        <v>1502.22</v>
      </c>
      <c r="F2140">
        <v>950.67</v>
      </c>
      <c r="G2140">
        <v>7</v>
      </c>
      <c r="H2140">
        <f t="shared" si="198"/>
        <v>10515.54</v>
      </c>
      <c r="I2140">
        <f t="shared" si="202"/>
        <v>6654.69</v>
      </c>
      <c r="J2140">
        <f t="shared" si="199"/>
        <v>3860.8500000000013</v>
      </c>
      <c r="K2140" s="8">
        <f t="shared" si="200"/>
        <v>0.36715660821983476</v>
      </c>
      <c r="L2140" t="str">
        <f t="shared" si="203"/>
        <v>2024-09</v>
      </c>
      <c r="M2140">
        <f t="shared" si="201"/>
        <v>3860.8500000000013</v>
      </c>
    </row>
    <row r="2141" spans="1:13" x14ac:dyDescent="0.25">
      <c r="A2141" s="1">
        <v>45139</v>
      </c>
      <c r="B2141" t="s">
        <v>21</v>
      </c>
      <c r="C2141" t="s">
        <v>20</v>
      </c>
      <c r="D2141" t="s">
        <v>9</v>
      </c>
      <c r="E2141">
        <v>1290.7</v>
      </c>
      <c r="F2141">
        <v>906.34</v>
      </c>
      <c r="G2141">
        <v>5</v>
      </c>
      <c r="H2141">
        <f t="shared" si="198"/>
        <v>6453.5</v>
      </c>
      <c r="I2141">
        <f t="shared" si="202"/>
        <v>4531.7</v>
      </c>
      <c r="J2141">
        <f t="shared" si="199"/>
        <v>1921.8000000000002</v>
      </c>
      <c r="K2141" s="8">
        <f t="shared" si="200"/>
        <v>0.2977918958704579</v>
      </c>
      <c r="L2141" t="str">
        <f t="shared" si="203"/>
        <v>2023-08</v>
      </c>
      <c r="M2141">
        <f t="shared" si="201"/>
        <v>1921.8000000000002</v>
      </c>
    </row>
    <row r="2142" spans="1:13" x14ac:dyDescent="0.25">
      <c r="A2142" s="1">
        <v>44724</v>
      </c>
      <c r="B2142" t="s">
        <v>16</v>
      </c>
      <c r="C2142" t="s">
        <v>15</v>
      </c>
      <c r="D2142" t="s">
        <v>13</v>
      </c>
      <c r="E2142">
        <v>1875.95</v>
      </c>
      <c r="F2142">
        <v>1273.94</v>
      </c>
      <c r="G2142">
        <v>1</v>
      </c>
      <c r="H2142">
        <f t="shared" si="198"/>
        <v>1875.95</v>
      </c>
      <c r="I2142">
        <f t="shared" si="202"/>
        <v>1273.94</v>
      </c>
      <c r="J2142">
        <f t="shared" si="199"/>
        <v>602.01</v>
      </c>
      <c r="K2142" s="8">
        <f t="shared" si="200"/>
        <v>0.32090940590101014</v>
      </c>
      <c r="L2142" t="str">
        <f t="shared" si="203"/>
        <v>2022-06</v>
      </c>
      <c r="M2142">
        <f t="shared" si="201"/>
        <v>602.01</v>
      </c>
    </row>
    <row r="2143" spans="1:13" x14ac:dyDescent="0.25">
      <c r="A2143" s="1">
        <v>44996</v>
      </c>
      <c r="B2143" t="s">
        <v>22</v>
      </c>
      <c r="C2143" t="s">
        <v>8</v>
      </c>
      <c r="D2143" t="s">
        <v>9</v>
      </c>
      <c r="E2143">
        <v>1728.05</v>
      </c>
      <c r="F2143">
        <v>1516.86</v>
      </c>
      <c r="G2143">
        <v>3</v>
      </c>
      <c r="H2143">
        <f t="shared" si="198"/>
        <v>5184.1499999999996</v>
      </c>
      <c r="I2143">
        <f t="shared" si="202"/>
        <v>4550.58</v>
      </c>
      <c r="J2143">
        <f t="shared" si="199"/>
        <v>633.56999999999971</v>
      </c>
      <c r="K2143" s="8">
        <f t="shared" si="200"/>
        <v>0.12221289893232251</v>
      </c>
      <c r="L2143" t="str">
        <f t="shared" si="203"/>
        <v>2023-03</v>
      </c>
      <c r="M2143">
        <f t="shared" si="201"/>
        <v>633.56999999999971</v>
      </c>
    </row>
    <row r="2144" spans="1:13" x14ac:dyDescent="0.25">
      <c r="A2144" s="1">
        <v>45060</v>
      </c>
      <c r="B2144" t="s">
        <v>22</v>
      </c>
      <c r="C2144" t="s">
        <v>8</v>
      </c>
      <c r="D2144" t="s">
        <v>18</v>
      </c>
      <c r="E2144">
        <v>991.88</v>
      </c>
      <c r="F2144">
        <v>674.04</v>
      </c>
      <c r="G2144">
        <v>2</v>
      </c>
      <c r="H2144">
        <f t="shared" si="198"/>
        <v>1983.76</v>
      </c>
      <c r="I2144">
        <f t="shared" si="202"/>
        <v>1348.08</v>
      </c>
      <c r="J2144">
        <f t="shared" si="199"/>
        <v>635.68000000000006</v>
      </c>
      <c r="K2144" s="8">
        <f t="shared" si="200"/>
        <v>0.32044198895027626</v>
      </c>
      <c r="L2144" t="str">
        <f t="shared" si="203"/>
        <v>2023-05</v>
      </c>
      <c r="M2144">
        <f t="shared" si="201"/>
        <v>635.68000000000006</v>
      </c>
    </row>
    <row r="2145" spans="1:13" x14ac:dyDescent="0.25">
      <c r="A2145" s="1">
        <v>44732</v>
      </c>
      <c r="B2145" t="s">
        <v>12</v>
      </c>
      <c r="C2145" t="s">
        <v>8</v>
      </c>
      <c r="D2145" t="s">
        <v>18</v>
      </c>
      <c r="E2145">
        <v>341.26</v>
      </c>
      <c r="F2145">
        <v>208.02</v>
      </c>
      <c r="G2145">
        <v>1</v>
      </c>
      <c r="H2145">
        <f t="shared" si="198"/>
        <v>341.26</v>
      </c>
      <c r="I2145">
        <f t="shared" si="202"/>
        <v>208.02</v>
      </c>
      <c r="J2145">
        <f t="shared" si="199"/>
        <v>133.23999999999998</v>
      </c>
      <c r="K2145" s="8">
        <f t="shared" si="200"/>
        <v>0.39043544511516143</v>
      </c>
      <c r="L2145" t="str">
        <f t="shared" si="203"/>
        <v>2022-06</v>
      </c>
      <c r="M2145">
        <f t="shared" si="201"/>
        <v>133.23999999999998</v>
      </c>
    </row>
    <row r="2146" spans="1:13" x14ac:dyDescent="0.25">
      <c r="A2146" s="1">
        <v>44613</v>
      </c>
      <c r="B2146" t="s">
        <v>24</v>
      </c>
      <c r="C2146" t="s">
        <v>20</v>
      </c>
      <c r="D2146" t="s">
        <v>9</v>
      </c>
      <c r="E2146">
        <v>800.41</v>
      </c>
      <c r="F2146">
        <v>603.4</v>
      </c>
      <c r="G2146">
        <v>10</v>
      </c>
      <c r="H2146">
        <f t="shared" si="198"/>
        <v>8004.0999999999995</v>
      </c>
      <c r="I2146">
        <f t="shared" si="202"/>
        <v>6034</v>
      </c>
      <c r="J2146">
        <f t="shared" si="199"/>
        <v>1970.0999999999995</v>
      </c>
      <c r="K2146" s="8">
        <f t="shared" si="200"/>
        <v>0.24613635511800197</v>
      </c>
      <c r="L2146" t="str">
        <f t="shared" si="203"/>
        <v>2022-02</v>
      </c>
      <c r="M2146">
        <f t="shared" si="201"/>
        <v>1970.0999999999995</v>
      </c>
    </row>
    <row r="2147" spans="1:13" x14ac:dyDescent="0.25">
      <c r="A2147" s="1">
        <v>45058</v>
      </c>
      <c r="B2147" t="s">
        <v>25</v>
      </c>
      <c r="C2147" t="s">
        <v>15</v>
      </c>
      <c r="D2147" t="s">
        <v>9</v>
      </c>
      <c r="E2147">
        <v>729.96</v>
      </c>
      <c r="F2147">
        <v>579.04</v>
      </c>
      <c r="G2147">
        <v>4</v>
      </c>
      <c r="H2147">
        <f t="shared" si="198"/>
        <v>2919.84</v>
      </c>
      <c r="I2147">
        <f t="shared" si="202"/>
        <v>2316.16</v>
      </c>
      <c r="J2147">
        <f t="shared" si="199"/>
        <v>603.68000000000029</v>
      </c>
      <c r="K2147" s="8">
        <f t="shared" si="200"/>
        <v>0.20675105485232076</v>
      </c>
      <c r="L2147" t="str">
        <f t="shared" si="203"/>
        <v>2023-05</v>
      </c>
      <c r="M2147">
        <f t="shared" si="201"/>
        <v>603.68000000000029</v>
      </c>
    </row>
    <row r="2148" spans="1:13" x14ac:dyDescent="0.25">
      <c r="A2148" s="1">
        <v>45549</v>
      </c>
      <c r="B2148" t="s">
        <v>12</v>
      </c>
      <c r="C2148" t="s">
        <v>8</v>
      </c>
      <c r="D2148" t="s">
        <v>17</v>
      </c>
      <c r="E2148">
        <v>1672.51</v>
      </c>
      <c r="F2148">
        <v>1385.09</v>
      </c>
      <c r="G2148">
        <v>6</v>
      </c>
      <c r="H2148">
        <f t="shared" si="198"/>
        <v>10035.06</v>
      </c>
      <c r="I2148">
        <f t="shared" si="202"/>
        <v>8310.5399999999991</v>
      </c>
      <c r="J2148">
        <f t="shared" si="199"/>
        <v>1724.5200000000004</v>
      </c>
      <c r="K2148" s="8">
        <f t="shared" si="200"/>
        <v>0.17184949566818739</v>
      </c>
      <c r="L2148" t="str">
        <f t="shared" si="203"/>
        <v>2024-09</v>
      </c>
      <c r="M2148">
        <f t="shared" si="201"/>
        <v>1724.5200000000004</v>
      </c>
    </row>
    <row r="2149" spans="1:13" x14ac:dyDescent="0.25">
      <c r="A2149" s="1">
        <v>45133</v>
      </c>
      <c r="B2149" t="s">
        <v>23</v>
      </c>
      <c r="C2149" t="s">
        <v>11</v>
      </c>
      <c r="D2149" t="s">
        <v>17</v>
      </c>
      <c r="E2149">
        <v>1592.55</v>
      </c>
      <c r="F2149">
        <v>1233.68</v>
      </c>
      <c r="G2149">
        <v>5</v>
      </c>
      <c r="H2149">
        <f t="shared" si="198"/>
        <v>7962.75</v>
      </c>
      <c r="I2149">
        <f t="shared" si="202"/>
        <v>6168.4000000000005</v>
      </c>
      <c r="J2149">
        <f t="shared" si="199"/>
        <v>1794.3499999999995</v>
      </c>
      <c r="K2149" s="8">
        <f t="shared" si="200"/>
        <v>0.22534300335939211</v>
      </c>
      <c r="L2149" t="str">
        <f t="shared" si="203"/>
        <v>2023-07</v>
      </c>
      <c r="M2149">
        <f t="shared" si="201"/>
        <v>1794.3499999999995</v>
      </c>
    </row>
    <row r="2150" spans="1:13" x14ac:dyDescent="0.25">
      <c r="A2150" s="1">
        <v>44812</v>
      </c>
      <c r="B2150" t="s">
        <v>16</v>
      </c>
      <c r="C2150" t="s">
        <v>15</v>
      </c>
      <c r="D2150" t="s">
        <v>17</v>
      </c>
      <c r="E2150">
        <v>1516.89</v>
      </c>
      <c r="F2150">
        <v>877.75</v>
      </c>
      <c r="G2150">
        <v>8</v>
      </c>
      <c r="H2150">
        <f t="shared" si="198"/>
        <v>12135.12</v>
      </c>
      <c r="I2150">
        <f t="shared" si="202"/>
        <v>7022</v>
      </c>
      <c r="J2150">
        <f t="shared" si="199"/>
        <v>5113.1200000000008</v>
      </c>
      <c r="K2150" s="8">
        <f t="shared" si="200"/>
        <v>0.4213489442214004</v>
      </c>
      <c r="L2150" t="str">
        <f t="shared" si="203"/>
        <v>2022-09</v>
      </c>
      <c r="M2150">
        <f t="shared" si="201"/>
        <v>5113.1200000000008</v>
      </c>
    </row>
    <row r="2151" spans="1:13" x14ac:dyDescent="0.25">
      <c r="A2151" s="1">
        <v>44638</v>
      </c>
      <c r="B2151" t="s">
        <v>16</v>
      </c>
      <c r="C2151" t="s">
        <v>15</v>
      </c>
      <c r="D2151" t="s">
        <v>13</v>
      </c>
      <c r="E2151">
        <v>1988.65</v>
      </c>
      <c r="F2151">
        <v>1570.94</v>
      </c>
      <c r="G2151">
        <v>4</v>
      </c>
      <c r="H2151">
        <f t="shared" si="198"/>
        <v>7954.6</v>
      </c>
      <c r="I2151">
        <f t="shared" si="202"/>
        <v>6283.76</v>
      </c>
      <c r="J2151">
        <f t="shared" si="199"/>
        <v>1670.8400000000001</v>
      </c>
      <c r="K2151" s="8">
        <f t="shared" si="200"/>
        <v>0.2100470168204561</v>
      </c>
      <c r="L2151" t="str">
        <f t="shared" si="203"/>
        <v>2022-03</v>
      </c>
      <c r="M2151">
        <f t="shared" si="201"/>
        <v>1670.8400000000001</v>
      </c>
    </row>
    <row r="2152" spans="1:13" x14ac:dyDescent="0.25">
      <c r="A2152" s="1">
        <v>45384</v>
      </c>
      <c r="B2152" t="s">
        <v>16</v>
      </c>
      <c r="C2152" t="s">
        <v>15</v>
      </c>
      <c r="D2152" t="s">
        <v>18</v>
      </c>
      <c r="E2152">
        <v>889.96</v>
      </c>
      <c r="F2152">
        <v>571.26</v>
      </c>
      <c r="G2152">
        <v>4</v>
      </c>
      <c r="H2152">
        <f t="shared" si="198"/>
        <v>3559.84</v>
      </c>
      <c r="I2152">
        <f t="shared" si="202"/>
        <v>2285.04</v>
      </c>
      <c r="J2152">
        <f t="shared" si="199"/>
        <v>1274.8000000000002</v>
      </c>
      <c r="K2152" s="8">
        <f t="shared" si="200"/>
        <v>0.358105982291339</v>
      </c>
      <c r="L2152" t="str">
        <f t="shared" si="203"/>
        <v>2024-04</v>
      </c>
      <c r="M2152">
        <f t="shared" si="201"/>
        <v>1274.8000000000002</v>
      </c>
    </row>
    <row r="2153" spans="1:13" x14ac:dyDescent="0.25">
      <c r="A2153" s="1">
        <v>45428</v>
      </c>
      <c r="B2153" t="s">
        <v>12</v>
      </c>
      <c r="C2153" t="s">
        <v>8</v>
      </c>
      <c r="D2153" t="s">
        <v>18</v>
      </c>
      <c r="E2153">
        <v>1171.43</v>
      </c>
      <c r="F2153">
        <v>730.16</v>
      </c>
      <c r="G2153">
        <v>6</v>
      </c>
      <c r="H2153">
        <f t="shared" si="198"/>
        <v>7028.58</v>
      </c>
      <c r="I2153">
        <f t="shared" si="202"/>
        <v>4380.96</v>
      </c>
      <c r="J2153">
        <f t="shared" si="199"/>
        <v>2647.62</v>
      </c>
      <c r="K2153" s="8">
        <f t="shared" si="200"/>
        <v>0.37669344305677677</v>
      </c>
      <c r="L2153" t="str">
        <f t="shared" si="203"/>
        <v>2024-05</v>
      </c>
      <c r="M2153">
        <f t="shared" si="201"/>
        <v>2647.62</v>
      </c>
    </row>
    <row r="2154" spans="1:13" x14ac:dyDescent="0.25">
      <c r="A2154" s="1">
        <v>45277</v>
      </c>
      <c r="B2154" t="s">
        <v>16</v>
      </c>
      <c r="C2154" t="s">
        <v>15</v>
      </c>
      <c r="D2154" t="s">
        <v>17</v>
      </c>
      <c r="E2154">
        <v>749.18</v>
      </c>
      <c r="F2154">
        <v>620.36</v>
      </c>
      <c r="G2154">
        <v>1</v>
      </c>
      <c r="H2154">
        <f t="shared" si="198"/>
        <v>749.18</v>
      </c>
      <c r="I2154">
        <f t="shared" si="202"/>
        <v>620.36</v>
      </c>
      <c r="J2154">
        <f t="shared" si="199"/>
        <v>128.81999999999994</v>
      </c>
      <c r="K2154" s="8">
        <f t="shared" si="200"/>
        <v>0.17194799647614717</v>
      </c>
      <c r="L2154" t="str">
        <f t="shared" si="203"/>
        <v>2023-12</v>
      </c>
      <c r="M2154">
        <f t="shared" si="201"/>
        <v>128.81999999999994</v>
      </c>
    </row>
    <row r="2155" spans="1:13" x14ac:dyDescent="0.25">
      <c r="A2155" s="1">
        <v>45589</v>
      </c>
      <c r="B2155" t="s">
        <v>10</v>
      </c>
      <c r="C2155" t="s">
        <v>11</v>
      </c>
      <c r="D2155" t="s">
        <v>18</v>
      </c>
      <c r="E2155">
        <v>56.42</v>
      </c>
      <c r="F2155">
        <v>31.69</v>
      </c>
      <c r="G2155">
        <v>3</v>
      </c>
      <c r="H2155">
        <f t="shared" si="198"/>
        <v>169.26</v>
      </c>
      <c r="I2155">
        <f t="shared" si="202"/>
        <v>95.070000000000007</v>
      </c>
      <c r="J2155">
        <f t="shared" si="199"/>
        <v>74.189999999999984</v>
      </c>
      <c r="K2155" s="8">
        <f t="shared" si="200"/>
        <v>0.4383197447713576</v>
      </c>
      <c r="L2155" t="str">
        <f t="shared" si="203"/>
        <v>2024-10</v>
      </c>
      <c r="M2155">
        <f t="shared" si="201"/>
        <v>74.189999999999984</v>
      </c>
    </row>
    <row r="2156" spans="1:13" x14ac:dyDescent="0.25">
      <c r="A2156" s="1">
        <v>45230</v>
      </c>
      <c r="B2156" t="s">
        <v>22</v>
      </c>
      <c r="C2156" t="s">
        <v>8</v>
      </c>
      <c r="D2156" t="s">
        <v>13</v>
      </c>
      <c r="E2156">
        <v>618.52</v>
      </c>
      <c r="F2156">
        <v>381.24</v>
      </c>
      <c r="G2156">
        <v>4</v>
      </c>
      <c r="H2156">
        <f t="shared" si="198"/>
        <v>2474.08</v>
      </c>
      <c r="I2156">
        <f t="shared" si="202"/>
        <v>1524.96</v>
      </c>
      <c r="J2156">
        <f t="shared" si="199"/>
        <v>949.11999999999989</v>
      </c>
      <c r="K2156" s="8">
        <f t="shared" si="200"/>
        <v>0.38362542844208752</v>
      </c>
      <c r="L2156" t="str">
        <f t="shared" si="203"/>
        <v>2023-10</v>
      </c>
      <c r="M2156">
        <f t="shared" si="201"/>
        <v>949.11999999999989</v>
      </c>
    </row>
    <row r="2157" spans="1:13" x14ac:dyDescent="0.25">
      <c r="A2157" s="1">
        <v>45410</v>
      </c>
      <c r="B2157" t="s">
        <v>24</v>
      </c>
      <c r="C2157" t="s">
        <v>20</v>
      </c>
      <c r="D2157" t="s">
        <v>9</v>
      </c>
      <c r="E2157">
        <v>1040.3599999999999</v>
      </c>
      <c r="F2157">
        <v>856.7</v>
      </c>
      <c r="G2157">
        <v>6</v>
      </c>
      <c r="H2157">
        <f t="shared" si="198"/>
        <v>6242.16</v>
      </c>
      <c r="I2157">
        <f t="shared" si="202"/>
        <v>5140.2000000000007</v>
      </c>
      <c r="J2157">
        <f t="shared" si="199"/>
        <v>1101.9599999999991</v>
      </c>
      <c r="K2157" s="8">
        <f t="shared" si="200"/>
        <v>0.17653504556115177</v>
      </c>
      <c r="L2157" t="str">
        <f t="shared" si="203"/>
        <v>2024-04</v>
      </c>
      <c r="M2157">
        <f t="shared" si="201"/>
        <v>1101.9599999999991</v>
      </c>
    </row>
    <row r="2158" spans="1:13" x14ac:dyDescent="0.25">
      <c r="A2158" s="1">
        <v>44825</v>
      </c>
      <c r="B2158" t="s">
        <v>10</v>
      </c>
      <c r="C2158" t="s">
        <v>11</v>
      </c>
      <c r="D2158" t="s">
        <v>18</v>
      </c>
      <c r="E2158">
        <v>435.96</v>
      </c>
      <c r="F2158">
        <v>268.37</v>
      </c>
      <c r="G2158">
        <v>10</v>
      </c>
      <c r="H2158">
        <f t="shared" si="198"/>
        <v>4359.5999999999995</v>
      </c>
      <c r="I2158">
        <f t="shared" si="202"/>
        <v>2683.7</v>
      </c>
      <c r="J2158">
        <f t="shared" si="199"/>
        <v>1675.8999999999996</v>
      </c>
      <c r="K2158" s="8">
        <f t="shared" si="200"/>
        <v>0.38441600146802457</v>
      </c>
      <c r="L2158" t="str">
        <f t="shared" si="203"/>
        <v>2022-09</v>
      </c>
      <c r="M2158">
        <f t="shared" si="201"/>
        <v>1675.8999999999996</v>
      </c>
    </row>
    <row r="2159" spans="1:13" x14ac:dyDescent="0.25">
      <c r="A2159" s="1">
        <v>44748</v>
      </c>
      <c r="B2159" t="s">
        <v>19</v>
      </c>
      <c r="C2159" t="s">
        <v>20</v>
      </c>
      <c r="D2159" t="s">
        <v>17</v>
      </c>
      <c r="E2159">
        <v>529.19000000000005</v>
      </c>
      <c r="F2159">
        <v>423.51</v>
      </c>
      <c r="G2159">
        <v>5</v>
      </c>
      <c r="H2159">
        <f t="shared" si="198"/>
        <v>2645.9500000000003</v>
      </c>
      <c r="I2159">
        <f t="shared" si="202"/>
        <v>2117.5500000000002</v>
      </c>
      <c r="J2159">
        <f t="shared" si="199"/>
        <v>528.40000000000009</v>
      </c>
      <c r="K2159" s="8">
        <f t="shared" si="200"/>
        <v>0.19970143048810449</v>
      </c>
      <c r="L2159" t="str">
        <f t="shared" si="203"/>
        <v>2022-07</v>
      </c>
      <c r="M2159">
        <f t="shared" si="201"/>
        <v>528.40000000000009</v>
      </c>
    </row>
    <row r="2160" spans="1:13" x14ac:dyDescent="0.25">
      <c r="A2160" s="1">
        <v>45346</v>
      </c>
      <c r="B2160" t="s">
        <v>22</v>
      </c>
      <c r="C2160" t="s">
        <v>8</v>
      </c>
      <c r="D2160" t="s">
        <v>9</v>
      </c>
      <c r="E2160">
        <v>338.65</v>
      </c>
      <c r="F2160">
        <v>286.99</v>
      </c>
      <c r="G2160">
        <v>5</v>
      </c>
      <c r="H2160">
        <f t="shared" si="198"/>
        <v>1693.25</v>
      </c>
      <c r="I2160">
        <f t="shared" si="202"/>
        <v>1434.95</v>
      </c>
      <c r="J2160">
        <f t="shared" si="199"/>
        <v>258.29999999999995</v>
      </c>
      <c r="K2160" s="8">
        <f t="shared" si="200"/>
        <v>0.15254687730695404</v>
      </c>
      <c r="L2160" t="str">
        <f t="shared" si="203"/>
        <v>2024-02</v>
      </c>
      <c r="M2160">
        <f t="shared" si="201"/>
        <v>258.29999999999995</v>
      </c>
    </row>
    <row r="2161" spans="1:13" x14ac:dyDescent="0.25">
      <c r="A2161" s="1">
        <v>45340</v>
      </c>
      <c r="B2161" t="s">
        <v>21</v>
      </c>
      <c r="C2161" t="s">
        <v>20</v>
      </c>
      <c r="D2161" t="s">
        <v>9</v>
      </c>
      <c r="E2161">
        <v>1681.62</v>
      </c>
      <c r="F2161">
        <v>1387.63</v>
      </c>
      <c r="G2161">
        <v>9</v>
      </c>
      <c r="H2161">
        <f t="shared" si="198"/>
        <v>15134.579999999998</v>
      </c>
      <c r="I2161">
        <f t="shared" si="202"/>
        <v>12488.670000000002</v>
      </c>
      <c r="J2161">
        <f t="shared" si="199"/>
        <v>2645.9099999999962</v>
      </c>
      <c r="K2161" s="8">
        <f t="shared" si="200"/>
        <v>0.17482546591976761</v>
      </c>
      <c r="L2161" t="str">
        <f t="shared" si="203"/>
        <v>2024-02</v>
      </c>
      <c r="M2161">
        <f t="shared" si="201"/>
        <v>2645.9099999999962</v>
      </c>
    </row>
    <row r="2162" spans="1:13" x14ac:dyDescent="0.25">
      <c r="A2162" s="1">
        <v>45004</v>
      </c>
      <c r="B2162" t="s">
        <v>24</v>
      </c>
      <c r="C2162" t="s">
        <v>20</v>
      </c>
      <c r="D2162" t="s">
        <v>17</v>
      </c>
      <c r="E2162">
        <v>1918.5</v>
      </c>
      <c r="F2162">
        <v>1205.33</v>
      </c>
      <c r="G2162">
        <v>5</v>
      </c>
      <c r="H2162">
        <f t="shared" si="198"/>
        <v>9592.5</v>
      </c>
      <c r="I2162">
        <f t="shared" si="202"/>
        <v>6026.65</v>
      </c>
      <c r="J2162">
        <f t="shared" si="199"/>
        <v>3565.8500000000004</v>
      </c>
      <c r="K2162" s="8">
        <f t="shared" si="200"/>
        <v>0.37173312483711235</v>
      </c>
      <c r="L2162" t="str">
        <f t="shared" si="203"/>
        <v>2023-03</v>
      </c>
      <c r="M2162">
        <f t="shared" si="201"/>
        <v>3565.8500000000004</v>
      </c>
    </row>
    <row r="2163" spans="1:13" x14ac:dyDescent="0.25">
      <c r="A2163" s="1">
        <v>44749</v>
      </c>
      <c r="B2163" t="s">
        <v>23</v>
      </c>
      <c r="C2163" t="s">
        <v>11</v>
      </c>
      <c r="D2163" t="s">
        <v>18</v>
      </c>
      <c r="E2163">
        <v>900.03</v>
      </c>
      <c r="F2163">
        <v>712.9</v>
      </c>
      <c r="G2163">
        <v>7</v>
      </c>
      <c r="H2163">
        <f t="shared" si="198"/>
        <v>6300.21</v>
      </c>
      <c r="I2163">
        <f t="shared" si="202"/>
        <v>4990.3</v>
      </c>
      <c r="J2163">
        <f t="shared" si="199"/>
        <v>1309.9099999999999</v>
      </c>
      <c r="K2163" s="8">
        <f t="shared" si="200"/>
        <v>0.20791529171249845</v>
      </c>
      <c r="L2163" t="str">
        <f t="shared" si="203"/>
        <v>2022-07</v>
      </c>
      <c r="M2163">
        <f t="shared" si="201"/>
        <v>1309.9099999999999</v>
      </c>
    </row>
    <row r="2164" spans="1:13" x14ac:dyDescent="0.25">
      <c r="A2164" s="1">
        <v>45082</v>
      </c>
      <c r="B2164" t="s">
        <v>16</v>
      </c>
      <c r="C2164" t="s">
        <v>15</v>
      </c>
      <c r="D2164" t="s">
        <v>13</v>
      </c>
      <c r="E2164">
        <v>584.6</v>
      </c>
      <c r="F2164">
        <v>437.68</v>
      </c>
      <c r="G2164">
        <v>2</v>
      </c>
      <c r="H2164">
        <f t="shared" si="198"/>
        <v>1169.2</v>
      </c>
      <c r="I2164">
        <f t="shared" si="202"/>
        <v>875.36</v>
      </c>
      <c r="J2164">
        <f t="shared" si="199"/>
        <v>293.84000000000003</v>
      </c>
      <c r="K2164" s="8">
        <f t="shared" si="200"/>
        <v>0.25131713992473487</v>
      </c>
      <c r="L2164" t="str">
        <f t="shared" si="203"/>
        <v>2023-06</v>
      </c>
      <c r="M2164">
        <f t="shared" si="201"/>
        <v>293.84000000000003</v>
      </c>
    </row>
    <row r="2165" spans="1:13" x14ac:dyDescent="0.25">
      <c r="A2165" s="1">
        <v>45062</v>
      </c>
      <c r="B2165" t="s">
        <v>21</v>
      </c>
      <c r="C2165" t="s">
        <v>20</v>
      </c>
      <c r="D2165" t="s">
        <v>17</v>
      </c>
      <c r="E2165">
        <v>1949.11</v>
      </c>
      <c r="F2165">
        <v>1523.1</v>
      </c>
      <c r="G2165">
        <v>9</v>
      </c>
      <c r="H2165">
        <f t="shared" si="198"/>
        <v>17541.989999999998</v>
      </c>
      <c r="I2165">
        <f t="shared" si="202"/>
        <v>13707.9</v>
      </c>
      <c r="J2165">
        <f t="shared" si="199"/>
        <v>3834.0899999999983</v>
      </c>
      <c r="K2165" s="8">
        <f t="shared" si="200"/>
        <v>0.21856642262365894</v>
      </c>
      <c r="L2165" t="str">
        <f t="shared" si="203"/>
        <v>2023-05</v>
      </c>
      <c r="M2165">
        <f t="shared" si="201"/>
        <v>3834.0899999999983</v>
      </c>
    </row>
    <row r="2166" spans="1:13" x14ac:dyDescent="0.25">
      <c r="A2166" s="1">
        <v>44624</v>
      </c>
      <c r="B2166" t="s">
        <v>19</v>
      </c>
      <c r="C2166" t="s">
        <v>20</v>
      </c>
      <c r="D2166" t="s">
        <v>9</v>
      </c>
      <c r="E2166">
        <v>1110.81</v>
      </c>
      <c r="F2166">
        <v>987.89</v>
      </c>
      <c r="G2166">
        <v>1</v>
      </c>
      <c r="H2166">
        <f t="shared" si="198"/>
        <v>1110.81</v>
      </c>
      <c r="I2166">
        <f t="shared" si="202"/>
        <v>987.89</v>
      </c>
      <c r="J2166">
        <f t="shared" si="199"/>
        <v>122.91999999999996</v>
      </c>
      <c r="K2166" s="8">
        <f t="shared" si="200"/>
        <v>0.11065798831483328</v>
      </c>
      <c r="L2166" t="str">
        <f t="shared" si="203"/>
        <v>2022-03</v>
      </c>
      <c r="M2166">
        <f t="shared" si="201"/>
        <v>122.91999999999996</v>
      </c>
    </row>
    <row r="2167" spans="1:13" x14ac:dyDescent="0.25">
      <c r="A2167" s="1">
        <v>45464</v>
      </c>
      <c r="B2167" t="s">
        <v>10</v>
      </c>
      <c r="C2167" t="s">
        <v>11</v>
      </c>
      <c r="D2167" t="s">
        <v>13</v>
      </c>
      <c r="E2167">
        <v>163.18</v>
      </c>
      <c r="F2167">
        <v>134.86000000000001</v>
      </c>
      <c r="G2167">
        <v>8</v>
      </c>
      <c r="H2167">
        <f t="shared" si="198"/>
        <v>1305.44</v>
      </c>
      <c r="I2167">
        <f t="shared" si="202"/>
        <v>1078.8800000000001</v>
      </c>
      <c r="J2167">
        <f t="shared" si="199"/>
        <v>226.55999999999995</v>
      </c>
      <c r="K2167" s="8">
        <f t="shared" si="200"/>
        <v>0.17355068023042033</v>
      </c>
      <c r="L2167" t="str">
        <f t="shared" si="203"/>
        <v>2024-06</v>
      </c>
      <c r="M2167">
        <f t="shared" si="201"/>
        <v>226.55999999999995</v>
      </c>
    </row>
    <row r="2168" spans="1:13" x14ac:dyDescent="0.25">
      <c r="A2168" s="1">
        <v>44989</v>
      </c>
      <c r="B2168" t="s">
        <v>23</v>
      </c>
      <c r="C2168" t="s">
        <v>11</v>
      </c>
      <c r="D2168" t="s">
        <v>9</v>
      </c>
      <c r="E2168">
        <v>1183.8</v>
      </c>
      <c r="F2168">
        <v>967.46</v>
      </c>
      <c r="G2168">
        <v>4</v>
      </c>
      <c r="H2168">
        <f t="shared" si="198"/>
        <v>4735.2</v>
      </c>
      <c r="I2168">
        <f t="shared" si="202"/>
        <v>3869.84</v>
      </c>
      <c r="J2168">
        <f t="shared" si="199"/>
        <v>865.35999999999967</v>
      </c>
      <c r="K2168" s="8">
        <f t="shared" si="200"/>
        <v>0.18275046460550762</v>
      </c>
      <c r="L2168" t="str">
        <f t="shared" si="203"/>
        <v>2023-03</v>
      </c>
      <c r="M2168">
        <f t="shared" si="201"/>
        <v>865.35999999999967</v>
      </c>
    </row>
    <row r="2169" spans="1:13" x14ac:dyDescent="0.25">
      <c r="A2169" s="1">
        <v>45023</v>
      </c>
      <c r="B2169" t="s">
        <v>22</v>
      </c>
      <c r="C2169" t="s">
        <v>8</v>
      </c>
      <c r="D2169" t="s">
        <v>13</v>
      </c>
      <c r="E2169">
        <v>1496.14</v>
      </c>
      <c r="F2169">
        <v>831.01</v>
      </c>
      <c r="G2169">
        <v>9</v>
      </c>
      <c r="H2169">
        <f t="shared" si="198"/>
        <v>13465.26</v>
      </c>
      <c r="I2169">
        <f t="shared" si="202"/>
        <v>7479.09</v>
      </c>
      <c r="J2169">
        <f t="shared" si="199"/>
        <v>5986.17</v>
      </c>
      <c r="K2169" s="8">
        <f t="shared" si="200"/>
        <v>0.44456401138930851</v>
      </c>
      <c r="L2169" t="str">
        <f t="shared" si="203"/>
        <v>2023-04</v>
      </c>
      <c r="M2169">
        <f t="shared" si="201"/>
        <v>5986.17</v>
      </c>
    </row>
    <row r="2170" spans="1:13" x14ac:dyDescent="0.25">
      <c r="A2170" s="1">
        <v>44657</v>
      </c>
      <c r="B2170" t="s">
        <v>14</v>
      </c>
      <c r="C2170" t="s">
        <v>15</v>
      </c>
      <c r="D2170" t="s">
        <v>17</v>
      </c>
      <c r="E2170">
        <v>24.3</v>
      </c>
      <c r="F2170">
        <v>13.86</v>
      </c>
      <c r="G2170">
        <v>5</v>
      </c>
      <c r="H2170">
        <f t="shared" si="198"/>
        <v>121.5</v>
      </c>
      <c r="I2170">
        <f t="shared" si="202"/>
        <v>69.3</v>
      </c>
      <c r="J2170">
        <f t="shared" si="199"/>
        <v>52.2</v>
      </c>
      <c r="K2170" s="8">
        <f t="shared" si="200"/>
        <v>0.42962962962962964</v>
      </c>
      <c r="L2170" t="str">
        <f t="shared" si="203"/>
        <v>2022-04</v>
      </c>
      <c r="M2170">
        <f t="shared" si="201"/>
        <v>52.2</v>
      </c>
    </row>
    <row r="2171" spans="1:13" x14ac:dyDescent="0.25">
      <c r="A2171" s="1">
        <v>45649</v>
      </c>
      <c r="B2171" t="s">
        <v>14</v>
      </c>
      <c r="C2171" t="s">
        <v>15</v>
      </c>
      <c r="D2171" t="s">
        <v>17</v>
      </c>
      <c r="E2171">
        <v>755.05</v>
      </c>
      <c r="F2171">
        <v>432.93</v>
      </c>
      <c r="G2171">
        <v>9</v>
      </c>
      <c r="H2171">
        <f t="shared" si="198"/>
        <v>6795.45</v>
      </c>
      <c r="I2171">
        <f t="shared" si="202"/>
        <v>3896.37</v>
      </c>
      <c r="J2171">
        <f t="shared" si="199"/>
        <v>2899.08</v>
      </c>
      <c r="K2171" s="8">
        <f t="shared" si="200"/>
        <v>0.42662075359247731</v>
      </c>
      <c r="L2171" t="str">
        <f t="shared" si="203"/>
        <v>2024-12</v>
      </c>
      <c r="M2171">
        <f t="shared" si="201"/>
        <v>2899.08</v>
      </c>
    </row>
    <row r="2172" spans="1:13" x14ac:dyDescent="0.25">
      <c r="A2172" s="1">
        <v>44841</v>
      </c>
      <c r="B2172" t="s">
        <v>12</v>
      </c>
      <c r="C2172" t="s">
        <v>8</v>
      </c>
      <c r="D2172" t="s">
        <v>9</v>
      </c>
      <c r="E2172">
        <v>466.3</v>
      </c>
      <c r="F2172">
        <v>280.55</v>
      </c>
      <c r="G2172">
        <v>5</v>
      </c>
      <c r="H2172">
        <f t="shared" si="198"/>
        <v>2331.5</v>
      </c>
      <c r="I2172">
        <f t="shared" si="202"/>
        <v>1402.75</v>
      </c>
      <c r="J2172">
        <f t="shared" si="199"/>
        <v>928.75</v>
      </c>
      <c r="K2172" s="8">
        <f t="shared" si="200"/>
        <v>0.39834870255200516</v>
      </c>
      <c r="L2172" t="str">
        <f t="shared" si="203"/>
        <v>2022-10</v>
      </c>
      <c r="M2172">
        <f t="shared" si="201"/>
        <v>928.75</v>
      </c>
    </row>
    <row r="2173" spans="1:13" x14ac:dyDescent="0.25">
      <c r="A2173" s="1">
        <v>45599</v>
      </c>
      <c r="B2173" t="s">
        <v>22</v>
      </c>
      <c r="C2173" t="s">
        <v>8</v>
      </c>
      <c r="D2173" t="s">
        <v>17</v>
      </c>
      <c r="E2173">
        <v>1047.53</v>
      </c>
      <c r="F2173">
        <v>616.4</v>
      </c>
      <c r="G2173">
        <v>2</v>
      </c>
      <c r="H2173">
        <f t="shared" si="198"/>
        <v>2095.06</v>
      </c>
      <c r="I2173">
        <f t="shared" si="202"/>
        <v>1232.8</v>
      </c>
      <c r="J2173">
        <f t="shared" si="199"/>
        <v>862.26</v>
      </c>
      <c r="K2173" s="8">
        <f t="shared" si="200"/>
        <v>0.41156816511221639</v>
      </c>
      <c r="L2173" t="str">
        <f t="shared" si="203"/>
        <v>2024-11</v>
      </c>
      <c r="M2173">
        <f t="shared" si="201"/>
        <v>862.26</v>
      </c>
    </row>
    <row r="2174" spans="1:13" x14ac:dyDescent="0.25">
      <c r="A2174" s="1">
        <v>44577</v>
      </c>
      <c r="B2174" t="s">
        <v>25</v>
      </c>
      <c r="C2174" t="s">
        <v>15</v>
      </c>
      <c r="D2174" t="s">
        <v>18</v>
      </c>
      <c r="E2174">
        <v>42.12</v>
      </c>
      <c r="F2174">
        <v>29.53</v>
      </c>
      <c r="G2174">
        <v>3</v>
      </c>
      <c r="H2174">
        <f t="shared" si="198"/>
        <v>126.35999999999999</v>
      </c>
      <c r="I2174">
        <f t="shared" si="202"/>
        <v>88.59</v>
      </c>
      <c r="J2174">
        <f t="shared" si="199"/>
        <v>37.769999999999982</v>
      </c>
      <c r="K2174" s="8">
        <f t="shared" si="200"/>
        <v>0.29890788224121545</v>
      </c>
      <c r="L2174" t="str">
        <f t="shared" si="203"/>
        <v>2022-01</v>
      </c>
      <c r="M2174">
        <f t="shared" si="201"/>
        <v>37.769999999999982</v>
      </c>
    </row>
    <row r="2175" spans="1:13" x14ac:dyDescent="0.25">
      <c r="A2175" s="1">
        <v>44714</v>
      </c>
      <c r="B2175" t="s">
        <v>19</v>
      </c>
      <c r="C2175" t="s">
        <v>20</v>
      </c>
      <c r="D2175" t="s">
        <v>18</v>
      </c>
      <c r="E2175">
        <v>735.97</v>
      </c>
      <c r="F2175">
        <v>587.29</v>
      </c>
      <c r="G2175">
        <v>7</v>
      </c>
      <c r="H2175">
        <f t="shared" si="198"/>
        <v>5151.79</v>
      </c>
      <c r="I2175">
        <f t="shared" si="202"/>
        <v>4111.03</v>
      </c>
      <c r="J2175">
        <f t="shared" si="199"/>
        <v>1040.7600000000002</v>
      </c>
      <c r="K2175" s="8">
        <f t="shared" si="200"/>
        <v>0.20201910403956688</v>
      </c>
      <c r="L2175" t="str">
        <f t="shared" si="203"/>
        <v>2022-06</v>
      </c>
      <c r="M2175">
        <f t="shared" si="201"/>
        <v>1040.7600000000002</v>
      </c>
    </row>
    <row r="2176" spans="1:13" x14ac:dyDescent="0.25">
      <c r="A2176" s="1">
        <v>45521</v>
      </c>
      <c r="B2176" t="s">
        <v>23</v>
      </c>
      <c r="C2176" t="s">
        <v>11</v>
      </c>
      <c r="D2176" t="s">
        <v>13</v>
      </c>
      <c r="E2176">
        <v>1820.2</v>
      </c>
      <c r="F2176">
        <v>1022.25</v>
      </c>
      <c r="G2176">
        <v>1</v>
      </c>
      <c r="H2176">
        <f t="shared" si="198"/>
        <v>1820.2</v>
      </c>
      <c r="I2176">
        <f t="shared" si="202"/>
        <v>1022.25</v>
      </c>
      <c r="J2176">
        <f t="shared" si="199"/>
        <v>797.95</v>
      </c>
      <c r="K2176" s="8">
        <f t="shared" si="200"/>
        <v>0.43838589166025715</v>
      </c>
      <c r="L2176" t="str">
        <f t="shared" si="203"/>
        <v>2024-08</v>
      </c>
      <c r="M2176">
        <f t="shared" si="201"/>
        <v>797.95</v>
      </c>
    </row>
    <row r="2177" spans="1:13" x14ac:dyDescent="0.25">
      <c r="A2177" s="1">
        <v>44852</v>
      </c>
      <c r="B2177" t="s">
        <v>16</v>
      </c>
      <c r="C2177" t="s">
        <v>15</v>
      </c>
      <c r="D2177" t="s">
        <v>13</v>
      </c>
      <c r="E2177">
        <v>1138.6199999999999</v>
      </c>
      <c r="F2177">
        <v>672.57</v>
      </c>
      <c r="G2177">
        <v>3</v>
      </c>
      <c r="H2177">
        <f t="shared" si="198"/>
        <v>3415.8599999999997</v>
      </c>
      <c r="I2177">
        <f t="shared" si="202"/>
        <v>2017.71</v>
      </c>
      <c r="J2177">
        <f t="shared" si="199"/>
        <v>1398.1499999999996</v>
      </c>
      <c r="K2177" s="8">
        <f t="shared" si="200"/>
        <v>0.40931127153923164</v>
      </c>
      <c r="L2177" t="str">
        <f t="shared" si="203"/>
        <v>2022-10</v>
      </c>
      <c r="M2177">
        <f t="shared" si="201"/>
        <v>1398.1499999999996</v>
      </c>
    </row>
    <row r="2178" spans="1:13" x14ac:dyDescent="0.25">
      <c r="A2178" s="1">
        <v>44600</v>
      </c>
      <c r="B2178" t="s">
        <v>25</v>
      </c>
      <c r="C2178" t="s">
        <v>15</v>
      </c>
      <c r="D2178" t="s">
        <v>13</v>
      </c>
      <c r="E2178">
        <v>1779.18</v>
      </c>
      <c r="F2178">
        <v>1118.03</v>
      </c>
      <c r="G2178">
        <v>3</v>
      </c>
      <c r="H2178">
        <f t="shared" si="198"/>
        <v>5337.54</v>
      </c>
      <c r="I2178">
        <f t="shared" si="202"/>
        <v>3354.09</v>
      </c>
      <c r="J2178">
        <f t="shared" si="199"/>
        <v>1983.4499999999998</v>
      </c>
      <c r="K2178" s="8">
        <f t="shared" si="200"/>
        <v>0.37160377252442134</v>
      </c>
      <c r="L2178" t="str">
        <f t="shared" si="203"/>
        <v>2022-02</v>
      </c>
      <c r="M2178">
        <f t="shared" si="201"/>
        <v>1983.4499999999998</v>
      </c>
    </row>
    <row r="2179" spans="1:13" x14ac:dyDescent="0.25">
      <c r="A2179" s="1">
        <v>44936</v>
      </c>
      <c r="B2179" t="s">
        <v>25</v>
      </c>
      <c r="C2179" t="s">
        <v>15</v>
      </c>
      <c r="D2179" t="s">
        <v>18</v>
      </c>
      <c r="E2179">
        <v>206.46</v>
      </c>
      <c r="F2179">
        <v>142.58000000000001</v>
      </c>
      <c r="G2179">
        <v>3</v>
      </c>
      <c r="H2179">
        <f t="shared" ref="H2179:H2242" si="204">E2179*G2179</f>
        <v>619.38</v>
      </c>
      <c r="I2179">
        <f t="shared" si="202"/>
        <v>427.74</v>
      </c>
      <c r="J2179">
        <f t="shared" ref="J2179:J2242" si="205">H2179-I2179</f>
        <v>191.64</v>
      </c>
      <c r="K2179" s="8">
        <f t="shared" ref="K2179:K2242" si="206">(H2179-I2179)/H2179</f>
        <v>0.30940618037392231</v>
      </c>
      <c r="L2179" t="str">
        <f t="shared" si="203"/>
        <v>2023-01</v>
      </c>
      <c r="M2179">
        <f t="shared" ref="M2179:M2242" si="207">H2179-I2179</f>
        <v>191.64</v>
      </c>
    </row>
    <row r="2180" spans="1:13" x14ac:dyDescent="0.25">
      <c r="A2180" s="1">
        <v>45288</v>
      </c>
      <c r="B2180" t="s">
        <v>14</v>
      </c>
      <c r="C2180" t="s">
        <v>15</v>
      </c>
      <c r="D2180" t="s">
        <v>18</v>
      </c>
      <c r="E2180">
        <v>634.38</v>
      </c>
      <c r="F2180">
        <v>353.02</v>
      </c>
      <c r="G2180">
        <v>2</v>
      </c>
      <c r="H2180">
        <f t="shared" si="204"/>
        <v>1268.76</v>
      </c>
      <c r="I2180">
        <f t="shared" ref="I2180:I2243" si="208">F2180*G2180</f>
        <v>706.04</v>
      </c>
      <c r="J2180">
        <f t="shared" si="205"/>
        <v>562.72</v>
      </c>
      <c r="K2180" s="8">
        <f t="shared" si="206"/>
        <v>0.44351965698792523</v>
      </c>
      <c r="L2180" t="str">
        <f t="shared" ref="L2180:L2243" si="209">TEXT(A2180,"rrrr-mm")</f>
        <v>2023-12</v>
      </c>
      <c r="M2180">
        <f t="shared" si="207"/>
        <v>562.72</v>
      </c>
    </row>
    <row r="2181" spans="1:13" x14ac:dyDescent="0.25">
      <c r="A2181" s="1">
        <v>44592</v>
      </c>
      <c r="B2181" t="s">
        <v>16</v>
      </c>
      <c r="C2181" t="s">
        <v>15</v>
      </c>
      <c r="D2181" t="s">
        <v>13</v>
      </c>
      <c r="E2181">
        <v>1716.9</v>
      </c>
      <c r="F2181">
        <v>1369.13</v>
      </c>
      <c r="G2181">
        <v>10</v>
      </c>
      <c r="H2181">
        <f t="shared" si="204"/>
        <v>17169</v>
      </c>
      <c r="I2181">
        <f t="shared" si="208"/>
        <v>13691.300000000001</v>
      </c>
      <c r="J2181">
        <f t="shared" si="205"/>
        <v>3477.6999999999989</v>
      </c>
      <c r="K2181" s="8">
        <f t="shared" si="206"/>
        <v>0.2025569340089696</v>
      </c>
      <c r="L2181" t="str">
        <f t="shared" si="209"/>
        <v>2022-01</v>
      </c>
      <c r="M2181">
        <f t="shared" si="207"/>
        <v>3477.6999999999989</v>
      </c>
    </row>
    <row r="2182" spans="1:13" x14ac:dyDescent="0.25">
      <c r="A2182" s="1">
        <v>44906</v>
      </c>
      <c r="B2182" t="s">
        <v>24</v>
      </c>
      <c r="C2182" t="s">
        <v>20</v>
      </c>
      <c r="D2182" t="s">
        <v>13</v>
      </c>
      <c r="E2182">
        <v>1221.3</v>
      </c>
      <c r="F2182">
        <v>811.71</v>
      </c>
      <c r="G2182">
        <v>9</v>
      </c>
      <c r="H2182">
        <f t="shared" si="204"/>
        <v>10991.699999999999</v>
      </c>
      <c r="I2182">
        <f t="shared" si="208"/>
        <v>7305.39</v>
      </c>
      <c r="J2182">
        <f t="shared" si="205"/>
        <v>3686.3099999999986</v>
      </c>
      <c r="K2182" s="8">
        <f t="shared" si="206"/>
        <v>0.33537214443625635</v>
      </c>
      <c r="L2182" t="str">
        <f t="shared" si="209"/>
        <v>2022-12</v>
      </c>
      <c r="M2182">
        <f t="shared" si="207"/>
        <v>3686.3099999999986</v>
      </c>
    </row>
    <row r="2183" spans="1:13" x14ac:dyDescent="0.25">
      <c r="A2183" s="1">
        <v>44713</v>
      </c>
      <c r="B2183" t="s">
        <v>14</v>
      </c>
      <c r="C2183" t="s">
        <v>15</v>
      </c>
      <c r="D2183" t="s">
        <v>18</v>
      </c>
      <c r="E2183">
        <v>1090.42</v>
      </c>
      <c r="F2183">
        <v>669.64</v>
      </c>
      <c r="G2183">
        <v>4</v>
      </c>
      <c r="H2183">
        <f t="shared" si="204"/>
        <v>4361.68</v>
      </c>
      <c r="I2183">
        <f t="shared" si="208"/>
        <v>2678.56</v>
      </c>
      <c r="J2183">
        <f t="shared" si="205"/>
        <v>1683.1200000000003</v>
      </c>
      <c r="K2183" s="8">
        <f t="shared" si="206"/>
        <v>0.38588800645622795</v>
      </c>
      <c r="L2183" t="str">
        <f t="shared" si="209"/>
        <v>2022-06</v>
      </c>
      <c r="M2183">
        <f t="shared" si="207"/>
        <v>1683.1200000000003</v>
      </c>
    </row>
    <row r="2184" spans="1:13" x14ac:dyDescent="0.25">
      <c r="A2184" s="1">
        <v>44816</v>
      </c>
      <c r="B2184" t="s">
        <v>25</v>
      </c>
      <c r="C2184" t="s">
        <v>15</v>
      </c>
      <c r="D2184" t="s">
        <v>18</v>
      </c>
      <c r="E2184">
        <v>214.26</v>
      </c>
      <c r="F2184">
        <v>109.74</v>
      </c>
      <c r="G2184">
        <v>10</v>
      </c>
      <c r="H2184">
        <f t="shared" si="204"/>
        <v>2142.6</v>
      </c>
      <c r="I2184">
        <f t="shared" si="208"/>
        <v>1097.3999999999999</v>
      </c>
      <c r="J2184">
        <f t="shared" si="205"/>
        <v>1045.2</v>
      </c>
      <c r="K2184" s="8">
        <f t="shared" si="206"/>
        <v>0.48781853822458698</v>
      </c>
      <c r="L2184" t="str">
        <f t="shared" si="209"/>
        <v>2022-09</v>
      </c>
      <c r="M2184">
        <f t="shared" si="207"/>
        <v>1045.2</v>
      </c>
    </row>
    <row r="2185" spans="1:13" x14ac:dyDescent="0.25">
      <c r="A2185" s="1">
        <v>45621</v>
      </c>
      <c r="B2185" t="s">
        <v>16</v>
      </c>
      <c r="C2185" t="s">
        <v>15</v>
      </c>
      <c r="D2185" t="s">
        <v>13</v>
      </c>
      <c r="E2185">
        <v>1629.58</v>
      </c>
      <c r="F2185">
        <v>1376.68</v>
      </c>
      <c r="G2185">
        <v>1</v>
      </c>
      <c r="H2185">
        <f t="shared" si="204"/>
        <v>1629.58</v>
      </c>
      <c r="I2185">
        <f t="shared" si="208"/>
        <v>1376.68</v>
      </c>
      <c r="J2185">
        <f t="shared" si="205"/>
        <v>252.89999999999986</v>
      </c>
      <c r="K2185" s="8">
        <f t="shared" si="206"/>
        <v>0.15519336270695508</v>
      </c>
      <c r="L2185" t="str">
        <f t="shared" si="209"/>
        <v>2024-11</v>
      </c>
      <c r="M2185">
        <f t="shared" si="207"/>
        <v>252.89999999999986</v>
      </c>
    </row>
    <row r="2186" spans="1:13" x14ac:dyDescent="0.25">
      <c r="A2186" s="1">
        <v>44889</v>
      </c>
      <c r="B2186" t="s">
        <v>22</v>
      </c>
      <c r="C2186" t="s">
        <v>8</v>
      </c>
      <c r="D2186" t="s">
        <v>13</v>
      </c>
      <c r="E2186">
        <v>587.65</v>
      </c>
      <c r="F2186">
        <v>434.94</v>
      </c>
      <c r="G2186">
        <v>7</v>
      </c>
      <c r="H2186">
        <f t="shared" si="204"/>
        <v>4113.55</v>
      </c>
      <c r="I2186">
        <f t="shared" si="208"/>
        <v>3044.58</v>
      </c>
      <c r="J2186">
        <f t="shared" si="205"/>
        <v>1068.9700000000003</v>
      </c>
      <c r="K2186" s="8">
        <f t="shared" si="206"/>
        <v>0.25986556623840729</v>
      </c>
      <c r="L2186" t="str">
        <f t="shared" si="209"/>
        <v>2022-11</v>
      </c>
      <c r="M2186">
        <f t="shared" si="207"/>
        <v>1068.9700000000003</v>
      </c>
    </row>
    <row r="2187" spans="1:13" x14ac:dyDescent="0.25">
      <c r="A2187" s="1">
        <v>44971</v>
      </c>
      <c r="B2187" t="s">
        <v>22</v>
      </c>
      <c r="C2187" t="s">
        <v>8</v>
      </c>
      <c r="D2187" t="s">
        <v>18</v>
      </c>
      <c r="E2187">
        <v>1916.32</v>
      </c>
      <c r="F2187">
        <v>1488.49</v>
      </c>
      <c r="G2187">
        <v>8</v>
      </c>
      <c r="H2187">
        <f t="shared" si="204"/>
        <v>15330.56</v>
      </c>
      <c r="I2187">
        <f t="shared" si="208"/>
        <v>11907.92</v>
      </c>
      <c r="J2187">
        <f t="shared" si="205"/>
        <v>3422.6399999999994</v>
      </c>
      <c r="K2187" s="8">
        <f t="shared" si="206"/>
        <v>0.22325603239542452</v>
      </c>
      <c r="L2187" t="str">
        <f t="shared" si="209"/>
        <v>2023-02</v>
      </c>
      <c r="M2187">
        <f t="shared" si="207"/>
        <v>3422.6399999999994</v>
      </c>
    </row>
    <row r="2188" spans="1:13" x14ac:dyDescent="0.25">
      <c r="A2188" s="1">
        <v>45412</v>
      </c>
      <c r="B2188" t="s">
        <v>12</v>
      </c>
      <c r="C2188" t="s">
        <v>8</v>
      </c>
      <c r="D2188" t="s">
        <v>18</v>
      </c>
      <c r="E2188">
        <v>499.73</v>
      </c>
      <c r="F2188">
        <v>278.55</v>
      </c>
      <c r="G2188">
        <v>1</v>
      </c>
      <c r="H2188">
        <f t="shared" si="204"/>
        <v>499.73</v>
      </c>
      <c r="I2188">
        <f t="shared" si="208"/>
        <v>278.55</v>
      </c>
      <c r="J2188">
        <f t="shared" si="205"/>
        <v>221.18</v>
      </c>
      <c r="K2188" s="8">
        <f t="shared" si="206"/>
        <v>0.44259900346186942</v>
      </c>
      <c r="L2188" t="str">
        <f t="shared" si="209"/>
        <v>2024-04</v>
      </c>
      <c r="M2188">
        <f t="shared" si="207"/>
        <v>221.18</v>
      </c>
    </row>
    <row r="2189" spans="1:13" x14ac:dyDescent="0.25">
      <c r="A2189" s="1">
        <v>45441</v>
      </c>
      <c r="B2189" t="s">
        <v>23</v>
      </c>
      <c r="C2189" t="s">
        <v>11</v>
      </c>
      <c r="D2189" t="s">
        <v>9</v>
      </c>
      <c r="E2189">
        <v>865.6</v>
      </c>
      <c r="F2189">
        <v>574.04</v>
      </c>
      <c r="G2189">
        <v>5</v>
      </c>
      <c r="H2189">
        <f t="shared" si="204"/>
        <v>4328</v>
      </c>
      <c r="I2189">
        <f t="shared" si="208"/>
        <v>2870.2</v>
      </c>
      <c r="J2189">
        <f t="shared" si="205"/>
        <v>1457.8000000000002</v>
      </c>
      <c r="K2189" s="8">
        <f t="shared" si="206"/>
        <v>0.336829944547135</v>
      </c>
      <c r="L2189" t="str">
        <f t="shared" si="209"/>
        <v>2024-05</v>
      </c>
      <c r="M2189">
        <f t="shared" si="207"/>
        <v>1457.8000000000002</v>
      </c>
    </row>
    <row r="2190" spans="1:13" x14ac:dyDescent="0.25">
      <c r="A2190" s="1">
        <v>45435</v>
      </c>
      <c r="B2190" t="s">
        <v>7</v>
      </c>
      <c r="C2190" t="s">
        <v>8</v>
      </c>
      <c r="D2190" t="s">
        <v>18</v>
      </c>
      <c r="E2190">
        <v>784.81</v>
      </c>
      <c r="F2190">
        <v>408.26</v>
      </c>
      <c r="G2190">
        <v>6</v>
      </c>
      <c r="H2190">
        <f t="shared" si="204"/>
        <v>4708.8599999999997</v>
      </c>
      <c r="I2190">
        <f t="shared" si="208"/>
        <v>2449.56</v>
      </c>
      <c r="J2190">
        <f t="shared" si="205"/>
        <v>2259.2999999999997</v>
      </c>
      <c r="K2190" s="8">
        <f t="shared" si="206"/>
        <v>0.47979765803188029</v>
      </c>
      <c r="L2190" t="str">
        <f t="shared" si="209"/>
        <v>2024-05</v>
      </c>
      <c r="M2190">
        <f t="shared" si="207"/>
        <v>2259.2999999999997</v>
      </c>
    </row>
    <row r="2191" spans="1:13" x14ac:dyDescent="0.25">
      <c r="A2191" s="1">
        <v>44812</v>
      </c>
      <c r="B2191" t="s">
        <v>14</v>
      </c>
      <c r="C2191" t="s">
        <v>15</v>
      </c>
      <c r="D2191" t="s">
        <v>9</v>
      </c>
      <c r="E2191">
        <v>368.17</v>
      </c>
      <c r="F2191">
        <v>293.10000000000002</v>
      </c>
      <c r="G2191">
        <v>6</v>
      </c>
      <c r="H2191">
        <f t="shared" si="204"/>
        <v>2209.02</v>
      </c>
      <c r="I2191">
        <f t="shared" si="208"/>
        <v>1758.6000000000001</v>
      </c>
      <c r="J2191">
        <f t="shared" si="205"/>
        <v>450.41999999999985</v>
      </c>
      <c r="K2191" s="8">
        <f t="shared" si="206"/>
        <v>0.20390037211070966</v>
      </c>
      <c r="L2191" t="str">
        <f t="shared" si="209"/>
        <v>2022-09</v>
      </c>
      <c r="M2191">
        <f t="shared" si="207"/>
        <v>450.41999999999985</v>
      </c>
    </row>
    <row r="2192" spans="1:13" x14ac:dyDescent="0.25">
      <c r="A2192" s="1">
        <v>44942</v>
      </c>
      <c r="B2192" t="s">
        <v>16</v>
      </c>
      <c r="C2192" t="s">
        <v>15</v>
      </c>
      <c r="D2192" t="s">
        <v>17</v>
      </c>
      <c r="E2192">
        <v>319.26</v>
      </c>
      <c r="F2192">
        <v>177.9</v>
      </c>
      <c r="G2192">
        <v>10</v>
      </c>
      <c r="H2192">
        <f t="shared" si="204"/>
        <v>3192.6</v>
      </c>
      <c r="I2192">
        <f t="shared" si="208"/>
        <v>1779</v>
      </c>
      <c r="J2192">
        <f t="shared" si="205"/>
        <v>1413.6</v>
      </c>
      <c r="K2192" s="8">
        <f t="shared" si="206"/>
        <v>0.44277391467769217</v>
      </c>
      <c r="L2192" t="str">
        <f t="shared" si="209"/>
        <v>2023-01</v>
      </c>
      <c r="M2192">
        <f t="shared" si="207"/>
        <v>1413.6</v>
      </c>
    </row>
    <row r="2193" spans="1:13" x14ac:dyDescent="0.25">
      <c r="A2193" s="1">
        <v>44713</v>
      </c>
      <c r="B2193" t="s">
        <v>12</v>
      </c>
      <c r="C2193" t="s">
        <v>8</v>
      </c>
      <c r="D2193" t="s">
        <v>17</v>
      </c>
      <c r="E2193">
        <v>747.65</v>
      </c>
      <c r="F2193">
        <v>428.31</v>
      </c>
      <c r="G2193">
        <v>4</v>
      </c>
      <c r="H2193">
        <f t="shared" si="204"/>
        <v>2990.6</v>
      </c>
      <c r="I2193">
        <f t="shared" si="208"/>
        <v>1713.24</v>
      </c>
      <c r="J2193">
        <f t="shared" si="205"/>
        <v>1277.3599999999999</v>
      </c>
      <c r="K2193" s="8">
        <f t="shared" si="206"/>
        <v>0.42712499164047346</v>
      </c>
      <c r="L2193" t="str">
        <f t="shared" si="209"/>
        <v>2022-06</v>
      </c>
      <c r="M2193">
        <f t="shared" si="207"/>
        <v>1277.3599999999999</v>
      </c>
    </row>
    <row r="2194" spans="1:13" x14ac:dyDescent="0.25">
      <c r="A2194" s="1">
        <v>45245</v>
      </c>
      <c r="B2194" t="s">
        <v>10</v>
      </c>
      <c r="C2194" t="s">
        <v>11</v>
      </c>
      <c r="D2194" t="s">
        <v>9</v>
      </c>
      <c r="E2194">
        <v>408.46</v>
      </c>
      <c r="F2194">
        <v>357.47</v>
      </c>
      <c r="G2194">
        <v>8</v>
      </c>
      <c r="H2194">
        <f t="shared" si="204"/>
        <v>3267.68</v>
      </c>
      <c r="I2194">
        <f t="shared" si="208"/>
        <v>2859.76</v>
      </c>
      <c r="J2194">
        <f t="shared" si="205"/>
        <v>407.91999999999962</v>
      </c>
      <c r="K2194" s="8">
        <f t="shared" si="206"/>
        <v>0.12483474514028291</v>
      </c>
      <c r="L2194" t="str">
        <f t="shared" si="209"/>
        <v>2023-11</v>
      </c>
      <c r="M2194">
        <f t="shared" si="207"/>
        <v>407.91999999999962</v>
      </c>
    </row>
    <row r="2195" spans="1:13" x14ac:dyDescent="0.25">
      <c r="A2195" s="1">
        <v>45417</v>
      </c>
      <c r="B2195" t="s">
        <v>14</v>
      </c>
      <c r="C2195" t="s">
        <v>15</v>
      </c>
      <c r="D2195" t="s">
        <v>18</v>
      </c>
      <c r="E2195">
        <v>286.99</v>
      </c>
      <c r="F2195">
        <v>146.4</v>
      </c>
      <c r="G2195">
        <v>7</v>
      </c>
      <c r="H2195">
        <f t="shared" si="204"/>
        <v>2008.93</v>
      </c>
      <c r="I2195">
        <f t="shared" si="208"/>
        <v>1024.8</v>
      </c>
      <c r="J2195">
        <f t="shared" si="205"/>
        <v>984.13000000000011</v>
      </c>
      <c r="K2195" s="8">
        <f t="shared" si="206"/>
        <v>0.48987769608697174</v>
      </c>
      <c r="L2195" t="str">
        <f t="shared" si="209"/>
        <v>2024-05</v>
      </c>
      <c r="M2195">
        <f t="shared" si="207"/>
        <v>984.13000000000011</v>
      </c>
    </row>
    <row r="2196" spans="1:13" x14ac:dyDescent="0.25">
      <c r="A2196" s="1">
        <v>44630</v>
      </c>
      <c r="B2196" t="s">
        <v>24</v>
      </c>
      <c r="C2196" t="s">
        <v>20</v>
      </c>
      <c r="D2196" t="s">
        <v>18</v>
      </c>
      <c r="E2196">
        <v>343.27</v>
      </c>
      <c r="F2196">
        <v>239.9</v>
      </c>
      <c r="G2196">
        <v>9</v>
      </c>
      <c r="H2196">
        <f t="shared" si="204"/>
        <v>3089.43</v>
      </c>
      <c r="I2196">
        <f t="shared" si="208"/>
        <v>2159.1</v>
      </c>
      <c r="J2196">
        <f t="shared" si="205"/>
        <v>930.32999999999993</v>
      </c>
      <c r="K2196" s="8">
        <f t="shared" si="206"/>
        <v>0.3011332187490896</v>
      </c>
      <c r="L2196" t="str">
        <f t="shared" si="209"/>
        <v>2022-03</v>
      </c>
      <c r="M2196">
        <f t="shared" si="207"/>
        <v>930.32999999999993</v>
      </c>
    </row>
    <row r="2197" spans="1:13" x14ac:dyDescent="0.25">
      <c r="A2197" s="1">
        <v>45555</v>
      </c>
      <c r="B2197" t="s">
        <v>23</v>
      </c>
      <c r="C2197" t="s">
        <v>11</v>
      </c>
      <c r="D2197" t="s">
        <v>18</v>
      </c>
      <c r="E2197">
        <v>694.17</v>
      </c>
      <c r="F2197">
        <v>560.42999999999995</v>
      </c>
      <c r="G2197">
        <v>2</v>
      </c>
      <c r="H2197">
        <f t="shared" si="204"/>
        <v>1388.34</v>
      </c>
      <c r="I2197">
        <f t="shared" si="208"/>
        <v>1120.8599999999999</v>
      </c>
      <c r="J2197">
        <f t="shared" si="205"/>
        <v>267.48</v>
      </c>
      <c r="K2197" s="8">
        <f t="shared" si="206"/>
        <v>0.19266173991961627</v>
      </c>
      <c r="L2197" t="str">
        <f t="shared" si="209"/>
        <v>2024-09</v>
      </c>
      <c r="M2197">
        <f t="shared" si="207"/>
        <v>267.48</v>
      </c>
    </row>
    <row r="2198" spans="1:13" x14ac:dyDescent="0.25">
      <c r="A2198" s="1">
        <v>44999</v>
      </c>
      <c r="B2198" t="s">
        <v>25</v>
      </c>
      <c r="C2198" t="s">
        <v>15</v>
      </c>
      <c r="D2198" t="s">
        <v>18</v>
      </c>
      <c r="E2198">
        <v>911.31</v>
      </c>
      <c r="F2198">
        <v>734.91</v>
      </c>
      <c r="G2198">
        <v>9</v>
      </c>
      <c r="H2198">
        <f t="shared" si="204"/>
        <v>8201.7899999999991</v>
      </c>
      <c r="I2198">
        <f t="shared" si="208"/>
        <v>6614.19</v>
      </c>
      <c r="J2198">
        <f t="shared" si="205"/>
        <v>1587.5999999999995</v>
      </c>
      <c r="K2198" s="8">
        <f t="shared" si="206"/>
        <v>0.19356750172828122</v>
      </c>
      <c r="L2198" t="str">
        <f t="shared" si="209"/>
        <v>2023-03</v>
      </c>
      <c r="M2198">
        <f t="shared" si="207"/>
        <v>1587.5999999999995</v>
      </c>
    </row>
    <row r="2199" spans="1:13" x14ac:dyDescent="0.25">
      <c r="A2199" s="1">
        <v>45095</v>
      </c>
      <c r="B2199" t="s">
        <v>24</v>
      </c>
      <c r="C2199" t="s">
        <v>20</v>
      </c>
      <c r="D2199" t="s">
        <v>18</v>
      </c>
      <c r="E2199">
        <v>1381.83</v>
      </c>
      <c r="F2199">
        <v>1062.1300000000001</v>
      </c>
      <c r="G2199">
        <v>2</v>
      </c>
      <c r="H2199">
        <f t="shared" si="204"/>
        <v>2763.66</v>
      </c>
      <c r="I2199">
        <f t="shared" si="208"/>
        <v>2124.2600000000002</v>
      </c>
      <c r="J2199">
        <f t="shared" si="205"/>
        <v>639.39999999999964</v>
      </c>
      <c r="K2199" s="8">
        <f t="shared" si="206"/>
        <v>0.23135986336958947</v>
      </c>
      <c r="L2199" t="str">
        <f t="shared" si="209"/>
        <v>2023-06</v>
      </c>
      <c r="M2199">
        <f t="shared" si="207"/>
        <v>639.39999999999964</v>
      </c>
    </row>
    <row r="2200" spans="1:13" x14ac:dyDescent="0.25">
      <c r="A2200" s="1">
        <v>45180</v>
      </c>
      <c r="B2200" t="s">
        <v>22</v>
      </c>
      <c r="C2200" t="s">
        <v>8</v>
      </c>
      <c r="D2200" t="s">
        <v>17</v>
      </c>
      <c r="E2200">
        <v>1146.4100000000001</v>
      </c>
      <c r="F2200">
        <v>862.85</v>
      </c>
      <c r="G2200">
        <v>8</v>
      </c>
      <c r="H2200">
        <f t="shared" si="204"/>
        <v>9171.2800000000007</v>
      </c>
      <c r="I2200">
        <f t="shared" si="208"/>
        <v>6902.8</v>
      </c>
      <c r="J2200">
        <f t="shared" si="205"/>
        <v>2268.4800000000005</v>
      </c>
      <c r="K2200" s="8">
        <f t="shared" si="206"/>
        <v>0.24734606292687611</v>
      </c>
      <c r="L2200" t="str">
        <f t="shared" si="209"/>
        <v>2023-09</v>
      </c>
      <c r="M2200">
        <f t="shared" si="207"/>
        <v>2268.4800000000005</v>
      </c>
    </row>
    <row r="2201" spans="1:13" x14ac:dyDescent="0.25">
      <c r="A2201" s="1">
        <v>44772</v>
      </c>
      <c r="B2201" t="s">
        <v>22</v>
      </c>
      <c r="C2201" t="s">
        <v>8</v>
      </c>
      <c r="D2201" t="s">
        <v>17</v>
      </c>
      <c r="E2201">
        <v>592.58000000000004</v>
      </c>
      <c r="F2201">
        <v>297.25</v>
      </c>
      <c r="G2201">
        <v>2</v>
      </c>
      <c r="H2201">
        <f t="shared" si="204"/>
        <v>1185.1600000000001</v>
      </c>
      <c r="I2201">
        <f t="shared" si="208"/>
        <v>594.5</v>
      </c>
      <c r="J2201">
        <f t="shared" si="205"/>
        <v>590.66000000000008</v>
      </c>
      <c r="K2201" s="8">
        <f t="shared" si="206"/>
        <v>0.4983799655742685</v>
      </c>
      <c r="L2201" t="str">
        <f t="shared" si="209"/>
        <v>2022-07</v>
      </c>
      <c r="M2201">
        <f t="shared" si="207"/>
        <v>590.66000000000008</v>
      </c>
    </row>
    <row r="2202" spans="1:13" x14ac:dyDescent="0.25">
      <c r="A2202" s="1">
        <v>44848</v>
      </c>
      <c r="B2202" t="s">
        <v>10</v>
      </c>
      <c r="C2202" t="s">
        <v>11</v>
      </c>
      <c r="D2202" t="s">
        <v>9</v>
      </c>
      <c r="E2202">
        <v>161.25</v>
      </c>
      <c r="F2202">
        <v>86.98</v>
      </c>
      <c r="G2202">
        <v>7</v>
      </c>
      <c r="H2202">
        <f t="shared" si="204"/>
        <v>1128.75</v>
      </c>
      <c r="I2202">
        <f t="shared" si="208"/>
        <v>608.86</v>
      </c>
      <c r="J2202">
        <f t="shared" si="205"/>
        <v>519.89</v>
      </c>
      <c r="K2202" s="8">
        <f t="shared" si="206"/>
        <v>0.46058914728682171</v>
      </c>
      <c r="L2202" t="str">
        <f t="shared" si="209"/>
        <v>2022-10</v>
      </c>
      <c r="M2202">
        <f t="shared" si="207"/>
        <v>519.89</v>
      </c>
    </row>
    <row r="2203" spans="1:13" x14ac:dyDescent="0.25">
      <c r="A2203" s="1">
        <v>45429</v>
      </c>
      <c r="B2203" t="s">
        <v>16</v>
      </c>
      <c r="C2203" t="s">
        <v>15</v>
      </c>
      <c r="D2203" t="s">
        <v>9</v>
      </c>
      <c r="E2203">
        <v>484.34</v>
      </c>
      <c r="F2203">
        <v>376.76</v>
      </c>
      <c r="G2203">
        <v>6</v>
      </c>
      <c r="H2203">
        <f t="shared" si="204"/>
        <v>2906.04</v>
      </c>
      <c r="I2203">
        <f t="shared" si="208"/>
        <v>2260.56</v>
      </c>
      <c r="J2203">
        <f t="shared" si="205"/>
        <v>645.48</v>
      </c>
      <c r="K2203" s="8">
        <f t="shared" si="206"/>
        <v>0.22211669488375935</v>
      </c>
      <c r="L2203" t="str">
        <f t="shared" si="209"/>
        <v>2024-05</v>
      </c>
      <c r="M2203">
        <f t="shared" si="207"/>
        <v>645.48</v>
      </c>
    </row>
    <row r="2204" spans="1:13" x14ac:dyDescent="0.25">
      <c r="A2204" s="1">
        <v>44574</v>
      </c>
      <c r="B2204" t="s">
        <v>10</v>
      </c>
      <c r="C2204" t="s">
        <v>11</v>
      </c>
      <c r="D2204" t="s">
        <v>13</v>
      </c>
      <c r="E2204">
        <v>1068.7</v>
      </c>
      <c r="F2204">
        <v>904.31</v>
      </c>
      <c r="G2204">
        <v>6</v>
      </c>
      <c r="H2204">
        <f t="shared" si="204"/>
        <v>6412.2000000000007</v>
      </c>
      <c r="I2204">
        <f t="shared" si="208"/>
        <v>5425.86</v>
      </c>
      <c r="J2204">
        <f t="shared" si="205"/>
        <v>986.34000000000106</v>
      </c>
      <c r="K2204" s="8">
        <f t="shared" si="206"/>
        <v>0.15382240104800241</v>
      </c>
      <c r="L2204" t="str">
        <f t="shared" si="209"/>
        <v>2022-01</v>
      </c>
      <c r="M2204">
        <f t="shared" si="207"/>
        <v>986.34000000000106</v>
      </c>
    </row>
    <row r="2205" spans="1:13" x14ac:dyDescent="0.25">
      <c r="A2205" s="1">
        <v>45284</v>
      </c>
      <c r="B2205" t="s">
        <v>16</v>
      </c>
      <c r="C2205" t="s">
        <v>15</v>
      </c>
      <c r="D2205" t="s">
        <v>18</v>
      </c>
      <c r="E2205">
        <v>566.26</v>
      </c>
      <c r="F2205">
        <v>320.47000000000003</v>
      </c>
      <c r="G2205">
        <v>1</v>
      </c>
      <c r="H2205">
        <f t="shared" si="204"/>
        <v>566.26</v>
      </c>
      <c r="I2205">
        <f t="shared" si="208"/>
        <v>320.47000000000003</v>
      </c>
      <c r="J2205">
        <f t="shared" si="205"/>
        <v>245.78999999999996</v>
      </c>
      <c r="K2205" s="8">
        <f t="shared" si="206"/>
        <v>0.43405855967223533</v>
      </c>
      <c r="L2205" t="str">
        <f t="shared" si="209"/>
        <v>2023-12</v>
      </c>
      <c r="M2205">
        <f t="shared" si="207"/>
        <v>245.78999999999996</v>
      </c>
    </row>
    <row r="2206" spans="1:13" x14ac:dyDescent="0.25">
      <c r="A2206" s="1">
        <v>44929</v>
      </c>
      <c r="B2206" t="s">
        <v>19</v>
      </c>
      <c r="C2206" t="s">
        <v>20</v>
      </c>
      <c r="D2206" t="s">
        <v>17</v>
      </c>
      <c r="E2206">
        <v>1496.95</v>
      </c>
      <c r="F2206">
        <v>1248.18</v>
      </c>
      <c r="G2206">
        <v>8</v>
      </c>
      <c r="H2206">
        <f t="shared" si="204"/>
        <v>11975.6</v>
      </c>
      <c r="I2206">
        <f t="shared" si="208"/>
        <v>9985.44</v>
      </c>
      <c r="J2206">
        <f t="shared" si="205"/>
        <v>1990.1599999999999</v>
      </c>
      <c r="K2206" s="8">
        <f t="shared" si="206"/>
        <v>0.16618457530311631</v>
      </c>
      <c r="L2206" t="str">
        <f t="shared" si="209"/>
        <v>2023-01</v>
      </c>
      <c r="M2206">
        <f t="shared" si="207"/>
        <v>1990.1599999999999</v>
      </c>
    </row>
    <row r="2207" spans="1:13" x14ac:dyDescent="0.25">
      <c r="A2207" s="1">
        <v>45000</v>
      </c>
      <c r="B2207" t="s">
        <v>19</v>
      </c>
      <c r="C2207" t="s">
        <v>20</v>
      </c>
      <c r="D2207" t="s">
        <v>18</v>
      </c>
      <c r="E2207">
        <v>1532.91</v>
      </c>
      <c r="F2207">
        <v>1320.54</v>
      </c>
      <c r="G2207">
        <v>9</v>
      </c>
      <c r="H2207">
        <f t="shared" si="204"/>
        <v>13796.19</v>
      </c>
      <c r="I2207">
        <f t="shared" si="208"/>
        <v>11884.86</v>
      </c>
      <c r="J2207">
        <f t="shared" si="205"/>
        <v>1911.33</v>
      </c>
      <c r="K2207" s="8">
        <f t="shared" si="206"/>
        <v>0.13854042311681702</v>
      </c>
      <c r="L2207" t="str">
        <f t="shared" si="209"/>
        <v>2023-03</v>
      </c>
      <c r="M2207">
        <f t="shared" si="207"/>
        <v>1911.33</v>
      </c>
    </row>
    <row r="2208" spans="1:13" x14ac:dyDescent="0.25">
      <c r="A2208" s="1">
        <v>45456</v>
      </c>
      <c r="B2208" t="s">
        <v>7</v>
      </c>
      <c r="C2208" t="s">
        <v>8</v>
      </c>
      <c r="D2208" t="s">
        <v>17</v>
      </c>
      <c r="E2208">
        <v>1469.32</v>
      </c>
      <c r="F2208">
        <v>1318.79</v>
      </c>
      <c r="G2208">
        <v>4</v>
      </c>
      <c r="H2208">
        <f t="shared" si="204"/>
        <v>5877.28</v>
      </c>
      <c r="I2208">
        <f t="shared" si="208"/>
        <v>5275.16</v>
      </c>
      <c r="J2208">
        <f t="shared" si="205"/>
        <v>602.11999999999989</v>
      </c>
      <c r="K2208" s="8">
        <f t="shared" si="206"/>
        <v>0.10244875180355537</v>
      </c>
      <c r="L2208" t="str">
        <f t="shared" si="209"/>
        <v>2024-06</v>
      </c>
      <c r="M2208">
        <f t="shared" si="207"/>
        <v>602.11999999999989</v>
      </c>
    </row>
    <row r="2209" spans="1:13" x14ac:dyDescent="0.25">
      <c r="A2209" s="1">
        <v>44933</v>
      </c>
      <c r="B2209" t="s">
        <v>25</v>
      </c>
      <c r="C2209" t="s">
        <v>15</v>
      </c>
      <c r="D2209" t="s">
        <v>13</v>
      </c>
      <c r="E2209">
        <v>294.54000000000002</v>
      </c>
      <c r="F2209">
        <v>226.49</v>
      </c>
      <c r="G2209">
        <v>7</v>
      </c>
      <c r="H2209">
        <f t="shared" si="204"/>
        <v>2061.7800000000002</v>
      </c>
      <c r="I2209">
        <f t="shared" si="208"/>
        <v>1585.43</v>
      </c>
      <c r="J2209">
        <f t="shared" si="205"/>
        <v>476.35000000000014</v>
      </c>
      <c r="K2209" s="8">
        <f t="shared" si="206"/>
        <v>0.23103822910300811</v>
      </c>
      <c r="L2209" t="str">
        <f t="shared" si="209"/>
        <v>2023-01</v>
      </c>
      <c r="M2209">
        <f t="shared" si="207"/>
        <v>476.35000000000014</v>
      </c>
    </row>
    <row r="2210" spans="1:13" x14ac:dyDescent="0.25">
      <c r="A2210" s="1">
        <v>45546</v>
      </c>
      <c r="B2210" t="s">
        <v>16</v>
      </c>
      <c r="C2210" t="s">
        <v>15</v>
      </c>
      <c r="D2210" t="s">
        <v>18</v>
      </c>
      <c r="E2210">
        <v>106.16</v>
      </c>
      <c r="F2210">
        <v>85.27</v>
      </c>
      <c r="G2210">
        <v>2</v>
      </c>
      <c r="H2210">
        <f t="shared" si="204"/>
        <v>212.32</v>
      </c>
      <c r="I2210">
        <f t="shared" si="208"/>
        <v>170.54</v>
      </c>
      <c r="J2210">
        <f t="shared" si="205"/>
        <v>41.78</v>
      </c>
      <c r="K2210" s="8">
        <f t="shared" si="206"/>
        <v>0.19677844762622457</v>
      </c>
      <c r="L2210" t="str">
        <f t="shared" si="209"/>
        <v>2024-09</v>
      </c>
      <c r="M2210">
        <f t="shared" si="207"/>
        <v>41.78</v>
      </c>
    </row>
    <row r="2211" spans="1:13" x14ac:dyDescent="0.25">
      <c r="A2211" s="1">
        <v>45021</v>
      </c>
      <c r="B2211" t="s">
        <v>25</v>
      </c>
      <c r="C2211" t="s">
        <v>15</v>
      </c>
      <c r="D2211" t="s">
        <v>9</v>
      </c>
      <c r="E2211">
        <v>1454.79</v>
      </c>
      <c r="F2211">
        <v>867.58</v>
      </c>
      <c r="G2211">
        <v>4</v>
      </c>
      <c r="H2211">
        <f t="shared" si="204"/>
        <v>5819.16</v>
      </c>
      <c r="I2211">
        <f t="shared" si="208"/>
        <v>3470.32</v>
      </c>
      <c r="J2211">
        <f t="shared" si="205"/>
        <v>2348.8399999999997</v>
      </c>
      <c r="K2211" s="8">
        <f t="shared" si="206"/>
        <v>0.40363901319090723</v>
      </c>
      <c r="L2211" t="str">
        <f t="shared" si="209"/>
        <v>2023-04</v>
      </c>
      <c r="M2211">
        <f t="shared" si="207"/>
        <v>2348.8399999999997</v>
      </c>
    </row>
    <row r="2212" spans="1:13" x14ac:dyDescent="0.25">
      <c r="A2212" s="1">
        <v>44616</v>
      </c>
      <c r="B2212" t="s">
        <v>21</v>
      </c>
      <c r="C2212" t="s">
        <v>20</v>
      </c>
      <c r="D2212" t="s">
        <v>17</v>
      </c>
      <c r="E2212">
        <v>1206.07</v>
      </c>
      <c r="F2212">
        <v>968.84</v>
      </c>
      <c r="G2212">
        <v>2</v>
      </c>
      <c r="H2212">
        <f t="shared" si="204"/>
        <v>2412.14</v>
      </c>
      <c r="I2212">
        <f t="shared" si="208"/>
        <v>1937.68</v>
      </c>
      <c r="J2212">
        <f t="shared" si="205"/>
        <v>474.45999999999981</v>
      </c>
      <c r="K2212" s="8">
        <f t="shared" si="206"/>
        <v>0.19669670914623522</v>
      </c>
      <c r="L2212" t="str">
        <f t="shared" si="209"/>
        <v>2022-02</v>
      </c>
      <c r="M2212">
        <f t="shared" si="207"/>
        <v>474.45999999999981</v>
      </c>
    </row>
    <row r="2213" spans="1:13" x14ac:dyDescent="0.25">
      <c r="A2213" s="1">
        <v>45608</v>
      </c>
      <c r="B2213" t="s">
        <v>12</v>
      </c>
      <c r="C2213" t="s">
        <v>8</v>
      </c>
      <c r="D2213" t="s">
        <v>9</v>
      </c>
      <c r="E2213">
        <v>1695.46</v>
      </c>
      <c r="F2213">
        <v>925.81</v>
      </c>
      <c r="G2213">
        <v>10</v>
      </c>
      <c r="H2213">
        <f t="shared" si="204"/>
        <v>16954.599999999999</v>
      </c>
      <c r="I2213">
        <f t="shared" si="208"/>
        <v>9258.0999999999985</v>
      </c>
      <c r="J2213">
        <f t="shared" si="205"/>
        <v>7696.5</v>
      </c>
      <c r="K2213" s="8">
        <f t="shared" si="206"/>
        <v>0.45394760124096117</v>
      </c>
      <c r="L2213" t="str">
        <f t="shared" si="209"/>
        <v>2024-11</v>
      </c>
      <c r="M2213">
        <f t="shared" si="207"/>
        <v>7696.5</v>
      </c>
    </row>
    <row r="2214" spans="1:13" x14ac:dyDescent="0.25">
      <c r="A2214" s="1">
        <v>45134</v>
      </c>
      <c r="B2214" t="s">
        <v>21</v>
      </c>
      <c r="C2214" t="s">
        <v>20</v>
      </c>
      <c r="D2214" t="s">
        <v>13</v>
      </c>
      <c r="E2214">
        <v>1496.32</v>
      </c>
      <c r="F2214">
        <v>1038.44</v>
      </c>
      <c r="G2214">
        <v>3</v>
      </c>
      <c r="H2214">
        <f t="shared" si="204"/>
        <v>4488.96</v>
      </c>
      <c r="I2214">
        <f t="shared" si="208"/>
        <v>3115.32</v>
      </c>
      <c r="J2214">
        <f t="shared" si="205"/>
        <v>1373.6399999999999</v>
      </c>
      <c r="K2214" s="8">
        <f t="shared" si="206"/>
        <v>0.30600406330196744</v>
      </c>
      <c r="L2214" t="str">
        <f t="shared" si="209"/>
        <v>2023-07</v>
      </c>
      <c r="M2214">
        <f t="shared" si="207"/>
        <v>1373.6399999999999</v>
      </c>
    </row>
    <row r="2215" spans="1:13" x14ac:dyDescent="0.25">
      <c r="A2215" s="1">
        <v>44723</v>
      </c>
      <c r="B2215" t="s">
        <v>21</v>
      </c>
      <c r="C2215" t="s">
        <v>20</v>
      </c>
      <c r="D2215" t="s">
        <v>9</v>
      </c>
      <c r="E2215">
        <v>1140.47</v>
      </c>
      <c r="F2215">
        <v>695.97</v>
      </c>
      <c r="G2215">
        <v>8</v>
      </c>
      <c r="H2215">
        <f t="shared" si="204"/>
        <v>9123.76</v>
      </c>
      <c r="I2215">
        <f t="shared" si="208"/>
        <v>5567.76</v>
      </c>
      <c r="J2215">
        <f t="shared" si="205"/>
        <v>3556</v>
      </c>
      <c r="K2215" s="8">
        <f t="shared" si="206"/>
        <v>0.38975159364121809</v>
      </c>
      <c r="L2215" t="str">
        <f t="shared" si="209"/>
        <v>2022-06</v>
      </c>
      <c r="M2215">
        <f t="shared" si="207"/>
        <v>3556</v>
      </c>
    </row>
    <row r="2216" spans="1:13" x14ac:dyDescent="0.25">
      <c r="A2216" s="1">
        <v>45168</v>
      </c>
      <c r="B2216" t="s">
        <v>16</v>
      </c>
      <c r="C2216" t="s">
        <v>15</v>
      </c>
      <c r="D2216" t="s">
        <v>17</v>
      </c>
      <c r="E2216">
        <v>177.82</v>
      </c>
      <c r="F2216">
        <v>90.77</v>
      </c>
      <c r="G2216">
        <v>2</v>
      </c>
      <c r="H2216">
        <f t="shared" si="204"/>
        <v>355.64</v>
      </c>
      <c r="I2216">
        <f t="shared" si="208"/>
        <v>181.54</v>
      </c>
      <c r="J2216">
        <f t="shared" si="205"/>
        <v>174.1</v>
      </c>
      <c r="K2216" s="8">
        <f t="shared" si="206"/>
        <v>0.48953998425373974</v>
      </c>
      <c r="L2216" t="str">
        <f t="shared" si="209"/>
        <v>2023-08</v>
      </c>
      <c r="M2216">
        <f t="shared" si="207"/>
        <v>174.1</v>
      </c>
    </row>
    <row r="2217" spans="1:13" x14ac:dyDescent="0.25">
      <c r="A2217" s="1">
        <v>44803</v>
      </c>
      <c r="B2217" t="s">
        <v>19</v>
      </c>
      <c r="C2217" t="s">
        <v>20</v>
      </c>
      <c r="D2217" t="s">
        <v>18</v>
      </c>
      <c r="E2217">
        <v>1784.18</v>
      </c>
      <c r="F2217">
        <v>1408.01</v>
      </c>
      <c r="G2217">
        <v>8</v>
      </c>
      <c r="H2217">
        <f t="shared" si="204"/>
        <v>14273.44</v>
      </c>
      <c r="I2217">
        <f t="shared" si="208"/>
        <v>11264.08</v>
      </c>
      <c r="J2217">
        <f t="shared" si="205"/>
        <v>3009.3600000000006</v>
      </c>
      <c r="K2217" s="8">
        <f t="shared" si="206"/>
        <v>0.21083635059242906</v>
      </c>
      <c r="L2217" t="str">
        <f t="shared" si="209"/>
        <v>2022-08</v>
      </c>
      <c r="M2217">
        <f t="shared" si="207"/>
        <v>3009.3600000000006</v>
      </c>
    </row>
    <row r="2218" spans="1:13" x14ac:dyDescent="0.25">
      <c r="A2218" s="1">
        <v>45062</v>
      </c>
      <c r="B2218" t="s">
        <v>19</v>
      </c>
      <c r="C2218" t="s">
        <v>20</v>
      </c>
      <c r="D2218" t="s">
        <v>18</v>
      </c>
      <c r="E2218">
        <v>1085.52</v>
      </c>
      <c r="F2218">
        <v>957.77</v>
      </c>
      <c r="G2218">
        <v>4</v>
      </c>
      <c r="H2218">
        <f t="shared" si="204"/>
        <v>4342.08</v>
      </c>
      <c r="I2218">
        <f t="shared" si="208"/>
        <v>3831.08</v>
      </c>
      <c r="J2218">
        <f t="shared" si="205"/>
        <v>511</v>
      </c>
      <c r="K2218" s="8">
        <f t="shared" si="206"/>
        <v>0.11768553320067802</v>
      </c>
      <c r="L2218" t="str">
        <f t="shared" si="209"/>
        <v>2023-05</v>
      </c>
      <c r="M2218">
        <f t="shared" si="207"/>
        <v>511</v>
      </c>
    </row>
    <row r="2219" spans="1:13" x14ac:dyDescent="0.25">
      <c r="A2219" s="1">
        <v>45260</v>
      </c>
      <c r="B2219" t="s">
        <v>10</v>
      </c>
      <c r="C2219" t="s">
        <v>11</v>
      </c>
      <c r="D2219" t="s">
        <v>9</v>
      </c>
      <c r="E2219">
        <v>971.11</v>
      </c>
      <c r="F2219">
        <v>593.25</v>
      </c>
      <c r="G2219">
        <v>5</v>
      </c>
      <c r="H2219">
        <f t="shared" si="204"/>
        <v>4855.55</v>
      </c>
      <c r="I2219">
        <f t="shared" si="208"/>
        <v>2966.25</v>
      </c>
      <c r="J2219">
        <f t="shared" si="205"/>
        <v>1889.3000000000002</v>
      </c>
      <c r="K2219" s="8">
        <f t="shared" si="206"/>
        <v>0.38910113169465871</v>
      </c>
      <c r="L2219" t="str">
        <f t="shared" si="209"/>
        <v>2023-11</v>
      </c>
      <c r="M2219">
        <f t="shared" si="207"/>
        <v>1889.3000000000002</v>
      </c>
    </row>
    <row r="2220" spans="1:13" x14ac:dyDescent="0.25">
      <c r="A2220" s="1">
        <v>44586</v>
      </c>
      <c r="B2220" t="s">
        <v>24</v>
      </c>
      <c r="C2220" t="s">
        <v>20</v>
      </c>
      <c r="D2220" t="s">
        <v>17</v>
      </c>
      <c r="E2220">
        <v>1530.16</v>
      </c>
      <c r="F2220">
        <v>939.21</v>
      </c>
      <c r="G2220">
        <v>9</v>
      </c>
      <c r="H2220">
        <f t="shared" si="204"/>
        <v>13771.44</v>
      </c>
      <c r="I2220">
        <f t="shared" si="208"/>
        <v>8452.89</v>
      </c>
      <c r="J2220">
        <f t="shared" si="205"/>
        <v>5318.5500000000011</v>
      </c>
      <c r="K2220" s="8">
        <f t="shared" si="206"/>
        <v>0.38620144298635445</v>
      </c>
      <c r="L2220" t="str">
        <f t="shared" si="209"/>
        <v>2022-01</v>
      </c>
      <c r="M2220">
        <f t="shared" si="207"/>
        <v>5318.5500000000011</v>
      </c>
    </row>
    <row r="2221" spans="1:13" x14ac:dyDescent="0.25">
      <c r="A2221" s="1">
        <v>45369</v>
      </c>
      <c r="B2221" t="s">
        <v>12</v>
      </c>
      <c r="C2221" t="s">
        <v>8</v>
      </c>
      <c r="D2221" t="s">
        <v>17</v>
      </c>
      <c r="E2221">
        <v>1034.54</v>
      </c>
      <c r="F2221">
        <v>697.34</v>
      </c>
      <c r="G2221">
        <v>3</v>
      </c>
      <c r="H2221">
        <f t="shared" si="204"/>
        <v>3103.62</v>
      </c>
      <c r="I2221">
        <f t="shared" si="208"/>
        <v>2092.02</v>
      </c>
      <c r="J2221">
        <f t="shared" si="205"/>
        <v>1011.5999999999999</v>
      </c>
      <c r="K2221" s="8">
        <f t="shared" si="206"/>
        <v>0.32594196454462854</v>
      </c>
      <c r="L2221" t="str">
        <f t="shared" si="209"/>
        <v>2024-03</v>
      </c>
      <c r="M2221">
        <f t="shared" si="207"/>
        <v>1011.5999999999999</v>
      </c>
    </row>
    <row r="2222" spans="1:13" x14ac:dyDescent="0.25">
      <c r="A2222" s="1">
        <v>44598</v>
      </c>
      <c r="B2222" t="s">
        <v>19</v>
      </c>
      <c r="C2222" t="s">
        <v>20</v>
      </c>
      <c r="D2222" t="s">
        <v>13</v>
      </c>
      <c r="E2222">
        <v>1260.3800000000001</v>
      </c>
      <c r="F2222">
        <v>1065.1300000000001</v>
      </c>
      <c r="G2222">
        <v>7</v>
      </c>
      <c r="H2222">
        <f t="shared" si="204"/>
        <v>8822.66</v>
      </c>
      <c r="I2222">
        <f t="shared" si="208"/>
        <v>7455.9100000000008</v>
      </c>
      <c r="J2222">
        <f t="shared" si="205"/>
        <v>1366.7499999999991</v>
      </c>
      <c r="K2222" s="8">
        <f t="shared" si="206"/>
        <v>0.15491359748647224</v>
      </c>
      <c r="L2222" t="str">
        <f t="shared" si="209"/>
        <v>2022-02</v>
      </c>
      <c r="M2222">
        <f t="shared" si="207"/>
        <v>1366.7499999999991</v>
      </c>
    </row>
    <row r="2223" spans="1:13" x14ac:dyDescent="0.25">
      <c r="A2223" s="1">
        <v>44850</v>
      </c>
      <c r="B2223" t="s">
        <v>7</v>
      </c>
      <c r="C2223" t="s">
        <v>8</v>
      </c>
      <c r="D2223" t="s">
        <v>17</v>
      </c>
      <c r="E2223">
        <v>1489.7</v>
      </c>
      <c r="F2223">
        <v>1149.78</v>
      </c>
      <c r="G2223">
        <v>1</v>
      </c>
      <c r="H2223">
        <f t="shared" si="204"/>
        <v>1489.7</v>
      </c>
      <c r="I2223">
        <f t="shared" si="208"/>
        <v>1149.78</v>
      </c>
      <c r="J2223">
        <f t="shared" si="205"/>
        <v>339.92000000000007</v>
      </c>
      <c r="K2223" s="8">
        <f t="shared" si="206"/>
        <v>0.22818017050412839</v>
      </c>
      <c r="L2223" t="str">
        <f t="shared" si="209"/>
        <v>2022-10</v>
      </c>
      <c r="M2223">
        <f t="shared" si="207"/>
        <v>339.92000000000007</v>
      </c>
    </row>
    <row r="2224" spans="1:13" x14ac:dyDescent="0.25">
      <c r="A2224" s="1">
        <v>45415</v>
      </c>
      <c r="B2224" t="s">
        <v>22</v>
      </c>
      <c r="C2224" t="s">
        <v>8</v>
      </c>
      <c r="D2224" t="s">
        <v>18</v>
      </c>
      <c r="E2224">
        <v>1207.6600000000001</v>
      </c>
      <c r="F2224">
        <v>784.43</v>
      </c>
      <c r="G2224">
        <v>1</v>
      </c>
      <c r="H2224">
        <f t="shared" si="204"/>
        <v>1207.6600000000001</v>
      </c>
      <c r="I2224">
        <f t="shared" si="208"/>
        <v>784.43</v>
      </c>
      <c r="J2224">
        <f t="shared" si="205"/>
        <v>423.23000000000013</v>
      </c>
      <c r="K2224" s="8">
        <f t="shared" si="206"/>
        <v>0.35045459814848556</v>
      </c>
      <c r="L2224" t="str">
        <f t="shared" si="209"/>
        <v>2024-05</v>
      </c>
      <c r="M2224">
        <f t="shared" si="207"/>
        <v>423.23000000000013</v>
      </c>
    </row>
    <row r="2225" spans="1:13" x14ac:dyDescent="0.25">
      <c r="A2225" s="1">
        <v>44827</v>
      </c>
      <c r="B2225" t="s">
        <v>24</v>
      </c>
      <c r="C2225" t="s">
        <v>20</v>
      </c>
      <c r="D2225" t="s">
        <v>9</v>
      </c>
      <c r="E2225">
        <v>130.35</v>
      </c>
      <c r="F2225">
        <v>69.97</v>
      </c>
      <c r="G2225">
        <v>5</v>
      </c>
      <c r="H2225">
        <f t="shared" si="204"/>
        <v>651.75</v>
      </c>
      <c r="I2225">
        <f t="shared" si="208"/>
        <v>349.85</v>
      </c>
      <c r="J2225">
        <f t="shared" si="205"/>
        <v>301.89999999999998</v>
      </c>
      <c r="K2225" s="8">
        <f t="shared" si="206"/>
        <v>0.46321442270809354</v>
      </c>
      <c r="L2225" t="str">
        <f t="shared" si="209"/>
        <v>2022-09</v>
      </c>
      <c r="M2225">
        <f t="shared" si="207"/>
        <v>301.89999999999998</v>
      </c>
    </row>
    <row r="2226" spans="1:13" x14ac:dyDescent="0.25">
      <c r="A2226" s="1">
        <v>44845</v>
      </c>
      <c r="B2226" t="s">
        <v>22</v>
      </c>
      <c r="C2226" t="s">
        <v>8</v>
      </c>
      <c r="D2226" t="s">
        <v>9</v>
      </c>
      <c r="E2226">
        <v>752.12</v>
      </c>
      <c r="F2226">
        <v>645.78</v>
      </c>
      <c r="G2226">
        <v>2</v>
      </c>
      <c r="H2226">
        <f t="shared" si="204"/>
        <v>1504.24</v>
      </c>
      <c r="I2226">
        <f t="shared" si="208"/>
        <v>1291.56</v>
      </c>
      <c r="J2226">
        <f t="shared" si="205"/>
        <v>212.68000000000006</v>
      </c>
      <c r="K2226" s="8">
        <f t="shared" si="206"/>
        <v>0.1413870127107377</v>
      </c>
      <c r="L2226" t="str">
        <f t="shared" si="209"/>
        <v>2022-10</v>
      </c>
      <c r="M2226">
        <f t="shared" si="207"/>
        <v>212.68000000000006</v>
      </c>
    </row>
    <row r="2227" spans="1:13" x14ac:dyDescent="0.25">
      <c r="A2227" s="1">
        <v>44588</v>
      </c>
      <c r="B2227" t="s">
        <v>12</v>
      </c>
      <c r="C2227" t="s">
        <v>8</v>
      </c>
      <c r="D2227" t="s">
        <v>17</v>
      </c>
      <c r="E2227">
        <v>675</v>
      </c>
      <c r="F2227">
        <v>372.06</v>
      </c>
      <c r="G2227">
        <v>10</v>
      </c>
      <c r="H2227">
        <f t="shared" si="204"/>
        <v>6750</v>
      </c>
      <c r="I2227">
        <f t="shared" si="208"/>
        <v>3720.6</v>
      </c>
      <c r="J2227">
        <f t="shared" si="205"/>
        <v>3029.4</v>
      </c>
      <c r="K2227" s="8">
        <f t="shared" si="206"/>
        <v>0.44880000000000003</v>
      </c>
      <c r="L2227" t="str">
        <f t="shared" si="209"/>
        <v>2022-01</v>
      </c>
      <c r="M2227">
        <f t="shared" si="207"/>
        <v>3029.4</v>
      </c>
    </row>
    <row r="2228" spans="1:13" x14ac:dyDescent="0.25">
      <c r="A2228" s="1">
        <v>45477</v>
      </c>
      <c r="B2228" t="s">
        <v>16</v>
      </c>
      <c r="C2228" t="s">
        <v>15</v>
      </c>
      <c r="D2228" t="s">
        <v>18</v>
      </c>
      <c r="E2228">
        <v>1796.2</v>
      </c>
      <c r="F2228">
        <v>922.61</v>
      </c>
      <c r="G2228">
        <v>8</v>
      </c>
      <c r="H2228">
        <f t="shared" si="204"/>
        <v>14369.6</v>
      </c>
      <c r="I2228">
        <f t="shared" si="208"/>
        <v>7380.88</v>
      </c>
      <c r="J2228">
        <f t="shared" si="205"/>
        <v>6988.72</v>
      </c>
      <c r="K2228" s="8">
        <f t="shared" si="206"/>
        <v>0.4863545262220243</v>
      </c>
      <c r="L2228" t="str">
        <f t="shared" si="209"/>
        <v>2024-07</v>
      </c>
      <c r="M2228">
        <f t="shared" si="207"/>
        <v>6988.72</v>
      </c>
    </row>
    <row r="2229" spans="1:13" x14ac:dyDescent="0.25">
      <c r="A2229" s="1">
        <v>45161</v>
      </c>
      <c r="B2229" t="s">
        <v>10</v>
      </c>
      <c r="C2229" t="s">
        <v>11</v>
      </c>
      <c r="D2229" t="s">
        <v>17</v>
      </c>
      <c r="E2229">
        <v>1024.6400000000001</v>
      </c>
      <c r="F2229">
        <v>800.57</v>
      </c>
      <c r="G2229">
        <v>2</v>
      </c>
      <c r="H2229">
        <f t="shared" si="204"/>
        <v>2049.2800000000002</v>
      </c>
      <c r="I2229">
        <f t="shared" si="208"/>
        <v>1601.14</v>
      </c>
      <c r="J2229">
        <f t="shared" si="205"/>
        <v>448.1400000000001</v>
      </c>
      <c r="K2229" s="8">
        <f t="shared" si="206"/>
        <v>0.2186816833229232</v>
      </c>
      <c r="L2229" t="str">
        <f t="shared" si="209"/>
        <v>2023-08</v>
      </c>
      <c r="M2229">
        <f t="shared" si="207"/>
        <v>448.1400000000001</v>
      </c>
    </row>
    <row r="2230" spans="1:13" x14ac:dyDescent="0.25">
      <c r="A2230" s="1">
        <v>44616</v>
      </c>
      <c r="B2230" t="s">
        <v>14</v>
      </c>
      <c r="C2230" t="s">
        <v>15</v>
      </c>
      <c r="D2230" t="s">
        <v>17</v>
      </c>
      <c r="E2230">
        <v>1596.98</v>
      </c>
      <c r="F2230">
        <v>1198.51</v>
      </c>
      <c r="G2230">
        <v>6</v>
      </c>
      <c r="H2230">
        <f t="shared" si="204"/>
        <v>9581.880000000001</v>
      </c>
      <c r="I2230">
        <f t="shared" si="208"/>
        <v>7191.0599999999995</v>
      </c>
      <c r="J2230">
        <f t="shared" si="205"/>
        <v>2390.8200000000015</v>
      </c>
      <c r="K2230" s="8">
        <f t="shared" si="206"/>
        <v>0.24951470901326267</v>
      </c>
      <c r="L2230" t="str">
        <f t="shared" si="209"/>
        <v>2022-02</v>
      </c>
      <c r="M2230">
        <f t="shared" si="207"/>
        <v>2390.8200000000015</v>
      </c>
    </row>
    <row r="2231" spans="1:13" x14ac:dyDescent="0.25">
      <c r="A2231" s="1">
        <v>44783</v>
      </c>
      <c r="B2231" t="s">
        <v>24</v>
      </c>
      <c r="C2231" t="s">
        <v>20</v>
      </c>
      <c r="D2231" t="s">
        <v>17</v>
      </c>
      <c r="E2231">
        <v>668.23</v>
      </c>
      <c r="F2231">
        <v>439.21</v>
      </c>
      <c r="G2231">
        <v>5</v>
      </c>
      <c r="H2231">
        <f t="shared" si="204"/>
        <v>3341.15</v>
      </c>
      <c r="I2231">
        <f t="shared" si="208"/>
        <v>2196.0499999999997</v>
      </c>
      <c r="J2231">
        <f t="shared" si="205"/>
        <v>1145.1000000000004</v>
      </c>
      <c r="K2231" s="8">
        <f t="shared" si="206"/>
        <v>0.3427263068105294</v>
      </c>
      <c r="L2231" t="str">
        <f t="shared" si="209"/>
        <v>2022-08</v>
      </c>
      <c r="M2231">
        <f t="shared" si="207"/>
        <v>1145.1000000000004</v>
      </c>
    </row>
    <row r="2232" spans="1:13" x14ac:dyDescent="0.25">
      <c r="A2232" s="1">
        <v>45641</v>
      </c>
      <c r="B2232" t="s">
        <v>7</v>
      </c>
      <c r="C2232" t="s">
        <v>8</v>
      </c>
      <c r="D2232" t="s">
        <v>13</v>
      </c>
      <c r="E2232">
        <v>1947.78</v>
      </c>
      <c r="F2232">
        <v>1743.43</v>
      </c>
      <c r="G2232">
        <v>3</v>
      </c>
      <c r="H2232">
        <f t="shared" si="204"/>
        <v>5843.34</v>
      </c>
      <c r="I2232">
        <f t="shared" si="208"/>
        <v>5230.29</v>
      </c>
      <c r="J2232">
        <f t="shared" si="205"/>
        <v>613.05000000000018</v>
      </c>
      <c r="K2232" s="8">
        <f t="shared" si="206"/>
        <v>0.10491431270472028</v>
      </c>
      <c r="L2232" t="str">
        <f t="shared" si="209"/>
        <v>2024-12</v>
      </c>
      <c r="M2232">
        <f t="shared" si="207"/>
        <v>613.05000000000018</v>
      </c>
    </row>
    <row r="2233" spans="1:13" x14ac:dyDescent="0.25">
      <c r="A2233" s="1">
        <v>45588</v>
      </c>
      <c r="B2233" t="s">
        <v>21</v>
      </c>
      <c r="C2233" t="s">
        <v>20</v>
      </c>
      <c r="D2233" t="s">
        <v>13</v>
      </c>
      <c r="E2233">
        <v>338.88</v>
      </c>
      <c r="F2233">
        <v>194.29</v>
      </c>
      <c r="G2233">
        <v>7</v>
      </c>
      <c r="H2233">
        <f t="shared" si="204"/>
        <v>2372.16</v>
      </c>
      <c r="I2233">
        <f t="shared" si="208"/>
        <v>1360.03</v>
      </c>
      <c r="J2233">
        <f t="shared" si="205"/>
        <v>1012.1299999999999</v>
      </c>
      <c r="K2233" s="8">
        <f t="shared" si="206"/>
        <v>0.4266702077431539</v>
      </c>
      <c r="L2233" t="str">
        <f t="shared" si="209"/>
        <v>2024-10</v>
      </c>
      <c r="M2233">
        <f t="shared" si="207"/>
        <v>1012.1299999999999</v>
      </c>
    </row>
    <row r="2234" spans="1:13" x14ac:dyDescent="0.25">
      <c r="A2234" s="1">
        <v>44994</v>
      </c>
      <c r="B2234" t="s">
        <v>14</v>
      </c>
      <c r="C2234" t="s">
        <v>15</v>
      </c>
      <c r="D2234" t="s">
        <v>18</v>
      </c>
      <c r="E2234">
        <v>427.68</v>
      </c>
      <c r="F2234">
        <v>337.91</v>
      </c>
      <c r="G2234">
        <v>6</v>
      </c>
      <c r="H2234">
        <f t="shared" si="204"/>
        <v>2566.08</v>
      </c>
      <c r="I2234">
        <f t="shared" si="208"/>
        <v>2027.46</v>
      </c>
      <c r="J2234">
        <f t="shared" si="205"/>
        <v>538.61999999999989</v>
      </c>
      <c r="K2234" s="8">
        <f t="shared" si="206"/>
        <v>0.20989992517770292</v>
      </c>
      <c r="L2234" t="str">
        <f t="shared" si="209"/>
        <v>2023-03</v>
      </c>
      <c r="M2234">
        <f t="shared" si="207"/>
        <v>538.61999999999989</v>
      </c>
    </row>
    <row r="2235" spans="1:13" x14ac:dyDescent="0.25">
      <c r="A2235" s="1">
        <v>45271</v>
      </c>
      <c r="B2235" t="s">
        <v>14</v>
      </c>
      <c r="C2235" t="s">
        <v>15</v>
      </c>
      <c r="D2235" t="s">
        <v>17</v>
      </c>
      <c r="E2235">
        <v>520.38</v>
      </c>
      <c r="F2235">
        <v>349.48</v>
      </c>
      <c r="G2235">
        <v>10</v>
      </c>
      <c r="H2235">
        <f t="shared" si="204"/>
        <v>5203.8</v>
      </c>
      <c r="I2235">
        <f t="shared" si="208"/>
        <v>3494.8</v>
      </c>
      <c r="J2235">
        <f t="shared" si="205"/>
        <v>1709</v>
      </c>
      <c r="K2235" s="8">
        <f t="shared" si="206"/>
        <v>0.32841385141627272</v>
      </c>
      <c r="L2235" t="str">
        <f t="shared" si="209"/>
        <v>2023-12</v>
      </c>
      <c r="M2235">
        <f t="shared" si="207"/>
        <v>1709</v>
      </c>
    </row>
    <row r="2236" spans="1:13" x14ac:dyDescent="0.25">
      <c r="A2236" s="1">
        <v>45003</v>
      </c>
      <c r="B2236" t="s">
        <v>25</v>
      </c>
      <c r="C2236" t="s">
        <v>15</v>
      </c>
      <c r="D2236" t="s">
        <v>17</v>
      </c>
      <c r="E2236">
        <v>252.99</v>
      </c>
      <c r="F2236">
        <v>175.98</v>
      </c>
      <c r="G2236">
        <v>3</v>
      </c>
      <c r="H2236">
        <f t="shared" si="204"/>
        <v>758.97</v>
      </c>
      <c r="I2236">
        <f t="shared" si="208"/>
        <v>527.93999999999994</v>
      </c>
      <c r="J2236">
        <f t="shared" si="205"/>
        <v>231.03000000000009</v>
      </c>
      <c r="K2236" s="8">
        <f t="shared" si="206"/>
        <v>0.30439938337483707</v>
      </c>
      <c r="L2236" t="str">
        <f t="shared" si="209"/>
        <v>2023-03</v>
      </c>
      <c r="M2236">
        <f t="shared" si="207"/>
        <v>231.03000000000009</v>
      </c>
    </row>
    <row r="2237" spans="1:13" x14ac:dyDescent="0.25">
      <c r="A2237" s="1">
        <v>44739</v>
      </c>
      <c r="B2237" t="s">
        <v>12</v>
      </c>
      <c r="C2237" t="s">
        <v>8</v>
      </c>
      <c r="D2237" t="s">
        <v>9</v>
      </c>
      <c r="E2237">
        <v>433.95</v>
      </c>
      <c r="F2237">
        <v>378.47</v>
      </c>
      <c r="G2237">
        <v>7</v>
      </c>
      <c r="H2237">
        <f t="shared" si="204"/>
        <v>3037.65</v>
      </c>
      <c r="I2237">
        <f t="shared" si="208"/>
        <v>2649.29</v>
      </c>
      <c r="J2237">
        <f t="shared" si="205"/>
        <v>388.36000000000013</v>
      </c>
      <c r="K2237" s="8">
        <f t="shared" si="206"/>
        <v>0.1278488305104275</v>
      </c>
      <c r="L2237" t="str">
        <f t="shared" si="209"/>
        <v>2022-06</v>
      </c>
      <c r="M2237">
        <f t="shared" si="207"/>
        <v>388.36000000000013</v>
      </c>
    </row>
    <row r="2238" spans="1:13" x14ac:dyDescent="0.25">
      <c r="A2238" s="1">
        <v>45000</v>
      </c>
      <c r="B2238" t="s">
        <v>12</v>
      </c>
      <c r="C2238" t="s">
        <v>8</v>
      </c>
      <c r="D2238" t="s">
        <v>9</v>
      </c>
      <c r="E2238">
        <v>1486.1</v>
      </c>
      <c r="F2238">
        <v>1116.56</v>
      </c>
      <c r="G2238">
        <v>4</v>
      </c>
      <c r="H2238">
        <f t="shared" si="204"/>
        <v>5944.4</v>
      </c>
      <c r="I2238">
        <f t="shared" si="208"/>
        <v>4466.24</v>
      </c>
      <c r="J2238">
        <f t="shared" si="205"/>
        <v>1478.1599999999999</v>
      </c>
      <c r="K2238" s="8">
        <f t="shared" si="206"/>
        <v>0.24866428907879684</v>
      </c>
      <c r="L2238" t="str">
        <f t="shared" si="209"/>
        <v>2023-03</v>
      </c>
      <c r="M2238">
        <f t="shared" si="207"/>
        <v>1478.1599999999999</v>
      </c>
    </row>
    <row r="2239" spans="1:13" x14ac:dyDescent="0.25">
      <c r="A2239" s="1">
        <v>45350</v>
      </c>
      <c r="B2239" t="s">
        <v>10</v>
      </c>
      <c r="C2239" t="s">
        <v>11</v>
      </c>
      <c r="D2239" t="s">
        <v>13</v>
      </c>
      <c r="E2239">
        <v>276.31</v>
      </c>
      <c r="F2239">
        <v>218.52</v>
      </c>
      <c r="G2239">
        <v>9</v>
      </c>
      <c r="H2239">
        <f t="shared" si="204"/>
        <v>2486.79</v>
      </c>
      <c r="I2239">
        <f t="shared" si="208"/>
        <v>1966.68</v>
      </c>
      <c r="J2239">
        <f t="shared" si="205"/>
        <v>520.1099999999999</v>
      </c>
      <c r="K2239" s="8">
        <f t="shared" si="206"/>
        <v>0.20914914407730445</v>
      </c>
      <c r="L2239" t="str">
        <f t="shared" si="209"/>
        <v>2024-02</v>
      </c>
      <c r="M2239">
        <f t="shared" si="207"/>
        <v>520.1099999999999</v>
      </c>
    </row>
    <row r="2240" spans="1:13" x14ac:dyDescent="0.25">
      <c r="A2240" s="1">
        <v>45227</v>
      </c>
      <c r="B2240" t="s">
        <v>21</v>
      </c>
      <c r="C2240" t="s">
        <v>20</v>
      </c>
      <c r="D2240" t="s">
        <v>13</v>
      </c>
      <c r="E2240">
        <v>965.11</v>
      </c>
      <c r="F2240">
        <v>861.25</v>
      </c>
      <c r="G2240">
        <v>4</v>
      </c>
      <c r="H2240">
        <f t="shared" si="204"/>
        <v>3860.44</v>
      </c>
      <c r="I2240">
        <f t="shared" si="208"/>
        <v>3445</v>
      </c>
      <c r="J2240">
        <f t="shared" si="205"/>
        <v>415.44000000000005</v>
      </c>
      <c r="K2240" s="8">
        <f t="shared" si="206"/>
        <v>0.10761467604728996</v>
      </c>
      <c r="L2240" t="str">
        <f t="shared" si="209"/>
        <v>2023-10</v>
      </c>
      <c r="M2240">
        <f t="shared" si="207"/>
        <v>415.44000000000005</v>
      </c>
    </row>
    <row r="2241" spans="1:13" x14ac:dyDescent="0.25">
      <c r="A2241" s="1">
        <v>45499</v>
      </c>
      <c r="B2241" t="s">
        <v>22</v>
      </c>
      <c r="C2241" t="s">
        <v>8</v>
      </c>
      <c r="D2241" t="s">
        <v>9</v>
      </c>
      <c r="E2241">
        <v>907.31</v>
      </c>
      <c r="F2241">
        <v>751.94</v>
      </c>
      <c r="G2241">
        <v>10</v>
      </c>
      <c r="H2241">
        <f t="shared" si="204"/>
        <v>9073.0999999999985</v>
      </c>
      <c r="I2241">
        <f t="shared" si="208"/>
        <v>7519.4000000000005</v>
      </c>
      <c r="J2241">
        <f t="shared" si="205"/>
        <v>1553.699999999998</v>
      </c>
      <c r="K2241" s="8">
        <f t="shared" si="206"/>
        <v>0.17124246398695026</v>
      </c>
      <c r="L2241" t="str">
        <f t="shared" si="209"/>
        <v>2024-07</v>
      </c>
      <c r="M2241">
        <f t="shared" si="207"/>
        <v>1553.699999999998</v>
      </c>
    </row>
    <row r="2242" spans="1:13" x14ac:dyDescent="0.25">
      <c r="A2242" s="1">
        <v>44657</v>
      </c>
      <c r="B2242" t="s">
        <v>22</v>
      </c>
      <c r="C2242" t="s">
        <v>8</v>
      </c>
      <c r="D2242" t="s">
        <v>13</v>
      </c>
      <c r="E2242">
        <v>1466.61</v>
      </c>
      <c r="F2242">
        <v>1221.97</v>
      </c>
      <c r="G2242">
        <v>8</v>
      </c>
      <c r="H2242">
        <f t="shared" si="204"/>
        <v>11732.88</v>
      </c>
      <c r="I2242">
        <f t="shared" si="208"/>
        <v>9775.76</v>
      </c>
      <c r="J2242">
        <f t="shared" si="205"/>
        <v>1957.119999999999</v>
      </c>
      <c r="K2242" s="8">
        <f t="shared" si="206"/>
        <v>0.16680644479445789</v>
      </c>
      <c r="L2242" t="str">
        <f t="shared" si="209"/>
        <v>2022-04</v>
      </c>
      <c r="M2242">
        <f t="shared" si="207"/>
        <v>1957.119999999999</v>
      </c>
    </row>
    <row r="2243" spans="1:13" x14ac:dyDescent="0.25">
      <c r="A2243" s="1">
        <v>44824</v>
      </c>
      <c r="B2243" t="s">
        <v>10</v>
      </c>
      <c r="C2243" t="s">
        <v>11</v>
      </c>
      <c r="D2243" t="s">
        <v>17</v>
      </c>
      <c r="E2243">
        <v>1682.31</v>
      </c>
      <c r="F2243">
        <v>954.39</v>
      </c>
      <c r="G2243">
        <v>8</v>
      </c>
      <c r="H2243">
        <f t="shared" ref="H2243:H2306" si="210">E2243*G2243</f>
        <v>13458.48</v>
      </c>
      <c r="I2243">
        <f t="shared" si="208"/>
        <v>7635.12</v>
      </c>
      <c r="J2243">
        <f t="shared" ref="J2243:J2306" si="211">H2243-I2243</f>
        <v>5823.36</v>
      </c>
      <c r="K2243" s="8">
        <f t="shared" ref="K2243:K2306" si="212">(H2243-I2243)/H2243</f>
        <v>0.43269076448454802</v>
      </c>
      <c r="L2243" t="str">
        <f t="shared" si="209"/>
        <v>2022-09</v>
      </c>
      <c r="M2243">
        <f t="shared" ref="M2243:M2306" si="213">H2243-I2243</f>
        <v>5823.36</v>
      </c>
    </row>
    <row r="2244" spans="1:13" x14ac:dyDescent="0.25">
      <c r="A2244" s="1">
        <v>44982</v>
      </c>
      <c r="B2244" t="s">
        <v>16</v>
      </c>
      <c r="C2244" t="s">
        <v>15</v>
      </c>
      <c r="D2244" t="s">
        <v>17</v>
      </c>
      <c r="E2244">
        <v>987.95</v>
      </c>
      <c r="F2244">
        <v>880.32</v>
      </c>
      <c r="G2244">
        <v>6</v>
      </c>
      <c r="H2244">
        <f t="shared" si="210"/>
        <v>5927.7000000000007</v>
      </c>
      <c r="I2244">
        <f t="shared" ref="I2244:I2307" si="214">F2244*G2244</f>
        <v>5281.92</v>
      </c>
      <c r="J2244">
        <f t="shared" si="211"/>
        <v>645.78000000000065</v>
      </c>
      <c r="K2244" s="8">
        <f t="shared" si="212"/>
        <v>0.10894276026114692</v>
      </c>
      <c r="L2244" t="str">
        <f t="shared" ref="L2244:L2307" si="215">TEXT(A2244,"rrrr-mm")</f>
        <v>2023-02</v>
      </c>
      <c r="M2244">
        <f t="shared" si="213"/>
        <v>645.78000000000065</v>
      </c>
    </row>
    <row r="2245" spans="1:13" x14ac:dyDescent="0.25">
      <c r="A2245" s="1">
        <v>44975</v>
      </c>
      <c r="B2245" t="s">
        <v>7</v>
      </c>
      <c r="C2245" t="s">
        <v>8</v>
      </c>
      <c r="D2245" t="s">
        <v>17</v>
      </c>
      <c r="E2245">
        <v>163.65</v>
      </c>
      <c r="F2245">
        <v>118.77</v>
      </c>
      <c r="G2245">
        <v>4</v>
      </c>
      <c r="H2245">
        <f t="shared" si="210"/>
        <v>654.6</v>
      </c>
      <c r="I2245">
        <f t="shared" si="214"/>
        <v>475.08</v>
      </c>
      <c r="J2245">
        <f t="shared" si="211"/>
        <v>179.52000000000004</v>
      </c>
      <c r="K2245" s="8">
        <f t="shared" si="212"/>
        <v>0.27424381301558209</v>
      </c>
      <c r="L2245" t="str">
        <f t="shared" si="215"/>
        <v>2023-02</v>
      </c>
      <c r="M2245">
        <f t="shared" si="213"/>
        <v>179.52000000000004</v>
      </c>
    </row>
    <row r="2246" spans="1:13" x14ac:dyDescent="0.25">
      <c r="A2246" s="1">
        <v>44762</v>
      </c>
      <c r="B2246" t="s">
        <v>23</v>
      </c>
      <c r="C2246" t="s">
        <v>11</v>
      </c>
      <c r="D2246" t="s">
        <v>18</v>
      </c>
      <c r="E2246">
        <v>731.2</v>
      </c>
      <c r="F2246">
        <v>480.64</v>
      </c>
      <c r="G2246">
        <v>4</v>
      </c>
      <c r="H2246">
        <f t="shared" si="210"/>
        <v>2924.8</v>
      </c>
      <c r="I2246">
        <f t="shared" si="214"/>
        <v>1922.56</v>
      </c>
      <c r="J2246">
        <f t="shared" si="211"/>
        <v>1002.2400000000002</v>
      </c>
      <c r="K2246" s="8">
        <f t="shared" si="212"/>
        <v>0.34266958424507665</v>
      </c>
      <c r="L2246" t="str">
        <f t="shared" si="215"/>
        <v>2022-07</v>
      </c>
      <c r="M2246">
        <f t="shared" si="213"/>
        <v>1002.2400000000002</v>
      </c>
    </row>
    <row r="2247" spans="1:13" x14ac:dyDescent="0.25">
      <c r="A2247" s="1">
        <v>44715</v>
      </c>
      <c r="B2247" t="s">
        <v>10</v>
      </c>
      <c r="C2247" t="s">
        <v>11</v>
      </c>
      <c r="D2247" t="s">
        <v>18</v>
      </c>
      <c r="E2247">
        <v>1826.14</v>
      </c>
      <c r="F2247">
        <v>1248.1199999999999</v>
      </c>
      <c r="G2247">
        <v>7</v>
      </c>
      <c r="H2247">
        <f t="shared" si="210"/>
        <v>12782.980000000001</v>
      </c>
      <c r="I2247">
        <f t="shared" si="214"/>
        <v>8736.84</v>
      </c>
      <c r="J2247">
        <f t="shared" si="211"/>
        <v>4046.1400000000012</v>
      </c>
      <c r="K2247" s="8">
        <f t="shared" si="212"/>
        <v>0.31652556759065575</v>
      </c>
      <c r="L2247" t="str">
        <f t="shared" si="215"/>
        <v>2022-06</v>
      </c>
      <c r="M2247">
        <f t="shared" si="213"/>
        <v>4046.1400000000012</v>
      </c>
    </row>
    <row r="2248" spans="1:13" x14ac:dyDescent="0.25">
      <c r="A2248" s="1">
        <v>45105</v>
      </c>
      <c r="B2248" t="s">
        <v>10</v>
      </c>
      <c r="C2248" t="s">
        <v>11</v>
      </c>
      <c r="D2248" t="s">
        <v>9</v>
      </c>
      <c r="E2248">
        <v>51.97</v>
      </c>
      <c r="F2248">
        <v>28.47</v>
      </c>
      <c r="G2248">
        <v>5</v>
      </c>
      <c r="H2248">
        <f t="shared" si="210"/>
        <v>259.85000000000002</v>
      </c>
      <c r="I2248">
        <f t="shared" si="214"/>
        <v>142.35</v>
      </c>
      <c r="J2248">
        <f t="shared" si="211"/>
        <v>117.50000000000003</v>
      </c>
      <c r="K2248" s="8">
        <f t="shared" si="212"/>
        <v>0.45218395228016173</v>
      </c>
      <c r="L2248" t="str">
        <f t="shared" si="215"/>
        <v>2023-06</v>
      </c>
      <c r="M2248">
        <f t="shared" si="213"/>
        <v>117.50000000000003</v>
      </c>
    </row>
    <row r="2249" spans="1:13" x14ac:dyDescent="0.25">
      <c r="A2249" s="1">
        <v>45113</v>
      </c>
      <c r="B2249" t="s">
        <v>10</v>
      </c>
      <c r="C2249" t="s">
        <v>11</v>
      </c>
      <c r="D2249" t="s">
        <v>9</v>
      </c>
      <c r="E2249">
        <v>1358.21</v>
      </c>
      <c r="F2249">
        <v>710.67</v>
      </c>
      <c r="G2249">
        <v>3</v>
      </c>
      <c r="H2249">
        <f t="shared" si="210"/>
        <v>4074.63</v>
      </c>
      <c r="I2249">
        <f t="shared" si="214"/>
        <v>2132.0099999999998</v>
      </c>
      <c r="J2249">
        <f t="shared" si="211"/>
        <v>1942.6200000000003</v>
      </c>
      <c r="K2249" s="8">
        <f t="shared" si="212"/>
        <v>0.47675985304187135</v>
      </c>
      <c r="L2249" t="str">
        <f t="shared" si="215"/>
        <v>2023-07</v>
      </c>
      <c r="M2249">
        <f t="shared" si="213"/>
        <v>1942.6200000000003</v>
      </c>
    </row>
    <row r="2250" spans="1:13" x14ac:dyDescent="0.25">
      <c r="A2250" s="1">
        <v>44908</v>
      </c>
      <c r="B2250" t="s">
        <v>21</v>
      </c>
      <c r="C2250" t="s">
        <v>20</v>
      </c>
      <c r="D2250" t="s">
        <v>17</v>
      </c>
      <c r="E2250">
        <v>846.77</v>
      </c>
      <c r="F2250">
        <v>454.55</v>
      </c>
      <c r="G2250">
        <v>5</v>
      </c>
      <c r="H2250">
        <f t="shared" si="210"/>
        <v>4233.8500000000004</v>
      </c>
      <c r="I2250">
        <f t="shared" si="214"/>
        <v>2272.75</v>
      </c>
      <c r="J2250">
        <f t="shared" si="211"/>
        <v>1961.1000000000004</v>
      </c>
      <c r="K2250" s="8">
        <f t="shared" si="212"/>
        <v>0.46319543677740121</v>
      </c>
      <c r="L2250" t="str">
        <f t="shared" si="215"/>
        <v>2022-12</v>
      </c>
      <c r="M2250">
        <f t="shared" si="213"/>
        <v>1961.1000000000004</v>
      </c>
    </row>
    <row r="2251" spans="1:13" x14ac:dyDescent="0.25">
      <c r="A2251" s="1">
        <v>45485</v>
      </c>
      <c r="B2251" t="s">
        <v>23</v>
      </c>
      <c r="C2251" t="s">
        <v>11</v>
      </c>
      <c r="D2251" t="s">
        <v>13</v>
      </c>
      <c r="E2251">
        <v>1462.04</v>
      </c>
      <c r="F2251">
        <v>1173.08</v>
      </c>
      <c r="G2251">
        <v>7</v>
      </c>
      <c r="H2251">
        <f t="shared" si="210"/>
        <v>10234.279999999999</v>
      </c>
      <c r="I2251">
        <f t="shared" si="214"/>
        <v>8211.56</v>
      </c>
      <c r="J2251">
        <f t="shared" si="211"/>
        <v>2022.7199999999993</v>
      </c>
      <c r="K2251" s="8">
        <f t="shared" si="212"/>
        <v>0.19764165139120676</v>
      </c>
      <c r="L2251" t="str">
        <f t="shared" si="215"/>
        <v>2024-07</v>
      </c>
      <c r="M2251">
        <f t="shared" si="213"/>
        <v>2022.7199999999993</v>
      </c>
    </row>
    <row r="2252" spans="1:13" x14ac:dyDescent="0.25">
      <c r="A2252" s="1">
        <v>45304</v>
      </c>
      <c r="B2252" t="s">
        <v>10</v>
      </c>
      <c r="C2252" t="s">
        <v>11</v>
      </c>
      <c r="D2252" t="s">
        <v>9</v>
      </c>
      <c r="E2252">
        <v>995.72</v>
      </c>
      <c r="F2252">
        <v>742.77</v>
      </c>
      <c r="G2252">
        <v>1</v>
      </c>
      <c r="H2252">
        <f t="shared" si="210"/>
        <v>995.72</v>
      </c>
      <c r="I2252">
        <f t="shared" si="214"/>
        <v>742.77</v>
      </c>
      <c r="J2252">
        <f t="shared" si="211"/>
        <v>252.95000000000005</v>
      </c>
      <c r="K2252" s="8">
        <f t="shared" si="212"/>
        <v>0.25403727955650185</v>
      </c>
      <c r="L2252" t="str">
        <f t="shared" si="215"/>
        <v>2024-01</v>
      </c>
      <c r="M2252">
        <f t="shared" si="213"/>
        <v>252.95000000000005</v>
      </c>
    </row>
    <row r="2253" spans="1:13" x14ac:dyDescent="0.25">
      <c r="A2253" s="1">
        <v>45260</v>
      </c>
      <c r="B2253" t="s">
        <v>24</v>
      </c>
      <c r="C2253" t="s">
        <v>20</v>
      </c>
      <c r="D2253" t="s">
        <v>9</v>
      </c>
      <c r="E2253">
        <v>822.43</v>
      </c>
      <c r="F2253">
        <v>710.87</v>
      </c>
      <c r="G2253">
        <v>2</v>
      </c>
      <c r="H2253">
        <f t="shared" si="210"/>
        <v>1644.86</v>
      </c>
      <c r="I2253">
        <f t="shared" si="214"/>
        <v>1421.74</v>
      </c>
      <c r="J2253">
        <f t="shared" si="211"/>
        <v>223.11999999999989</v>
      </c>
      <c r="K2253" s="8">
        <f t="shared" si="212"/>
        <v>0.13564680276740873</v>
      </c>
      <c r="L2253" t="str">
        <f t="shared" si="215"/>
        <v>2023-11</v>
      </c>
      <c r="M2253">
        <f t="shared" si="213"/>
        <v>223.11999999999989</v>
      </c>
    </row>
    <row r="2254" spans="1:13" x14ac:dyDescent="0.25">
      <c r="A2254" s="1">
        <v>44766</v>
      </c>
      <c r="B2254" t="s">
        <v>14</v>
      </c>
      <c r="C2254" t="s">
        <v>15</v>
      </c>
      <c r="D2254" t="s">
        <v>18</v>
      </c>
      <c r="E2254">
        <v>760.25</v>
      </c>
      <c r="F2254">
        <v>403.47</v>
      </c>
      <c r="G2254">
        <v>3</v>
      </c>
      <c r="H2254">
        <f t="shared" si="210"/>
        <v>2280.75</v>
      </c>
      <c r="I2254">
        <f t="shared" si="214"/>
        <v>1210.4100000000001</v>
      </c>
      <c r="J2254">
        <f t="shared" si="211"/>
        <v>1070.3399999999999</v>
      </c>
      <c r="K2254" s="8">
        <f t="shared" si="212"/>
        <v>0.46929299572509037</v>
      </c>
      <c r="L2254" t="str">
        <f t="shared" si="215"/>
        <v>2022-07</v>
      </c>
      <c r="M2254">
        <f t="shared" si="213"/>
        <v>1070.3399999999999</v>
      </c>
    </row>
    <row r="2255" spans="1:13" x14ac:dyDescent="0.25">
      <c r="A2255" s="1">
        <v>45654</v>
      </c>
      <c r="B2255" t="s">
        <v>22</v>
      </c>
      <c r="C2255" t="s">
        <v>8</v>
      </c>
      <c r="D2255" t="s">
        <v>9</v>
      </c>
      <c r="E2255">
        <v>307.27</v>
      </c>
      <c r="F2255">
        <v>231.69</v>
      </c>
      <c r="G2255">
        <v>6</v>
      </c>
      <c r="H2255">
        <f t="shared" si="210"/>
        <v>1843.62</v>
      </c>
      <c r="I2255">
        <f t="shared" si="214"/>
        <v>1390.1399999999999</v>
      </c>
      <c r="J2255">
        <f t="shared" si="211"/>
        <v>453.48</v>
      </c>
      <c r="K2255" s="8">
        <f t="shared" si="212"/>
        <v>0.2459725973899177</v>
      </c>
      <c r="L2255" t="str">
        <f t="shared" si="215"/>
        <v>2024-12</v>
      </c>
      <c r="M2255">
        <f t="shared" si="213"/>
        <v>453.48</v>
      </c>
    </row>
    <row r="2256" spans="1:13" x14ac:dyDescent="0.25">
      <c r="A2256" s="1">
        <v>44964</v>
      </c>
      <c r="B2256" t="s">
        <v>19</v>
      </c>
      <c r="C2256" t="s">
        <v>20</v>
      </c>
      <c r="D2256" t="s">
        <v>18</v>
      </c>
      <c r="E2256">
        <v>1324.18</v>
      </c>
      <c r="F2256">
        <v>855.61</v>
      </c>
      <c r="G2256">
        <v>6</v>
      </c>
      <c r="H2256">
        <f t="shared" si="210"/>
        <v>7945.08</v>
      </c>
      <c r="I2256">
        <f t="shared" si="214"/>
        <v>5133.66</v>
      </c>
      <c r="J2256">
        <f t="shared" si="211"/>
        <v>2811.42</v>
      </c>
      <c r="K2256" s="8">
        <f t="shared" si="212"/>
        <v>0.35385672642692084</v>
      </c>
      <c r="L2256" t="str">
        <f t="shared" si="215"/>
        <v>2023-02</v>
      </c>
      <c r="M2256">
        <f t="shared" si="213"/>
        <v>2811.42</v>
      </c>
    </row>
    <row r="2257" spans="1:13" x14ac:dyDescent="0.25">
      <c r="A2257" s="1">
        <v>45272</v>
      </c>
      <c r="B2257" t="s">
        <v>10</v>
      </c>
      <c r="C2257" t="s">
        <v>11</v>
      </c>
      <c r="D2257" t="s">
        <v>13</v>
      </c>
      <c r="E2257">
        <v>588.52</v>
      </c>
      <c r="F2257">
        <v>419.61</v>
      </c>
      <c r="G2257">
        <v>10</v>
      </c>
      <c r="H2257">
        <f t="shared" si="210"/>
        <v>5885.2</v>
      </c>
      <c r="I2257">
        <f t="shared" si="214"/>
        <v>4196.1000000000004</v>
      </c>
      <c r="J2257">
        <f t="shared" si="211"/>
        <v>1689.0999999999995</v>
      </c>
      <c r="K2257" s="8">
        <f t="shared" si="212"/>
        <v>0.2870080880853666</v>
      </c>
      <c r="L2257" t="str">
        <f t="shared" si="215"/>
        <v>2023-12</v>
      </c>
      <c r="M2257">
        <f t="shared" si="213"/>
        <v>1689.0999999999995</v>
      </c>
    </row>
    <row r="2258" spans="1:13" x14ac:dyDescent="0.25">
      <c r="A2258" s="1">
        <v>44616</v>
      </c>
      <c r="B2258" t="s">
        <v>7</v>
      </c>
      <c r="C2258" t="s">
        <v>8</v>
      </c>
      <c r="D2258" t="s">
        <v>18</v>
      </c>
      <c r="E2258">
        <v>871.36</v>
      </c>
      <c r="F2258">
        <v>755.04</v>
      </c>
      <c r="G2258">
        <v>7</v>
      </c>
      <c r="H2258">
        <f t="shared" si="210"/>
        <v>6099.52</v>
      </c>
      <c r="I2258">
        <f t="shared" si="214"/>
        <v>5285.28</v>
      </c>
      <c r="J2258">
        <f t="shared" si="211"/>
        <v>814.24000000000069</v>
      </c>
      <c r="K2258" s="8">
        <f t="shared" si="212"/>
        <v>0.13349247153874413</v>
      </c>
      <c r="L2258" t="str">
        <f t="shared" si="215"/>
        <v>2022-02</v>
      </c>
      <c r="M2258">
        <f t="shared" si="213"/>
        <v>814.24000000000069</v>
      </c>
    </row>
    <row r="2259" spans="1:13" x14ac:dyDescent="0.25">
      <c r="A2259" s="1">
        <v>44699</v>
      </c>
      <c r="B2259" t="s">
        <v>21</v>
      </c>
      <c r="C2259" t="s">
        <v>20</v>
      </c>
      <c r="D2259" t="s">
        <v>17</v>
      </c>
      <c r="E2259">
        <v>1443.07</v>
      </c>
      <c r="F2259">
        <v>1225.3900000000001</v>
      </c>
      <c r="G2259">
        <v>8</v>
      </c>
      <c r="H2259">
        <f t="shared" si="210"/>
        <v>11544.56</v>
      </c>
      <c r="I2259">
        <f t="shared" si="214"/>
        <v>9803.1200000000008</v>
      </c>
      <c r="J2259">
        <f t="shared" si="211"/>
        <v>1741.4399999999987</v>
      </c>
      <c r="K2259" s="8">
        <f t="shared" si="212"/>
        <v>0.15084507335056502</v>
      </c>
      <c r="L2259" t="str">
        <f t="shared" si="215"/>
        <v>2022-05</v>
      </c>
      <c r="M2259">
        <f t="shared" si="213"/>
        <v>1741.4399999999987</v>
      </c>
    </row>
    <row r="2260" spans="1:13" x14ac:dyDescent="0.25">
      <c r="A2260" s="1">
        <v>45350</v>
      </c>
      <c r="B2260" t="s">
        <v>10</v>
      </c>
      <c r="C2260" t="s">
        <v>11</v>
      </c>
      <c r="D2260" t="s">
        <v>17</v>
      </c>
      <c r="E2260">
        <v>965.97</v>
      </c>
      <c r="F2260">
        <v>495.64</v>
      </c>
      <c r="G2260">
        <v>6</v>
      </c>
      <c r="H2260">
        <f t="shared" si="210"/>
        <v>5795.82</v>
      </c>
      <c r="I2260">
        <f t="shared" si="214"/>
        <v>2973.84</v>
      </c>
      <c r="J2260">
        <f t="shared" si="211"/>
        <v>2821.9799999999996</v>
      </c>
      <c r="K2260" s="8">
        <f t="shared" si="212"/>
        <v>0.48689917906353192</v>
      </c>
      <c r="L2260" t="str">
        <f t="shared" si="215"/>
        <v>2024-02</v>
      </c>
      <c r="M2260">
        <f t="shared" si="213"/>
        <v>2821.9799999999996</v>
      </c>
    </row>
    <row r="2261" spans="1:13" x14ac:dyDescent="0.25">
      <c r="A2261" s="1">
        <v>45447</v>
      </c>
      <c r="B2261" t="s">
        <v>7</v>
      </c>
      <c r="C2261" t="s">
        <v>8</v>
      </c>
      <c r="D2261" t="s">
        <v>13</v>
      </c>
      <c r="E2261">
        <v>852.26</v>
      </c>
      <c r="F2261">
        <v>507.09</v>
      </c>
      <c r="G2261">
        <v>8</v>
      </c>
      <c r="H2261">
        <f t="shared" si="210"/>
        <v>6818.08</v>
      </c>
      <c r="I2261">
        <f t="shared" si="214"/>
        <v>4056.72</v>
      </c>
      <c r="J2261">
        <f t="shared" si="211"/>
        <v>2761.36</v>
      </c>
      <c r="K2261" s="8">
        <f t="shared" si="212"/>
        <v>0.4050055147490203</v>
      </c>
      <c r="L2261" t="str">
        <f t="shared" si="215"/>
        <v>2024-06</v>
      </c>
      <c r="M2261">
        <f t="shared" si="213"/>
        <v>2761.36</v>
      </c>
    </row>
    <row r="2262" spans="1:13" x14ac:dyDescent="0.25">
      <c r="A2262" s="1">
        <v>44685</v>
      </c>
      <c r="B2262" t="s">
        <v>21</v>
      </c>
      <c r="C2262" t="s">
        <v>20</v>
      </c>
      <c r="D2262" t="s">
        <v>13</v>
      </c>
      <c r="E2262">
        <v>246.74</v>
      </c>
      <c r="F2262">
        <v>179</v>
      </c>
      <c r="G2262">
        <v>8</v>
      </c>
      <c r="H2262">
        <f t="shared" si="210"/>
        <v>1973.92</v>
      </c>
      <c r="I2262">
        <f t="shared" si="214"/>
        <v>1432</v>
      </c>
      <c r="J2262">
        <f t="shared" si="211"/>
        <v>541.92000000000007</v>
      </c>
      <c r="K2262" s="8">
        <f t="shared" si="212"/>
        <v>0.27454000162113967</v>
      </c>
      <c r="L2262" t="str">
        <f t="shared" si="215"/>
        <v>2022-05</v>
      </c>
      <c r="M2262">
        <f t="shared" si="213"/>
        <v>541.92000000000007</v>
      </c>
    </row>
    <row r="2263" spans="1:13" x14ac:dyDescent="0.25">
      <c r="A2263" s="1">
        <v>45198</v>
      </c>
      <c r="B2263" t="s">
        <v>16</v>
      </c>
      <c r="C2263" t="s">
        <v>15</v>
      </c>
      <c r="D2263" t="s">
        <v>18</v>
      </c>
      <c r="E2263">
        <v>1293.92</v>
      </c>
      <c r="F2263">
        <v>779.84</v>
      </c>
      <c r="G2263">
        <v>8</v>
      </c>
      <c r="H2263">
        <f t="shared" si="210"/>
        <v>10351.36</v>
      </c>
      <c r="I2263">
        <f t="shared" si="214"/>
        <v>6238.72</v>
      </c>
      <c r="J2263">
        <f t="shared" si="211"/>
        <v>4112.6400000000003</v>
      </c>
      <c r="K2263" s="8">
        <f t="shared" si="212"/>
        <v>0.3973043155681959</v>
      </c>
      <c r="L2263" t="str">
        <f t="shared" si="215"/>
        <v>2023-09</v>
      </c>
      <c r="M2263">
        <f t="shared" si="213"/>
        <v>4112.6400000000003</v>
      </c>
    </row>
    <row r="2264" spans="1:13" x14ac:dyDescent="0.25">
      <c r="A2264" s="1">
        <v>44637</v>
      </c>
      <c r="B2264" t="s">
        <v>16</v>
      </c>
      <c r="C2264" t="s">
        <v>15</v>
      </c>
      <c r="D2264" t="s">
        <v>9</v>
      </c>
      <c r="E2264">
        <v>1972.4</v>
      </c>
      <c r="F2264">
        <v>1625.21</v>
      </c>
      <c r="G2264">
        <v>9</v>
      </c>
      <c r="H2264">
        <f t="shared" si="210"/>
        <v>17751.600000000002</v>
      </c>
      <c r="I2264">
        <f t="shared" si="214"/>
        <v>14626.89</v>
      </c>
      <c r="J2264">
        <f t="shared" si="211"/>
        <v>3124.7100000000028</v>
      </c>
      <c r="K2264" s="8">
        <f t="shared" si="212"/>
        <v>0.17602413303589548</v>
      </c>
      <c r="L2264" t="str">
        <f t="shared" si="215"/>
        <v>2022-03</v>
      </c>
      <c r="M2264">
        <f t="shared" si="213"/>
        <v>3124.7100000000028</v>
      </c>
    </row>
    <row r="2265" spans="1:13" x14ac:dyDescent="0.25">
      <c r="A2265" s="1">
        <v>44689</v>
      </c>
      <c r="B2265" t="s">
        <v>14</v>
      </c>
      <c r="C2265" t="s">
        <v>15</v>
      </c>
      <c r="D2265" t="s">
        <v>17</v>
      </c>
      <c r="E2265">
        <v>1242.53</v>
      </c>
      <c r="F2265">
        <v>1097.19</v>
      </c>
      <c r="G2265">
        <v>4</v>
      </c>
      <c r="H2265">
        <f t="shared" si="210"/>
        <v>4970.12</v>
      </c>
      <c r="I2265">
        <f t="shared" si="214"/>
        <v>4388.76</v>
      </c>
      <c r="J2265">
        <f t="shared" si="211"/>
        <v>581.35999999999967</v>
      </c>
      <c r="K2265" s="8">
        <f t="shared" si="212"/>
        <v>0.11697101880839893</v>
      </c>
      <c r="L2265" t="str">
        <f t="shared" si="215"/>
        <v>2022-05</v>
      </c>
      <c r="M2265">
        <f t="shared" si="213"/>
        <v>581.35999999999967</v>
      </c>
    </row>
    <row r="2266" spans="1:13" x14ac:dyDescent="0.25">
      <c r="A2266" s="1">
        <v>45417</v>
      </c>
      <c r="B2266" t="s">
        <v>12</v>
      </c>
      <c r="C2266" t="s">
        <v>8</v>
      </c>
      <c r="D2266" t="s">
        <v>17</v>
      </c>
      <c r="E2266">
        <v>1336.69</v>
      </c>
      <c r="F2266">
        <v>836.4</v>
      </c>
      <c r="G2266">
        <v>2</v>
      </c>
      <c r="H2266">
        <f t="shared" si="210"/>
        <v>2673.38</v>
      </c>
      <c r="I2266">
        <f t="shared" si="214"/>
        <v>1672.8</v>
      </c>
      <c r="J2266">
        <f t="shared" si="211"/>
        <v>1000.5800000000002</v>
      </c>
      <c r="K2266" s="8">
        <f t="shared" si="212"/>
        <v>0.37427526202784495</v>
      </c>
      <c r="L2266" t="str">
        <f t="shared" si="215"/>
        <v>2024-05</v>
      </c>
      <c r="M2266">
        <f t="shared" si="213"/>
        <v>1000.5800000000002</v>
      </c>
    </row>
    <row r="2267" spans="1:13" x14ac:dyDescent="0.25">
      <c r="A2267" s="1">
        <v>45303</v>
      </c>
      <c r="B2267" t="s">
        <v>10</v>
      </c>
      <c r="C2267" t="s">
        <v>11</v>
      </c>
      <c r="D2267" t="s">
        <v>9</v>
      </c>
      <c r="E2267">
        <v>915.29</v>
      </c>
      <c r="F2267">
        <v>783.63</v>
      </c>
      <c r="G2267">
        <v>3</v>
      </c>
      <c r="H2267">
        <f t="shared" si="210"/>
        <v>2745.87</v>
      </c>
      <c r="I2267">
        <f t="shared" si="214"/>
        <v>2350.89</v>
      </c>
      <c r="J2267">
        <f t="shared" si="211"/>
        <v>394.98</v>
      </c>
      <c r="K2267" s="8">
        <f t="shared" si="212"/>
        <v>0.14384512012586176</v>
      </c>
      <c r="L2267" t="str">
        <f t="shared" si="215"/>
        <v>2024-01</v>
      </c>
      <c r="M2267">
        <f t="shared" si="213"/>
        <v>394.98</v>
      </c>
    </row>
    <row r="2268" spans="1:13" x14ac:dyDescent="0.25">
      <c r="A2268" s="1">
        <v>45276</v>
      </c>
      <c r="B2268" t="s">
        <v>25</v>
      </c>
      <c r="C2268" t="s">
        <v>15</v>
      </c>
      <c r="D2268" t="s">
        <v>18</v>
      </c>
      <c r="E2268">
        <v>1420.18</v>
      </c>
      <c r="F2268">
        <v>1233.54</v>
      </c>
      <c r="G2268">
        <v>10</v>
      </c>
      <c r="H2268">
        <f t="shared" si="210"/>
        <v>14201.800000000001</v>
      </c>
      <c r="I2268">
        <f t="shared" si="214"/>
        <v>12335.4</v>
      </c>
      <c r="J2268">
        <f t="shared" si="211"/>
        <v>1866.4000000000015</v>
      </c>
      <c r="K2268" s="8">
        <f t="shared" si="212"/>
        <v>0.13141996085003319</v>
      </c>
      <c r="L2268" t="str">
        <f t="shared" si="215"/>
        <v>2023-12</v>
      </c>
      <c r="M2268">
        <f t="shared" si="213"/>
        <v>1866.4000000000015</v>
      </c>
    </row>
    <row r="2269" spans="1:13" x14ac:dyDescent="0.25">
      <c r="A2269" s="1">
        <v>45473</v>
      </c>
      <c r="B2269" t="s">
        <v>12</v>
      </c>
      <c r="C2269" t="s">
        <v>8</v>
      </c>
      <c r="D2269" t="s">
        <v>17</v>
      </c>
      <c r="E2269">
        <v>425.55</v>
      </c>
      <c r="F2269">
        <v>251.17</v>
      </c>
      <c r="G2269">
        <v>5</v>
      </c>
      <c r="H2269">
        <f t="shared" si="210"/>
        <v>2127.75</v>
      </c>
      <c r="I2269">
        <f t="shared" si="214"/>
        <v>1255.8499999999999</v>
      </c>
      <c r="J2269">
        <f t="shared" si="211"/>
        <v>871.90000000000009</v>
      </c>
      <c r="K2269" s="8">
        <f t="shared" si="212"/>
        <v>0.40977558453765717</v>
      </c>
      <c r="L2269" t="str">
        <f t="shared" si="215"/>
        <v>2024-06</v>
      </c>
      <c r="M2269">
        <f t="shared" si="213"/>
        <v>871.90000000000009</v>
      </c>
    </row>
    <row r="2270" spans="1:13" x14ac:dyDescent="0.25">
      <c r="A2270" s="1">
        <v>45170</v>
      </c>
      <c r="B2270" t="s">
        <v>24</v>
      </c>
      <c r="C2270" t="s">
        <v>20</v>
      </c>
      <c r="D2270" t="s">
        <v>17</v>
      </c>
      <c r="E2270">
        <v>1939.67</v>
      </c>
      <c r="F2270">
        <v>1227.03</v>
      </c>
      <c r="G2270">
        <v>5</v>
      </c>
      <c r="H2270">
        <f t="shared" si="210"/>
        <v>9698.35</v>
      </c>
      <c r="I2270">
        <f t="shared" si="214"/>
        <v>6135.15</v>
      </c>
      <c r="J2270">
        <f t="shared" si="211"/>
        <v>3563.2000000000007</v>
      </c>
      <c r="K2270" s="8">
        <f t="shared" si="212"/>
        <v>0.36740270252156298</v>
      </c>
      <c r="L2270" t="str">
        <f t="shared" si="215"/>
        <v>2023-09</v>
      </c>
      <c r="M2270">
        <f t="shared" si="213"/>
        <v>3563.2000000000007</v>
      </c>
    </row>
    <row r="2271" spans="1:13" x14ac:dyDescent="0.25">
      <c r="A2271" s="1">
        <v>44629</v>
      </c>
      <c r="B2271" t="s">
        <v>19</v>
      </c>
      <c r="C2271" t="s">
        <v>20</v>
      </c>
      <c r="D2271" t="s">
        <v>17</v>
      </c>
      <c r="E2271">
        <v>1644.55</v>
      </c>
      <c r="F2271">
        <v>842.1</v>
      </c>
      <c r="G2271">
        <v>1</v>
      </c>
      <c r="H2271">
        <f t="shared" si="210"/>
        <v>1644.55</v>
      </c>
      <c r="I2271">
        <f t="shared" si="214"/>
        <v>842.1</v>
      </c>
      <c r="J2271">
        <f t="shared" si="211"/>
        <v>802.44999999999993</v>
      </c>
      <c r="K2271" s="8">
        <f t="shared" si="212"/>
        <v>0.48794503055547106</v>
      </c>
      <c r="L2271" t="str">
        <f t="shared" si="215"/>
        <v>2022-03</v>
      </c>
      <c r="M2271">
        <f t="shared" si="213"/>
        <v>802.44999999999993</v>
      </c>
    </row>
    <row r="2272" spans="1:13" x14ac:dyDescent="0.25">
      <c r="A2272" s="1">
        <v>45551</v>
      </c>
      <c r="B2272" t="s">
        <v>23</v>
      </c>
      <c r="C2272" t="s">
        <v>11</v>
      </c>
      <c r="D2272" t="s">
        <v>18</v>
      </c>
      <c r="E2272">
        <v>1607.75</v>
      </c>
      <c r="F2272">
        <v>1028.1099999999999</v>
      </c>
      <c r="G2272">
        <v>4</v>
      </c>
      <c r="H2272">
        <f t="shared" si="210"/>
        <v>6431</v>
      </c>
      <c r="I2272">
        <f t="shared" si="214"/>
        <v>4112.4399999999996</v>
      </c>
      <c r="J2272">
        <f t="shared" si="211"/>
        <v>2318.5600000000004</v>
      </c>
      <c r="K2272" s="8">
        <f t="shared" si="212"/>
        <v>0.36052868916187225</v>
      </c>
      <c r="L2272" t="str">
        <f t="shared" si="215"/>
        <v>2024-09</v>
      </c>
      <c r="M2272">
        <f t="shared" si="213"/>
        <v>2318.5600000000004</v>
      </c>
    </row>
    <row r="2273" spans="1:13" x14ac:dyDescent="0.25">
      <c r="A2273" s="1">
        <v>45373</v>
      </c>
      <c r="B2273" t="s">
        <v>7</v>
      </c>
      <c r="C2273" t="s">
        <v>8</v>
      </c>
      <c r="D2273" t="s">
        <v>13</v>
      </c>
      <c r="E2273">
        <v>820.32</v>
      </c>
      <c r="F2273">
        <v>624.67999999999995</v>
      </c>
      <c r="G2273">
        <v>2</v>
      </c>
      <c r="H2273">
        <f t="shared" si="210"/>
        <v>1640.64</v>
      </c>
      <c r="I2273">
        <f t="shared" si="214"/>
        <v>1249.3599999999999</v>
      </c>
      <c r="J2273">
        <f t="shared" si="211"/>
        <v>391.2800000000002</v>
      </c>
      <c r="K2273" s="8">
        <f t="shared" si="212"/>
        <v>0.23849229568948713</v>
      </c>
      <c r="L2273" t="str">
        <f t="shared" si="215"/>
        <v>2024-03</v>
      </c>
      <c r="M2273">
        <f t="shared" si="213"/>
        <v>391.2800000000002</v>
      </c>
    </row>
    <row r="2274" spans="1:13" x14ac:dyDescent="0.25">
      <c r="A2274" s="1">
        <v>45623</v>
      </c>
      <c r="B2274" t="s">
        <v>16</v>
      </c>
      <c r="C2274" t="s">
        <v>15</v>
      </c>
      <c r="D2274" t="s">
        <v>13</v>
      </c>
      <c r="E2274">
        <v>1003.13</v>
      </c>
      <c r="F2274">
        <v>677.14</v>
      </c>
      <c r="G2274">
        <v>8</v>
      </c>
      <c r="H2274">
        <f t="shared" si="210"/>
        <v>8025.04</v>
      </c>
      <c r="I2274">
        <f t="shared" si="214"/>
        <v>5417.12</v>
      </c>
      <c r="J2274">
        <f t="shared" si="211"/>
        <v>2607.92</v>
      </c>
      <c r="K2274" s="8">
        <f t="shared" si="212"/>
        <v>0.32497283502636748</v>
      </c>
      <c r="L2274" t="str">
        <f t="shared" si="215"/>
        <v>2024-11</v>
      </c>
      <c r="M2274">
        <f t="shared" si="213"/>
        <v>2607.92</v>
      </c>
    </row>
    <row r="2275" spans="1:13" x14ac:dyDescent="0.25">
      <c r="A2275" s="1">
        <v>44796</v>
      </c>
      <c r="B2275" t="s">
        <v>10</v>
      </c>
      <c r="C2275" t="s">
        <v>11</v>
      </c>
      <c r="D2275" t="s">
        <v>13</v>
      </c>
      <c r="E2275">
        <v>693.66</v>
      </c>
      <c r="F2275">
        <v>377.3</v>
      </c>
      <c r="G2275">
        <v>8</v>
      </c>
      <c r="H2275">
        <f t="shared" si="210"/>
        <v>5549.28</v>
      </c>
      <c r="I2275">
        <f t="shared" si="214"/>
        <v>3018.4</v>
      </c>
      <c r="J2275">
        <f t="shared" si="211"/>
        <v>2530.8799999999997</v>
      </c>
      <c r="K2275" s="8">
        <f t="shared" si="212"/>
        <v>0.45607358071677762</v>
      </c>
      <c r="L2275" t="str">
        <f t="shared" si="215"/>
        <v>2022-08</v>
      </c>
      <c r="M2275">
        <f t="shared" si="213"/>
        <v>2530.8799999999997</v>
      </c>
    </row>
    <row r="2276" spans="1:13" x14ac:dyDescent="0.25">
      <c r="A2276" s="1">
        <v>44920</v>
      </c>
      <c r="B2276" t="s">
        <v>22</v>
      </c>
      <c r="C2276" t="s">
        <v>8</v>
      </c>
      <c r="D2276" t="s">
        <v>17</v>
      </c>
      <c r="E2276">
        <v>620.11</v>
      </c>
      <c r="F2276">
        <v>426.82</v>
      </c>
      <c r="G2276">
        <v>8</v>
      </c>
      <c r="H2276">
        <f t="shared" si="210"/>
        <v>4960.88</v>
      </c>
      <c r="I2276">
        <f t="shared" si="214"/>
        <v>3414.56</v>
      </c>
      <c r="J2276">
        <f t="shared" si="211"/>
        <v>1546.3200000000002</v>
      </c>
      <c r="K2276" s="8">
        <f t="shared" si="212"/>
        <v>0.31170276241312028</v>
      </c>
      <c r="L2276" t="str">
        <f t="shared" si="215"/>
        <v>2022-12</v>
      </c>
      <c r="M2276">
        <f t="shared" si="213"/>
        <v>1546.3200000000002</v>
      </c>
    </row>
    <row r="2277" spans="1:13" x14ac:dyDescent="0.25">
      <c r="A2277" s="1">
        <v>44827</v>
      </c>
      <c r="B2277" t="s">
        <v>7</v>
      </c>
      <c r="C2277" t="s">
        <v>8</v>
      </c>
      <c r="D2277" t="s">
        <v>18</v>
      </c>
      <c r="E2277">
        <v>1358.57</v>
      </c>
      <c r="F2277">
        <v>988.35</v>
      </c>
      <c r="G2277">
        <v>7</v>
      </c>
      <c r="H2277">
        <f t="shared" si="210"/>
        <v>9509.99</v>
      </c>
      <c r="I2277">
        <f t="shared" si="214"/>
        <v>6918.45</v>
      </c>
      <c r="J2277">
        <f t="shared" si="211"/>
        <v>2591.54</v>
      </c>
      <c r="K2277" s="8">
        <f t="shared" si="212"/>
        <v>0.27250712145859252</v>
      </c>
      <c r="L2277" t="str">
        <f t="shared" si="215"/>
        <v>2022-09</v>
      </c>
      <c r="M2277">
        <f t="shared" si="213"/>
        <v>2591.54</v>
      </c>
    </row>
    <row r="2278" spans="1:13" x14ac:dyDescent="0.25">
      <c r="A2278" s="1">
        <v>45356</v>
      </c>
      <c r="B2278" t="s">
        <v>19</v>
      </c>
      <c r="C2278" t="s">
        <v>20</v>
      </c>
      <c r="D2278" t="s">
        <v>18</v>
      </c>
      <c r="E2278">
        <v>313.77999999999997</v>
      </c>
      <c r="F2278">
        <v>170.74</v>
      </c>
      <c r="G2278">
        <v>1</v>
      </c>
      <c r="H2278">
        <f t="shared" si="210"/>
        <v>313.77999999999997</v>
      </c>
      <c r="I2278">
        <f t="shared" si="214"/>
        <v>170.74</v>
      </c>
      <c r="J2278">
        <f t="shared" si="211"/>
        <v>143.03999999999996</v>
      </c>
      <c r="K2278" s="8">
        <f t="shared" si="212"/>
        <v>0.45586079418700992</v>
      </c>
      <c r="L2278" t="str">
        <f t="shared" si="215"/>
        <v>2024-03</v>
      </c>
      <c r="M2278">
        <f t="shared" si="213"/>
        <v>143.03999999999996</v>
      </c>
    </row>
    <row r="2279" spans="1:13" x14ac:dyDescent="0.25">
      <c r="A2279" s="1">
        <v>45504</v>
      </c>
      <c r="B2279" t="s">
        <v>10</v>
      </c>
      <c r="C2279" t="s">
        <v>11</v>
      </c>
      <c r="D2279" t="s">
        <v>18</v>
      </c>
      <c r="E2279">
        <v>1359.16</v>
      </c>
      <c r="F2279">
        <v>843.62</v>
      </c>
      <c r="G2279">
        <v>3</v>
      </c>
      <c r="H2279">
        <f t="shared" si="210"/>
        <v>4077.4800000000005</v>
      </c>
      <c r="I2279">
        <f t="shared" si="214"/>
        <v>2530.86</v>
      </c>
      <c r="J2279">
        <f t="shared" si="211"/>
        <v>1546.6200000000003</v>
      </c>
      <c r="K2279" s="8">
        <f t="shared" si="212"/>
        <v>0.37930780776361872</v>
      </c>
      <c r="L2279" t="str">
        <f t="shared" si="215"/>
        <v>2024-07</v>
      </c>
      <c r="M2279">
        <f t="shared" si="213"/>
        <v>1546.6200000000003</v>
      </c>
    </row>
    <row r="2280" spans="1:13" x14ac:dyDescent="0.25">
      <c r="A2280" s="1">
        <v>44715</v>
      </c>
      <c r="B2280" t="s">
        <v>21</v>
      </c>
      <c r="C2280" t="s">
        <v>20</v>
      </c>
      <c r="D2280" t="s">
        <v>17</v>
      </c>
      <c r="E2280">
        <v>854.03</v>
      </c>
      <c r="F2280">
        <v>430.86</v>
      </c>
      <c r="G2280">
        <v>7</v>
      </c>
      <c r="H2280">
        <f t="shared" si="210"/>
        <v>5978.21</v>
      </c>
      <c r="I2280">
        <f t="shared" si="214"/>
        <v>3016.02</v>
      </c>
      <c r="J2280">
        <f t="shared" si="211"/>
        <v>2962.19</v>
      </c>
      <c r="K2280" s="8">
        <f t="shared" si="212"/>
        <v>0.49549781623596362</v>
      </c>
      <c r="L2280" t="str">
        <f t="shared" si="215"/>
        <v>2022-06</v>
      </c>
      <c r="M2280">
        <f t="shared" si="213"/>
        <v>2962.19</v>
      </c>
    </row>
    <row r="2281" spans="1:13" x14ac:dyDescent="0.25">
      <c r="A2281" s="1">
        <v>45085</v>
      </c>
      <c r="B2281" t="s">
        <v>24</v>
      </c>
      <c r="C2281" t="s">
        <v>20</v>
      </c>
      <c r="D2281" t="s">
        <v>9</v>
      </c>
      <c r="E2281">
        <v>1259.3699999999999</v>
      </c>
      <c r="F2281">
        <v>743.35</v>
      </c>
      <c r="G2281">
        <v>10</v>
      </c>
      <c r="H2281">
        <f t="shared" si="210"/>
        <v>12593.699999999999</v>
      </c>
      <c r="I2281">
        <f t="shared" si="214"/>
        <v>7433.5</v>
      </c>
      <c r="J2281">
        <f t="shared" si="211"/>
        <v>5160.1999999999989</v>
      </c>
      <c r="K2281" s="8">
        <f t="shared" si="212"/>
        <v>0.40974455481709104</v>
      </c>
      <c r="L2281" t="str">
        <f t="shared" si="215"/>
        <v>2023-06</v>
      </c>
      <c r="M2281">
        <f t="shared" si="213"/>
        <v>5160.1999999999989</v>
      </c>
    </row>
    <row r="2282" spans="1:13" x14ac:dyDescent="0.25">
      <c r="A2282" s="1">
        <v>45608</v>
      </c>
      <c r="B2282" t="s">
        <v>10</v>
      </c>
      <c r="C2282" t="s">
        <v>11</v>
      </c>
      <c r="D2282" t="s">
        <v>13</v>
      </c>
      <c r="E2282">
        <v>1940.3</v>
      </c>
      <c r="F2282">
        <v>1400.23</v>
      </c>
      <c r="G2282">
        <v>1</v>
      </c>
      <c r="H2282">
        <f t="shared" si="210"/>
        <v>1940.3</v>
      </c>
      <c r="I2282">
        <f t="shared" si="214"/>
        <v>1400.23</v>
      </c>
      <c r="J2282">
        <f t="shared" si="211"/>
        <v>540.06999999999994</v>
      </c>
      <c r="K2282" s="8">
        <f t="shared" si="212"/>
        <v>0.2783435551203422</v>
      </c>
      <c r="L2282" t="str">
        <f t="shared" si="215"/>
        <v>2024-11</v>
      </c>
      <c r="M2282">
        <f t="shared" si="213"/>
        <v>540.06999999999994</v>
      </c>
    </row>
    <row r="2283" spans="1:13" x14ac:dyDescent="0.25">
      <c r="A2283" s="1">
        <v>44971</v>
      </c>
      <c r="B2283" t="s">
        <v>14</v>
      </c>
      <c r="C2283" t="s">
        <v>15</v>
      </c>
      <c r="D2283" t="s">
        <v>9</v>
      </c>
      <c r="E2283">
        <v>1010.33</v>
      </c>
      <c r="F2283">
        <v>768.58</v>
      </c>
      <c r="G2283">
        <v>7</v>
      </c>
      <c r="H2283">
        <f t="shared" si="210"/>
        <v>7072.31</v>
      </c>
      <c r="I2283">
        <f t="shared" si="214"/>
        <v>5380.06</v>
      </c>
      <c r="J2283">
        <f t="shared" si="211"/>
        <v>1692.25</v>
      </c>
      <c r="K2283" s="8">
        <f t="shared" si="212"/>
        <v>0.23927825561945107</v>
      </c>
      <c r="L2283" t="str">
        <f t="shared" si="215"/>
        <v>2023-02</v>
      </c>
      <c r="M2283">
        <f t="shared" si="213"/>
        <v>1692.25</v>
      </c>
    </row>
    <row r="2284" spans="1:13" x14ac:dyDescent="0.25">
      <c r="A2284" s="1">
        <v>44647</v>
      </c>
      <c r="B2284" t="s">
        <v>14</v>
      </c>
      <c r="C2284" t="s">
        <v>15</v>
      </c>
      <c r="D2284" t="s">
        <v>9</v>
      </c>
      <c r="E2284">
        <v>592.79</v>
      </c>
      <c r="F2284">
        <v>523.72</v>
      </c>
      <c r="G2284">
        <v>1</v>
      </c>
      <c r="H2284">
        <f t="shared" si="210"/>
        <v>592.79</v>
      </c>
      <c r="I2284">
        <f t="shared" si="214"/>
        <v>523.72</v>
      </c>
      <c r="J2284">
        <f t="shared" si="211"/>
        <v>69.069999999999936</v>
      </c>
      <c r="K2284" s="8">
        <f t="shared" si="212"/>
        <v>0.1165168103375562</v>
      </c>
      <c r="L2284" t="str">
        <f t="shared" si="215"/>
        <v>2022-03</v>
      </c>
      <c r="M2284">
        <f t="shared" si="213"/>
        <v>69.069999999999936</v>
      </c>
    </row>
    <row r="2285" spans="1:13" x14ac:dyDescent="0.25">
      <c r="A2285" s="1">
        <v>44912</v>
      </c>
      <c r="B2285" t="s">
        <v>7</v>
      </c>
      <c r="C2285" t="s">
        <v>8</v>
      </c>
      <c r="D2285" t="s">
        <v>9</v>
      </c>
      <c r="E2285">
        <v>1841.83</v>
      </c>
      <c r="F2285">
        <v>1254.22</v>
      </c>
      <c r="G2285">
        <v>3</v>
      </c>
      <c r="H2285">
        <f t="shared" si="210"/>
        <v>5525.49</v>
      </c>
      <c r="I2285">
        <f t="shared" si="214"/>
        <v>3762.66</v>
      </c>
      <c r="J2285">
        <f t="shared" si="211"/>
        <v>1762.83</v>
      </c>
      <c r="K2285" s="8">
        <f t="shared" si="212"/>
        <v>0.31903595880184382</v>
      </c>
      <c r="L2285" t="str">
        <f t="shared" si="215"/>
        <v>2022-12</v>
      </c>
      <c r="M2285">
        <f t="shared" si="213"/>
        <v>1762.83</v>
      </c>
    </row>
    <row r="2286" spans="1:13" x14ac:dyDescent="0.25">
      <c r="A2286" s="1">
        <v>45309</v>
      </c>
      <c r="B2286" t="s">
        <v>21</v>
      </c>
      <c r="C2286" t="s">
        <v>20</v>
      </c>
      <c r="D2286" t="s">
        <v>17</v>
      </c>
      <c r="E2286">
        <v>762.08</v>
      </c>
      <c r="F2286">
        <v>441.99</v>
      </c>
      <c r="G2286">
        <v>2</v>
      </c>
      <c r="H2286">
        <f t="shared" si="210"/>
        <v>1524.16</v>
      </c>
      <c r="I2286">
        <f t="shared" si="214"/>
        <v>883.98</v>
      </c>
      <c r="J2286">
        <f t="shared" si="211"/>
        <v>640.18000000000006</v>
      </c>
      <c r="K2286" s="8">
        <f t="shared" si="212"/>
        <v>0.42002152005038845</v>
      </c>
      <c r="L2286" t="str">
        <f t="shared" si="215"/>
        <v>2024-01</v>
      </c>
      <c r="M2286">
        <f t="shared" si="213"/>
        <v>640.18000000000006</v>
      </c>
    </row>
    <row r="2287" spans="1:13" x14ac:dyDescent="0.25">
      <c r="A2287" s="1">
        <v>45362</v>
      </c>
      <c r="B2287" t="s">
        <v>24</v>
      </c>
      <c r="C2287" t="s">
        <v>20</v>
      </c>
      <c r="D2287" t="s">
        <v>13</v>
      </c>
      <c r="E2287">
        <v>475.95</v>
      </c>
      <c r="F2287">
        <v>274.48</v>
      </c>
      <c r="G2287">
        <v>9</v>
      </c>
      <c r="H2287">
        <f t="shared" si="210"/>
        <v>4283.55</v>
      </c>
      <c r="I2287">
        <f t="shared" si="214"/>
        <v>2470.3200000000002</v>
      </c>
      <c r="J2287">
        <f t="shared" si="211"/>
        <v>1813.23</v>
      </c>
      <c r="K2287" s="8">
        <f t="shared" si="212"/>
        <v>0.42330076688727808</v>
      </c>
      <c r="L2287" t="str">
        <f t="shared" si="215"/>
        <v>2024-03</v>
      </c>
      <c r="M2287">
        <f t="shared" si="213"/>
        <v>1813.23</v>
      </c>
    </row>
    <row r="2288" spans="1:13" x14ac:dyDescent="0.25">
      <c r="A2288" s="1">
        <v>44764</v>
      </c>
      <c r="B2288" t="s">
        <v>19</v>
      </c>
      <c r="C2288" t="s">
        <v>20</v>
      </c>
      <c r="D2288" t="s">
        <v>18</v>
      </c>
      <c r="E2288">
        <v>1146.5899999999999</v>
      </c>
      <c r="F2288">
        <v>611.12</v>
      </c>
      <c r="G2288">
        <v>1</v>
      </c>
      <c r="H2288">
        <f t="shared" si="210"/>
        <v>1146.5899999999999</v>
      </c>
      <c r="I2288">
        <f t="shared" si="214"/>
        <v>611.12</v>
      </c>
      <c r="J2288">
        <f t="shared" si="211"/>
        <v>535.46999999999991</v>
      </c>
      <c r="K2288" s="8">
        <f t="shared" si="212"/>
        <v>0.46701087572715616</v>
      </c>
      <c r="L2288" t="str">
        <f t="shared" si="215"/>
        <v>2022-07</v>
      </c>
      <c r="M2288">
        <f t="shared" si="213"/>
        <v>535.46999999999991</v>
      </c>
    </row>
    <row r="2289" spans="1:13" x14ac:dyDescent="0.25">
      <c r="A2289" s="1">
        <v>44673</v>
      </c>
      <c r="B2289" t="s">
        <v>14</v>
      </c>
      <c r="C2289" t="s">
        <v>15</v>
      </c>
      <c r="D2289" t="s">
        <v>13</v>
      </c>
      <c r="E2289">
        <v>514.72</v>
      </c>
      <c r="F2289">
        <v>379.27</v>
      </c>
      <c r="G2289">
        <v>8</v>
      </c>
      <c r="H2289">
        <f t="shared" si="210"/>
        <v>4117.76</v>
      </c>
      <c r="I2289">
        <f t="shared" si="214"/>
        <v>3034.16</v>
      </c>
      <c r="J2289">
        <f t="shared" si="211"/>
        <v>1083.6000000000004</v>
      </c>
      <c r="K2289" s="8">
        <f t="shared" si="212"/>
        <v>0.26315278209511977</v>
      </c>
      <c r="L2289" t="str">
        <f t="shared" si="215"/>
        <v>2022-04</v>
      </c>
      <c r="M2289">
        <f t="shared" si="213"/>
        <v>1083.6000000000004</v>
      </c>
    </row>
    <row r="2290" spans="1:13" x14ac:dyDescent="0.25">
      <c r="A2290" s="1">
        <v>45219</v>
      </c>
      <c r="B2290" t="s">
        <v>14</v>
      </c>
      <c r="C2290" t="s">
        <v>15</v>
      </c>
      <c r="D2290" t="s">
        <v>17</v>
      </c>
      <c r="E2290">
        <v>1651.38</v>
      </c>
      <c r="F2290">
        <v>988.45</v>
      </c>
      <c r="G2290">
        <v>5</v>
      </c>
      <c r="H2290">
        <f t="shared" si="210"/>
        <v>8256.9000000000015</v>
      </c>
      <c r="I2290">
        <f t="shared" si="214"/>
        <v>4942.25</v>
      </c>
      <c r="J2290">
        <f t="shared" si="211"/>
        <v>3314.6500000000015</v>
      </c>
      <c r="K2290" s="8">
        <f t="shared" si="212"/>
        <v>0.40144000775109312</v>
      </c>
      <c r="L2290" t="str">
        <f t="shared" si="215"/>
        <v>2023-10</v>
      </c>
      <c r="M2290">
        <f t="shared" si="213"/>
        <v>3314.6500000000015</v>
      </c>
    </row>
    <row r="2291" spans="1:13" x14ac:dyDescent="0.25">
      <c r="A2291" s="1">
        <v>45371</v>
      </c>
      <c r="B2291" t="s">
        <v>22</v>
      </c>
      <c r="C2291" t="s">
        <v>8</v>
      </c>
      <c r="D2291" t="s">
        <v>18</v>
      </c>
      <c r="E2291">
        <v>1316.2</v>
      </c>
      <c r="F2291">
        <v>925.85</v>
      </c>
      <c r="G2291">
        <v>6</v>
      </c>
      <c r="H2291">
        <f t="shared" si="210"/>
        <v>7897.2000000000007</v>
      </c>
      <c r="I2291">
        <f t="shared" si="214"/>
        <v>5555.1</v>
      </c>
      <c r="J2291">
        <f t="shared" si="211"/>
        <v>2342.1000000000004</v>
      </c>
      <c r="K2291" s="8">
        <f t="shared" si="212"/>
        <v>0.29657346907764781</v>
      </c>
      <c r="L2291" t="str">
        <f t="shared" si="215"/>
        <v>2024-03</v>
      </c>
      <c r="M2291">
        <f t="shared" si="213"/>
        <v>2342.1000000000004</v>
      </c>
    </row>
    <row r="2292" spans="1:13" x14ac:dyDescent="0.25">
      <c r="A2292" s="1">
        <v>45517</v>
      </c>
      <c r="B2292" t="s">
        <v>22</v>
      </c>
      <c r="C2292" t="s">
        <v>8</v>
      </c>
      <c r="D2292" t="s">
        <v>18</v>
      </c>
      <c r="E2292">
        <v>1557.23</v>
      </c>
      <c r="F2292">
        <v>1179.8599999999999</v>
      </c>
      <c r="G2292">
        <v>3</v>
      </c>
      <c r="H2292">
        <f t="shared" si="210"/>
        <v>4671.6900000000005</v>
      </c>
      <c r="I2292">
        <f t="shared" si="214"/>
        <v>3539.58</v>
      </c>
      <c r="J2292">
        <f t="shared" si="211"/>
        <v>1132.1100000000006</v>
      </c>
      <c r="K2292" s="8">
        <f t="shared" si="212"/>
        <v>0.24233414460291683</v>
      </c>
      <c r="L2292" t="str">
        <f t="shared" si="215"/>
        <v>2024-08</v>
      </c>
      <c r="M2292">
        <f t="shared" si="213"/>
        <v>1132.1100000000006</v>
      </c>
    </row>
    <row r="2293" spans="1:13" x14ac:dyDescent="0.25">
      <c r="A2293" s="1">
        <v>45606</v>
      </c>
      <c r="B2293" t="s">
        <v>23</v>
      </c>
      <c r="C2293" t="s">
        <v>11</v>
      </c>
      <c r="D2293" t="s">
        <v>17</v>
      </c>
      <c r="E2293">
        <v>1863.15</v>
      </c>
      <c r="F2293">
        <v>1627.7</v>
      </c>
      <c r="G2293">
        <v>2</v>
      </c>
      <c r="H2293">
        <f t="shared" si="210"/>
        <v>3726.3</v>
      </c>
      <c r="I2293">
        <f t="shared" si="214"/>
        <v>3255.4</v>
      </c>
      <c r="J2293">
        <f t="shared" si="211"/>
        <v>470.90000000000009</v>
      </c>
      <c r="K2293" s="8">
        <f t="shared" si="212"/>
        <v>0.12637200440114862</v>
      </c>
      <c r="L2293" t="str">
        <f t="shared" si="215"/>
        <v>2024-11</v>
      </c>
      <c r="M2293">
        <f t="shared" si="213"/>
        <v>470.90000000000009</v>
      </c>
    </row>
    <row r="2294" spans="1:13" x14ac:dyDescent="0.25">
      <c r="A2294" s="1">
        <v>45026</v>
      </c>
      <c r="B2294" t="s">
        <v>14</v>
      </c>
      <c r="C2294" t="s">
        <v>15</v>
      </c>
      <c r="D2294" t="s">
        <v>13</v>
      </c>
      <c r="E2294">
        <v>533.53</v>
      </c>
      <c r="F2294">
        <v>317.35000000000002</v>
      </c>
      <c r="G2294">
        <v>2</v>
      </c>
      <c r="H2294">
        <f t="shared" si="210"/>
        <v>1067.06</v>
      </c>
      <c r="I2294">
        <f t="shared" si="214"/>
        <v>634.70000000000005</v>
      </c>
      <c r="J2294">
        <f t="shared" si="211"/>
        <v>432.3599999999999</v>
      </c>
      <c r="K2294" s="8">
        <f t="shared" si="212"/>
        <v>0.40518808689295815</v>
      </c>
      <c r="L2294" t="str">
        <f t="shared" si="215"/>
        <v>2023-04</v>
      </c>
      <c r="M2294">
        <f t="shared" si="213"/>
        <v>432.3599999999999</v>
      </c>
    </row>
    <row r="2295" spans="1:13" x14ac:dyDescent="0.25">
      <c r="A2295" s="1">
        <v>44876</v>
      </c>
      <c r="B2295" t="s">
        <v>19</v>
      </c>
      <c r="C2295" t="s">
        <v>20</v>
      </c>
      <c r="D2295" t="s">
        <v>18</v>
      </c>
      <c r="E2295">
        <v>1441.05</v>
      </c>
      <c r="F2295">
        <v>1096.51</v>
      </c>
      <c r="G2295">
        <v>10</v>
      </c>
      <c r="H2295">
        <f t="shared" si="210"/>
        <v>14410.5</v>
      </c>
      <c r="I2295">
        <f t="shared" si="214"/>
        <v>10965.1</v>
      </c>
      <c r="J2295">
        <f t="shared" si="211"/>
        <v>3445.3999999999996</v>
      </c>
      <c r="K2295" s="8">
        <f t="shared" si="212"/>
        <v>0.23908955275667046</v>
      </c>
      <c r="L2295" t="str">
        <f t="shared" si="215"/>
        <v>2022-11</v>
      </c>
      <c r="M2295">
        <f t="shared" si="213"/>
        <v>3445.3999999999996</v>
      </c>
    </row>
    <row r="2296" spans="1:13" x14ac:dyDescent="0.25">
      <c r="A2296" s="1">
        <v>45135</v>
      </c>
      <c r="B2296" t="s">
        <v>12</v>
      </c>
      <c r="C2296" t="s">
        <v>8</v>
      </c>
      <c r="D2296" t="s">
        <v>17</v>
      </c>
      <c r="E2296">
        <v>1185.33</v>
      </c>
      <c r="F2296">
        <v>716.09</v>
      </c>
      <c r="G2296">
        <v>8</v>
      </c>
      <c r="H2296">
        <f t="shared" si="210"/>
        <v>9482.64</v>
      </c>
      <c r="I2296">
        <f t="shared" si="214"/>
        <v>5728.72</v>
      </c>
      <c r="J2296">
        <f t="shared" si="211"/>
        <v>3753.9199999999992</v>
      </c>
      <c r="K2296" s="8">
        <f t="shared" si="212"/>
        <v>0.3958728792825626</v>
      </c>
      <c r="L2296" t="str">
        <f t="shared" si="215"/>
        <v>2023-07</v>
      </c>
      <c r="M2296">
        <f t="shared" si="213"/>
        <v>3753.9199999999992</v>
      </c>
    </row>
    <row r="2297" spans="1:13" x14ac:dyDescent="0.25">
      <c r="A2297" s="1">
        <v>45620</v>
      </c>
      <c r="B2297" t="s">
        <v>7</v>
      </c>
      <c r="C2297" t="s">
        <v>8</v>
      </c>
      <c r="D2297" t="s">
        <v>13</v>
      </c>
      <c r="E2297">
        <v>172.6</v>
      </c>
      <c r="F2297">
        <v>132.18</v>
      </c>
      <c r="G2297">
        <v>6</v>
      </c>
      <c r="H2297">
        <f t="shared" si="210"/>
        <v>1035.5999999999999</v>
      </c>
      <c r="I2297">
        <f t="shared" si="214"/>
        <v>793.08</v>
      </c>
      <c r="J2297">
        <f t="shared" si="211"/>
        <v>242.51999999999987</v>
      </c>
      <c r="K2297" s="8">
        <f t="shared" si="212"/>
        <v>0.23418308227114706</v>
      </c>
      <c r="L2297" t="str">
        <f t="shared" si="215"/>
        <v>2024-11</v>
      </c>
      <c r="M2297">
        <f t="shared" si="213"/>
        <v>242.51999999999987</v>
      </c>
    </row>
    <row r="2298" spans="1:13" x14ac:dyDescent="0.25">
      <c r="A2298" s="1">
        <v>45016</v>
      </c>
      <c r="B2298" t="s">
        <v>23</v>
      </c>
      <c r="C2298" t="s">
        <v>11</v>
      </c>
      <c r="D2298" t="s">
        <v>18</v>
      </c>
      <c r="E2298">
        <v>316.64999999999998</v>
      </c>
      <c r="F2298">
        <v>185.55</v>
      </c>
      <c r="G2298">
        <v>7</v>
      </c>
      <c r="H2298">
        <f t="shared" si="210"/>
        <v>2216.5499999999997</v>
      </c>
      <c r="I2298">
        <f t="shared" si="214"/>
        <v>1298.8500000000001</v>
      </c>
      <c r="J2298">
        <f t="shared" si="211"/>
        <v>917.69999999999959</v>
      </c>
      <c r="K2298" s="8">
        <f t="shared" si="212"/>
        <v>0.41402179062055883</v>
      </c>
      <c r="L2298" t="str">
        <f t="shared" si="215"/>
        <v>2023-03</v>
      </c>
      <c r="M2298">
        <f t="shared" si="213"/>
        <v>917.69999999999959</v>
      </c>
    </row>
    <row r="2299" spans="1:13" x14ac:dyDescent="0.25">
      <c r="A2299" s="1">
        <v>44677</v>
      </c>
      <c r="B2299" t="s">
        <v>22</v>
      </c>
      <c r="C2299" t="s">
        <v>8</v>
      </c>
      <c r="D2299" t="s">
        <v>9</v>
      </c>
      <c r="E2299">
        <v>1546.31</v>
      </c>
      <c r="F2299">
        <v>1258.6099999999999</v>
      </c>
      <c r="G2299">
        <v>6</v>
      </c>
      <c r="H2299">
        <f t="shared" si="210"/>
        <v>9277.86</v>
      </c>
      <c r="I2299">
        <f t="shared" si="214"/>
        <v>7551.66</v>
      </c>
      <c r="J2299">
        <f t="shared" si="211"/>
        <v>1726.2000000000007</v>
      </c>
      <c r="K2299" s="8">
        <f t="shared" si="212"/>
        <v>0.1860558361518713</v>
      </c>
      <c r="L2299" t="str">
        <f t="shared" si="215"/>
        <v>2022-04</v>
      </c>
      <c r="M2299">
        <f t="shared" si="213"/>
        <v>1726.2000000000007</v>
      </c>
    </row>
    <row r="2300" spans="1:13" x14ac:dyDescent="0.25">
      <c r="A2300" s="1">
        <v>44789</v>
      </c>
      <c r="B2300" t="s">
        <v>16</v>
      </c>
      <c r="C2300" t="s">
        <v>15</v>
      </c>
      <c r="D2300" t="s">
        <v>17</v>
      </c>
      <c r="E2300">
        <v>1678.38</v>
      </c>
      <c r="F2300">
        <v>1022.49</v>
      </c>
      <c r="G2300">
        <v>10</v>
      </c>
      <c r="H2300">
        <f t="shared" si="210"/>
        <v>16783.800000000003</v>
      </c>
      <c r="I2300">
        <f t="shared" si="214"/>
        <v>10224.9</v>
      </c>
      <c r="J2300">
        <f t="shared" si="211"/>
        <v>6558.9000000000033</v>
      </c>
      <c r="K2300" s="8">
        <f t="shared" si="212"/>
        <v>0.39078754513280678</v>
      </c>
      <c r="L2300" t="str">
        <f t="shared" si="215"/>
        <v>2022-08</v>
      </c>
      <c r="M2300">
        <f t="shared" si="213"/>
        <v>6558.9000000000033</v>
      </c>
    </row>
    <row r="2301" spans="1:13" x14ac:dyDescent="0.25">
      <c r="A2301" s="1">
        <v>45131</v>
      </c>
      <c r="B2301" t="s">
        <v>25</v>
      </c>
      <c r="C2301" t="s">
        <v>15</v>
      </c>
      <c r="D2301" t="s">
        <v>18</v>
      </c>
      <c r="E2301">
        <v>1583.36</v>
      </c>
      <c r="F2301">
        <v>1147.06</v>
      </c>
      <c r="G2301">
        <v>6</v>
      </c>
      <c r="H2301">
        <f t="shared" si="210"/>
        <v>9500.16</v>
      </c>
      <c r="I2301">
        <f t="shared" si="214"/>
        <v>6882.36</v>
      </c>
      <c r="J2301">
        <f t="shared" si="211"/>
        <v>2617.8000000000002</v>
      </c>
      <c r="K2301" s="8">
        <f t="shared" si="212"/>
        <v>0.27555325383993534</v>
      </c>
      <c r="L2301" t="str">
        <f t="shared" si="215"/>
        <v>2023-07</v>
      </c>
      <c r="M2301">
        <f t="shared" si="213"/>
        <v>2617.8000000000002</v>
      </c>
    </row>
    <row r="2302" spans="1:13" x14ac:dyDescent="0.25">
      <c r="A2302" s="1">
        <v>45032</v>
      </c>
      <c r="B2302" t="s">
        <v>16</v>
      </c>
      <c r="C2302" t="s">
        <v>15</v>
      </c>
      <c r="D2302" t="s">
        <v>17</v>
      </c>
      <c r="E2302">
        <v>373.76</v>
      </c>
      <c r="F2302">
        <v>240.77</v>
      </c>
      <c r="G2302">
        <v>8</v>
      </c>
      <c r="H2302">
        <f t="shared" si="210"/>
        <v>2990.08</v>
      </c>
      <c r="I2302">
        <f t="shared" si="214"/>
        <v>1926.16</v>
      </c>
      <c r="J2302">
        <f t="shared" si="211"/>
        <v>1063.9199999999998</v>
      </c>
      <c r="K2302" s="8">
        <f t="shared" si="212"/>
        <v>0.35581656678082185</v>
      </c>
      <c r="L2302" t="str">
        <f t="shared" si="215"/>
        <v>2023-04</v>
      </c>
      <c r="M2302">
        <f t="shared" si="213"/>
        <v>1063.9199999999998</v>
      </c>
    </row>
    <row r="2303" spans="1:13" x14ac:dyDescent="0.25">
      <c r="A2303" s="1">
        <v>44595</v>
      </c>
      <c r="B2303" t="s">
        <v>10</v>
      </c>
      <c r="C2303" t="s">
        <v>11</v>
      </c>
      <c r="D2303" t="s">
        <v>9</v>
      </c>
      <c r="E2303">
        <v>1748.01</v>
      </c>
      <c r="F2303">
        <v>1258.27</v>
      </c>
      <c r="G2303">
        <v>4</v>
      </c>
      <c r="H2303">
        <f t="shared" si="210"/>
        <v>6992.04</v>
      </c>
      <c r="I2303">
        <f t="shared" si="214"/>
        <v>5033.08</v>
      </c>
      <c r="J2303">
        <f t="shared" si="211"/>
        <v>1958.96</v>
      </c>
      <c r="K2303" s="8">
        <f t="shared" si="212"/>
        <v>0.28017002191062979</v>
      </c>
      <c r="L2303" t="str">
        <f t="shared" si="215"/>
        <v>2022-02</v>
      </c>
      <c r="M2303">
        <f t="shared" si="213"/>
        <v>1958.96</v>
      </c>
    </row>
    <row r="2304" spans="1:13" x14ac:dyDescent="0.25">
      <c r="A2304" s="1">
        <v>45201</v>
      </c>
      <c r="B2304" t="s">
        <v>25</v>
      </c>
      <c r="C2304" t="s">
        <v>15</v>
      </c>
      <c r="D2304" t="s">
        <v>13</v>
      </c>
      <c r="E2304">
        <v>1111.82</v>
      </c>
      <c r="F2304">
        <v>823.26</v>
      </c>
      <c r="G2304">
        <v>7</v>
      </c>
      <c r="H2304">
        <f t="shared" si="210"/>
        <v>7782.74</v>
      </c>
      <c r="I2304">
        <f t="shared" si="214"/>
        <v>5762.82</v>
      </c>
      <c r="J2304">
        <f t="shared" si="211"/>
        <v>2019.92</v>
      </c>
      <c r="K2304" s="8">
        <f t="shared" si="212"/>
        <v>0.2595384144915544</v>
      </c>
      <c r="L2304" t="str">
        <f t="shared" si="215"/>
        <v>2023-10</v>
      </c>
      <c r="M2304">
        <f t="shared" si="213"/>
        <v>2019.92</v>
      </c>
    </row>
    <row r="2305" spans="1:13" x14ac:dyDescent="0.25">
      <c r="A2305" s="1">
        <v>44837</v>
      </c>
      <c r="B2305" t="s">
        <v>23</v>
      </c>
      <c r="C2305" t="s">
        <v>11</v>
      </c>
      <c r="D2305" t="s">
        <v>18</v>
      </c>
      <c r="E2305">
        <v>1175.3399999999999</v>
      </c>
      <c r="F2305">
        <v>827.47</v>
      </c>
      <c r="G2305">
        <v>7</v>
      </c>
      <c r="H2305">
        <f t="shared" si="210"/>
        <v>8227.3799999999992</v>
      </c>
      <c r="I2305">
        <f t="shared" si="214"/>
        <v>5792.29</v>
      </c>
      <c r="J2305">
        <f t="shared" si="211"/>
        <v>2435.0899999999992</v>
      </c>
      <c r="K2305" s="8">
        <f t="shared" si="212"/>
        <v>0.29597393094764063</v>
      </c>
      <c r="L2305" t="str">
        <f t="shared" si="215"/>
        <v>2022-10</v>
      </c>
      <c r="M2305">
        <f t="shared" si="213"/>
        <v>2435.0899999999992</v>
      </c>
    </row>
    <row r="2306" spans="1:13" x14ac:dyDescent="0.25">
      <c r="A2306" s="1">
        <v>45466</v>
      </c>
      <c r="B2306" t="s">
        <v>12</v>
      </c>
      <c r="C2306" t="s">
        <v>8</v>
      </c>
      <c r="D2306" t="s">
        <v>18</v>
      </c>
      <c r="E2306">
        <v>1879.18</v>
      </c>
      <c r="F2306">
        <v>1468.24</v>
      </c>
      <c r="G2306">
        <v>3</v>
      </c>
      <c r="H2306">
        <f t="shared" si="210"/>
        <v>5637.54</v>
      </c>
      <c r="I2306">
        <f t="shared" si="214"/>
        <v>4404.72</v>
      </c>
      <c r="J2306">
        <f t="shared" si="211"/>
        <v>1232.8199999999997</v>
      </c>
      <c r="K2306" s="8">
        <f t="shared" si="212"/>
        <v>0.21868048829808742</v>
      </c>
      <c r="L2306" t="str">
        <f t="shared" si="215"/>
        <v>2024-06</v>
      </c>
      <c r="M2306">
        <f t="shared" si="213"/>
        <v>1232.8199999999997</v>
      </c>
    </row>
    <row r="2307" spans="1:13" x14ac:dyDescent="0.25">
      <c r="A2307" s="1">
        <v>45422</v>
      </c>
      <c r="B2307" t="s">
        <v>23</v>
      </c>
      <c r="C2307" t="s">
        <v>11</v>
      </c>
      <c r="D2307" t="s">
        <v>9</v>
      </c>
      <c r="E2307">
        <v>1634.93</v>
      </c>
      <c r="F2307">
        <v>1209.17</v>
      </c>
      <c r="G2307">
        <v>3</v>
      </c>
      <c r="H2307">
        <f t="shared" ref="H2307:H2370" si="216">E2307*G2307</f>
        <v>4904.79</v>
      </c>
      <c r="I2307">
        <f t="shared" si="214"/>
        <v>3627.51</v>
      </c>
      <c r="J2307">
        <f t="shared" ref="J2307:J2370" si="217">H2307-I2307</f>
        <v>1277.2799999999997</v>
      </c>
      <c r="K2307" s="8">
        <f t="shared" ref="K2307:K2370" si="218">(H2307-I2307)/H2307</f>
        <v>0.26041481898307567</v>
      </c>
      <c r="L2307" t="str">
        <f t="shared" si="215"/>
        <v>2024-05</v>
      </c>
      <c r="M2307">
        <f t="shared" ref="M2307:M2370" si="219">H2307-I2307</f>
        <v>1277.2799999999997</v>
      </c>
    </row>
    <row r="2308" spans="1:13" x14ac:dyDescent="0.25">
      <c r="A2308" s="1">
        <v>44977</v>
      </c>
      <c r="B2308" t="s">
        <v>12</v>
      </c>
      <c r="C2308" t="s">
        <v>8</v>
      </c>
      <c r="D2308" t="s">
        <v>13</v>
      </c>
      <c r="E2308">
        <v>1531.74</v>
      </c>
      <c r="F2308">
        <v>873.32</v>
      </c>
      <c r="G2308">
        <v>8</v>
      </c>
      <c r="H2308">
        <f t="shared" si="216"/>
        <v>12253.92</v>
      </c>
      <c r="I2308">
        <f t="shared" ref="I2308:I2371" si="220">F2308*G2308</f>
        <v>6986.56</v>
      </c>
      <c r="J2308">
        <f t="shared" si="217"/>
        <v>5267.36</v>
      </c>
      <c r="K2308" s="8">
        <f t="shared" si="218"/>
        <v>0.4298510191024586</v>
      </c>
      <c r="L2308" t="str">
        <f t="shared" ref="L2308:L2371" si="221">TEXT(A2308,"rrrr-mm")</f>
        <v>2023-02</v>
      </c>
      <c r="M2308">
        <f t="shared" si="219"/>
        <v>5267.36</v>
      </c>
    </row>
    <row r="2309" spans="1:13" x14ac:dyDescent="0.25">
      <c r="A2309" s="1">
        <v>44806</v>
      </c>
      <c r="B2309" t="s">
        <v>22</v>
      </c>
      <c r="C2309" t="s">
        <v>8</v>
      </c>
      <c r="D2309" t="s">
        <v>9</v>
      </c>
      <c r="E2309">
        <v>1195.05</v>
      </c>
      <c r="F2309">
        <v>933.39</v>
      </c>
      <c r="G2309">
        <v>7</v>
      </c>
      <c r="H2309">
        <f t="shared" si="216"/>
        <v>8365.35</v>
      </c>
      <c r="I2309">
        <f t="shared" si="220"/>
        <v>6533.73</v>
      </c>
      <c r="J2309">
        <f t="shared" si="217"/>
        <v>1831.6200000000008</v>
      </c>
      <c r="K2309" s="8">
        <f t="shared" si="218"/>
        <v>0.21895318187523544</v>
      </c>
      <c r="L2309" t="str">
        <f t="shared" si="221"/>
        <v>2022-09</v>
      </c>
      <c r="M2309">
        <f t="shared" si="219"/>
        <v>1831.6200000000008</v>
      </c>
    </row>
    <row r="2310" spans="1:13" x14ac:dyDescent="0.25">
      <c r="A2310" s="1">
        <v>44964</v>
      </c>
      <c r="B2310" t="s">
        <v>24</v>
      </c>
      <c r="C2310" t="s">
        <v>20</v>
      </c>
      <c r="D2310" t="s">
        <v>17</v>
      </c>
      <c r="E2310">
        <v>1448.65</v>
      </c>
      <c r="F2310">
        <v>1135.76</v>
      </c>
      <c r="G2310">
        <v>9</v>
      </c>
      <c r="H2310">
        <f t="shared" si="216"/>
        <v>13037.85</v>
      </c>
      <c r="I2310">
        <f t="shared" si="220"/>
        <v>10221.84</v>
      </c>
      <c r="J2310">
        <f t="shared" si="217"/>
        <v>2816.01</v>
      </c>
      <c r="K2310" s="8">
        <f t="shared" si="218"/>
        <v>0.21598729851931109</v>
      </c>
      <c r="L2310" t="str">
        <f t="shared" si="221"/>
        <v>2023-02</v>
      </c>
      <c r="M2310">
        <f t="shared" si="219"/>
        <v>2816.01</v>
      </c>
    </row>
    <row r="2311" spans="1:13" x14ac:dyDescent="0.25">
      <c r="A2311" s="1">
        <v>44606</v>
      </c>
      <c r="B2311" t="s">
        <v>23</v>
      </c>
      <c r="C2311" t="s">
        <v>11</v>
      </c>
      <c r="D2311" t="s">
        <v>9</v>
      </c>
      <c r="E2311">
        <v>1794.22</v>
      </c>
      <c r="F2311">
        <v>1083.78</v>
      </c>
      <c r="G2311">
        <v>2</v>
      </c>
      <c r="H2311">
        <f t="shared" si="216"/>
        <v>3588.44</v>
      </c>
      <c r="I2311">
        <f t="shared" si="220"/>
        <v>2167.56</v>
      </c>
      <c r="J2311">
        <f t="shared" si="217"/>
        <v>1420.88</v>
      </c>
      <c r="K2311" s="8">
        <f t="shared" si="218"/>
        <v>0.39596036160560022</v>
      </c>
      <c r="L2311" t="str">
        <f t="shared" si="221"/>
        <v>2022-02</v>
      </c>
      <c r="M2311">
        <f t="shared" si="219"/>
        <v>1420.88</v>
      </c>
    </row>
    <row r="2312" spans="1:13" x14ac:dyDescent="0.25">
      <c r="A2312" s="1">
        <v>44833</v>
      </c>
      <c r="B2312" t="s">
        <v>25</v>
      </c>
      <c r="C2312" t="s">
        <v>15</v>
      </c>
      <c r="D2312" t="s">
        <v>9</v>
      </c>
      <c r="E2312">
        <v>1161.8800000000001</v>
      </c>
      <c r="F2312">
        <v>824.6</v>
      </c>
      <c r="G2312">
        <v>5</v>
      </c>
      <c r="H2312">
        <f t="shared" si="216"/>
        <v>5809.4000000000005</v>
      </c>
      <c r="I2312">
        <f t="shared" si="220"/>
        <v>4123</v>
      </c>
      <c r="J2312">
        <f t="shared" si="217"/>
        <v>1686.4000000000005</v>
      </c>
      <c r="K2312" s="8">
        <f t="shared" si="218"/>
        <v>0.29028815368196376</v>
      </c>
      <c r="L2312" t="str">
        <f t="shared" si="221"/>
        <v>2022-09</v>
      </c>
      <c r="M2312">
        <f t="shared" si="219"/>
        <v>1686.4000000000005</v>
      </c>
    </row>
    <row r="2313" spans="1:13" x14ac:dyDescent="0.25">
      <c r="A2313" s="1">
        <v>45501</v>
      </c>
      <c r="B2313" t="s">
        <v>25</v>
      </c>
      <c r="C2313" t="s">
        <v>15</v>
      </c>
      <c r="D2313" t="s">
        <v>13</v>
      </c>
      <c r="E2313">
        <v>1033.1400000000001</v>
      </c>
      <c r="F2313">
        <v>714.55</v>
      </c>
      <c r="G2313">
        <v>7</v>
      </c>
      <c r="H2313">
        <f t="shared" si="216"/>
        <v>7231.9800000000005</v>
      </c>
      <c r="I2313">
        <f t="shared" si="220"/>
        <v>5001.8499999999995</v>
      </c>
      <c r="J2313">
        <f t="shared" si="217"/>
        <v>2230.130000000001</v>
      </c>
      <c r="K2313" s="8">
        <f t="shared" si="218"/>
        <v>0.30837059837001773</v>
      </c>
      <c r="L2313" t="str">
        <f t="shared" si="221"/>
        <v>2024-07</v>
      </c>
      <c r="M2313">
        <f t="shared" si="219"/>
        <v>2230.130000000001</v>
      </c>
    </row>
    <row r="2314" spans="1:13" x14ac:dyDescent="0.25">
      <c r="A2314" s="1">
        <v>45563</v>
      </c>
      <c r="B2314" t="s">
        <v>21</v>
      </c>
      <c r="C2314" t="s">
        <v>20</v>
      </c>
      <c r="D2314" t="s">
        <v>17</v>
      </c>
      <c r="E2314">
        <v>463.86</v>
      </c>
      <c r="F2314">
        <v>350.24</v>
      </c>
      <c r="G2314">
        <v>5</v>
      </c>
      <c r="H2314">
        <f t="shared" si="216"/>
        <v>2319.3000000000002</v>
      </c>
      <c r="I2314">
        <f t="shared" si="220"/>
        <v>1751.2</v>
      </c>
      <c r="J2314">
        <f t="shared" si="217"/>
        <v>568.10000000000014</v>
      </c>
      <c r="K2314" s="8">
        <f t="shared" si="218"/>
        <v>0.24494459535204591</v>
      </c>
      <c r="L2314" t="str">
        <f t="shared" si="221"/>
        <v>2024-09</v>
      </c>
      <c r="M2314">
        <f t="shared" si="219"/>
        <v>568.10000000000014</v>
      </c>
    </row>
    <row r="2315" spans="1:13" x14ac:dyDescent="0.25">
      <c r="A2315" s="1">
        <v>45149</v>
      </c>
      <c r="B2315" t="s">
        <v>14</v>
      </c>
      <c r="C2315" t="s">
        <v>15</v>
      </c>
      <c r="D2315" t="s">
        <v>17</v>
      </c>
      <c r="E2315">
        <v>568.70000000000005</v>
      </c>
      <c r="F2315">
        <v>366.28</v>
      </c>
      <c r="G2315">
        <v>5</v>
      </c>
      <c r="H2315">
        <f t="shared" si="216"/>
        <v>2843.5</v>
      </c>
      <c r="I2315">
        <f t="shared" si="220"/>
        <v>1831.3999999999999</v>
      </c>
      <c r="J2315">
        <f t="shared" si="217"/>
        <v>1012.1000000000001</v>
      </c>
      <c r="K2315" s="8">
        <f t="shared" si="218"/>
        <v>0.35593458765605773</v>
      </c>
      <c r="L2315" t="str">
        <f t="shared" si="221"/>
        <v>2023-08</v>
      </c>
      <c r="M2315">
        <f t="shared" si="219"/>
        <v>1012.1000000000001</v>
      </c>
    </row>
    <row r="2316" spans="1:13" x14ac:dyDescent="0.25">
      <c r="A2316" s="1">
        <v>44758</v>
      </c>
      <c r="B2316" t="s">
        <v>7</v>
      </c>
      <c r="C2316" t="s">
        <v>8</v>
      </c>
      <c r="D2316" t="s">
        <v>13</v>
      </c>
      <c r="E2316">
        <v>314.73</v>
      </c>
      <c r="F2316">
        <v>214.06</v>
      </c>
      <c r="G2316">
        <v>6</v>
      </c>
      <c r="H2316">
        <f t="shared" si="216"/>
        <v>1888.38</v>
      </c>
      <c r="I2316">
        <f t="shared" si="220"/>
        <v>1284.3600000000001</v>
      </c>
      <c r="J2316">
        <f t="shared" si="217"/>
        <v>604.02</v>
      </c>
      <c r="K2316" s="8">
        <f t="shared" si="218"/>
        <v>0.3198614685603533</v>
      </c>
      <c r="L2316" t="str">
        <f t="shared" si="221"/>
        <v>2022-07</v>
      </c>
      <c r="M2316">
        <f t="shared" si="219"/>
        <v>604.02</v>
      </c>
    </row>
    <row r="2317" spans="1:13" x14ac:dyDescent="0.25">
      <c r="A2317" s="1">
        <v>45373</v>
      </c>
      <c r="B2317" t="s">
        <v>19</v>
      </c>
      <c r="C2317" t="s">
        <v>20</v>
      </c>
      <c r="D2317" t="s">
        <v>18</v>
      </c>
      <c r="E2317">
        <v>108.81</v>
      </c>
      <c r="F2317">
        <v>56.03</v>
      </c>
      <c r="G2317">
        <v>7</v>
      </c>
      <c r="H2317">
        <f t="shared" si="216"/>
        <v>761.67000000000007</v>
      </c>
      <c r="I2317">
        <f t="shared" si="220"/>
        <v>392.21000000000004</v>
      </c>
      <c r="J2317">
        <f t="shared" si="217"/>
        <v>369.46000000000004</v>
      </c>
      <c r="K2317" s="8">
        <f t="shared" si="218"/>
        <v>0.48506571087216249</v>
      </c>
      <c r="L2317" t="str">
        <f t="shared" si="221"/>
        <v>2024-03</v>
      </c>
      <c r="M2317">
        <f t="shared" si="219"/>
        <v>369.46000000000004</v>
      </c>
    </row>
    <row r="2318" spans="1:13" x14ac:dyDescent="0.25">
      <c r="A2318" s="1">
        <v>45054</v>
      </c>
      <c r="B2318" t="s">
        <v>24</v>
      </c>
      <c r="C2318" t="s">
        <v>20</v>
      </c>
      <c r="D2318" t="s">
        <v>13</v>
      </c>
      <c r="E2318">
        <v>1352.35</v>
      </c>
      <c r="F2318">
        <v>915.98</v>
      </c>
      <c r="G2318">
        <v>10</v>
      </c>
      <c r="H2318">
        <f t="shared" si="216"/>
        <v>13523.5</v>
      </c>
      <c r="I2318">
        <f t="shared" si="220"/>
        <v>9159.7999999999993</v>
      </c>
      <c r="J2318">
        <f t="shared" si="217"/>
        <v>4363.7000000000007</v>
      </c>
      <c r="K2318" s="8">
        <f t="shared" si="218"/>
        <v>0.32267534292158101</v>
      </c>
      <c r="L2318" t="str">
        <f t="shared" si="221"/>
        <v>2023-05</v>
      </c>
      <c r="M2318">
        <f t="shared" si="219"/>
        <v>4363.7000000000007</v>
      </c>
    </row>
    <row r="2319" spans="1:13" x14ac:dyDescent="0.25">
      <c r="A2319" s="1">
        <v>45260</v>
      </c>
      <c r="B2319" t="s">
        <v>12</v>
      </c>
      <c r="C2319" t="s">
        <v>8</v>
      </c>
      <c r="D2319" t="s">
        <v>13</v>
      </c>
      <c r="E2319">
        <v>555.98</v>
      </c>
      <c r="F2319">
        <v>293.89</v>
      </c>
      <c r="G2319">
        <v>5</v>
      </c>
      <c r="H2319">
        <f t="shared" si="216"/>
        <v>2779.9</v>
      </c>
      <c r="I2319">
        <f t="shared" si="220"/>
        <v>1469.4499999999998</v>
      </c>
      <c r="J2319">
        <f t="shared" si="217"/>
        <v>1310.4500000000003</v>
      </c>
      <c r="K2319" s="8">
        <f t="shared" si="218"/>
        <v>0.47140184898737375</v>
      </c>
      <c r="L2319" t="str">
        <f t="shared" si="221"/>
        <v>2023-11</v>
      </c>
      <c r="M2319">
        <f t="shared" si="219"/>
        <v>1310.4500000000003</v>
      </c>
    </row>
    <row r="2320" spans="1:13" x14ac:dyDescent="0.25">
      <c r="A2320" s="1">
        <v>45090</v>
      </c>
      <c r="B2320" t="s">
        <v>23</v>
      </c>
      <c r="C2320" t="s">
        <v>11</v>
      </c>
      <c r="D2320" t="s">
        <v>18</v>
      </c>
      <c r="E2320">
        <v>1497.15</v>
      </c>
      <c r="F2320">
        <v>1109.95</v>
      </c>
      <c r="G2320">
        <v>10</v>
      </c>
      <c r="H2320">
        <f t="shared" si="216"/>
        <v>14971.5</v>
      </c>
      <c r="I2320">
        <f t="shared" si="220"/>
        <v>11099.5</v>
      </c>
      <c r="J2320">
        <f t="shared" si="217"/>
        <v>3872</v>
      </c>
      <c r="K2320" s="8">
        <f t="shared" si="218"/>
        <v>0.25862472030190697</v>
      </c>
      <c r="L2320" t="str">
        <f t="shared" si="221"/>
        <v>2023-06</v>
      </c>
      <c r="M2320">
        <f t="shared" si="219"/>
        <v>3872</v>
      </c>
    </row>
    <row r="2321" spans="1:13" x14ac:dyDescent="0.25">
      <c r="A2321" s="1">
        <v>45656</v>
      </c>
      <c r="B2321" t="s">
        <v>16</v>
      </c>
      <c r="C2321" t="s">
        <v>15</v>
      </c>
      <c r="D2321" t="s">
        <v>17</v>
      </c>
      <c r="E2321">
        <v>94.88</v>
      </c>
      <c r="F2321">
        <v>51.7</v>
      </c>
      <c r="G2321">
        <v>1</v>
      </c>
      <c r="H2321">
        <f t="shared" si="216"/>
        <v>94.88</v>
      </c>
      <c r="I2321">
        <f t="shared" si="220"/>
        <v>51.7</v>
      </c>
      <c r="J2321">
        <f t="shared" si="217"/>
        <v>43.179999999999993</v>
      </c>
      <c r="K2321" s="8">
        <f t="shared" si="218"/>
        <v>0.45510118043844849</v>
      </c>
      <c r="L2321" t="str">
        <f t="shared" si="221"/>
        <v>2024-12</v>
      </c>
      <c r="M2321">
        <f t="shared" si="219"/>
        <v>43.179999999999993</v>
      </c>
    </row>
    <row r="2322" spans="1:13" x14ac:dyDescent="0.25">
      <c r="A2322" s="1">
        <v>45275</v>
      </c>
      <c r="B2322" t="s">
        <v>24</v>
      </c>
      <c r="C2322" t="s">
        <v>20</v>
      </c>
      <c r="D2322" t="s">
        <v>9</v>
      </c>
      <c r="E2322">
        <v>1525.55</v>
      </c>
      <c r="F2322">
        <v>1177.06</v>
      </c>
      <c r="G2322">
        <v>6</v>
      </c>
      <c r="H2322">
        <f t="shared" si="216"/>
        <v>9153.2999999999993</v>
      </c>
      <c r="I2322">
        <f t="shared" si="220"/>
        <v>7062.36</v>
      </c>
      <c r="J2322">
        <f t="shared" si="217"/>
        <v>2090.9399999999996</v>
      </c>
      <c r="K2322" s="8">
        <f t="shared" si="218"/>
        <v>0.22843564616040113</v>
      </c>
      <c r="L2322" t="str">
        <f t="shared" si="221"/>
        <v>2023-12</v>
      </c>
      <c r="M2322">
        <f t="shared" si="219"/>
        <v>2090.9399999999996</v>
      </c>
    </row>
    <row r="2323" spans="1:13" x14ac:dyDescent="0.25">
      <c r="A2323" s="1">
        <v>45634</v>
      </c>
      <c r="B2323" t="s">
        <v>7</v>
      </c>
      <c r="C2323" t="s">
        <v>8</v>
      </c>
      <c r="D2323" t="s">
        <v>18</v>
      </c>
      <c r="E2323">
        <v>230.65</v>
      </c>
      <c r="F2323">
        <v>139.68</v>
      </c>
      <c r="G2323">
        <v>6</v>
      </c>
      <c r="H2323">
        <f t="shared" si="216"/>
        <v>1383.9</v>
      </c>
      <c r="I2323">
        <f t="shared" si="220"/>
        <v>838.08</v>
      </c>
      <c r="J2323">
        <f t="shared" si="217"/>
        <v>545.82000000000005</v>
      </c>
      <c r="K2323" s="8">
        <f t="shared" si="218"/>
        <v>0.39440711034034254</v>
      </c>
      <c r="L2323" t="str">
        <f t="shared" si="221"/>
        <v>2024-12</v>
      </c>
      <c r="M2323">
        <f t="shared" si="219"/>
        <v>545.82000000000005</v>
      </c>
    </row>
    <row r="2324" spans="1:13" x14ac:dyDescent="0.25">
      <c r="A2324" s="1">
        <v>44812</v>
      </c>
      <c r="B2324" t="s">
        <v>22</v>
      </c>
      <c r="C2324" t="s">
        <v>8</v>
      </c>
      <c r="D2324" t="s">
        <v>13</v>
      </c>
      <c r="E2324">
        <v>78.59</v>
      </c>
      <c r="F2324">
        <v>69.36</v>
      </c>
      <c r="G2324">
        <v>4</v>
      </c>
      <c r="H2324">
        <f t="shared" si="216"/>
        <v>314.36</v>
      </c>
      <c r="I2324">
        <f t="shared" si="220"/>
        <v>277.44</v>
      </c>
      <c r="J2324">
        <f t="shared" si="217"/>
        <v>36.920000000000016</v>
      </c>
      <c r="K2324" s="8">
        <f t="shared" si="218"/>
        <v>0.11744496755312385</v>
      </c>
      <c r="L2324" t="str">
        <f t="shared" si="221"/>
        <v>2022-09</v>
      </c>
      <c r="M2324">
        <f t="shared" si="219"/>
        <v>36.920000000000016</v>
      </c>
    </row>
    <row r="2325" spans="1:13" x14ac:dyDescent="0.25">
      <c r="A2325" s="1">
        <v>44974</v>
      </c>
      <c r="B2325" t="s">
        <v>10</v>
      </c>
      <c r="C2325" t="s">
        <v>11</v>
      </c>
      <c r="D2325" t="s">
        <v>9</v>
      </c>
      <c r="E2325">
        <v>914.36</v>
      </c>
      <c r="F2325">
        <v>811.55</v>
      </c>
      <c r="G2325">
        <v>1</v>
      </c>
      <c r="H2325">
        <f t="shared" si="216"/>
        <v>914.36</v>
      </c>
      <c r="I2325">
        <f t="shared" si="220"/>
        <v>811.55</v>
      </c>
      <c r="J2325">
        <f t="shared" si="217"/>
        <v>102.81000000000006</v>
      </c>
      <c r="K2325" s="8">
        <f t="shared" si="218"/>
        <v>0.11243930180672827</v>
      </c>
      <c r="L2325" t="str">
        <f t="shared" si="221"/>
        <v>2023-02</v>
      </c>
      <c r="M2325">
        <f t="shared" si="219"/>
        <v>102.81000000000006</v>
      </c>
    </row>
    <row r="2326" spans="1:13" x14ac:dyDescent="0.25">
      <c r="A2326" s="1">
        <v>44923</v>
      </c>
      <c r="B2326" t="s">
        <v>21</v>
      </c>
      <c r="C2326" t="s">
        <v>20</v>
      </c>
      <c r="D2326" t="s">
        <v>9</v>
      </c>
      <c r="E2326">
        <v>1007.2</v>
      </c>
      <c r="F2326">
        <v>685.63</v>
      </c>
      <c r="G2326">
        <v>10</v>
      </c>
      <c r="H2326">
        <f t="shared" si="216"/>
        <v>10072</v>
      </c>
      <c r="I2326">
        <f t="shared" si="220"/>
        <v>6856.3</v>
      </c>
      <c r="J2326">
        <f t="shared" si="217"/>
        <v>3215.7</v>
      </c>
      <c r="K2326" s="8">
        <f t="shared" si="218"/>
        <v>0.31927124702144555</v>
      </c>
      <c r="L2326" t="str">
        <f t="shared" si="221"/>
        <v>2022-12</v>
      </c>
      <c r="M2326">
        <f t="shared" si="219"/>
        <v>3215.7</v>
      </c>
    </row>
    <row r="2327" spans="1:13" x14ac:dyDescent="0.25">
      <c r="A2327" s="1">
        <v>45623</v>
      </c>
      <c r="B2327" t="s">
        <v>25</v>
      </c>
      <c r="C2327" t="s">
        <v>15</v>
      </c>
      <c r="D2327" t="s">
        <v>9</v>
      </c>
      <c r="E2327">
        <v>1158.1600000000001</v>
      </c>
      <c r="F2327">
        <v>639.17999999999995</v>
      </c>
      <c r="G2327">
        <v>6</v>
      </c>
      <c r="H2327">
        <f t="shared" si="216"/>
        <v>6948.9600000000009</v>
      </c>
      <c r="I2327">
        <f t="shared" si="220"/>
        <v>3835.08</v>
      </c>
      <c r="J2327">
        <f t="shared" si="217"/>
        <v>3113.880000000001</v>
      </c>
      <c r="K2327" s="8">
        <f t="shared" si="218"/>
        <v>0.44810734268149488</v>
      </c>
      <c r="L2327" t="str">
        <f t="shared" si="221"/>
        <v>2024-11</v>
      </c>
      <c r="M2327">
        <f t="shared" si="219"/>
        <v>3113.880000000001</v>
      </c>
    </row>
    <row r="2328" spans="1:13" x14ac:dyDescent="0.25">
      <c r="A2328" s="1">
        <v>44930</v>
      </c>
      <c r="B2328" t="s">
        <v>23</v>
      </c>
      <c r="C2328" t="s">
        <v>11</v>
      </c>
      <c r="D2328" t="s">
        <v>13</v>
      </c>
      <c r="E2328">
        <v>988.51</v>
      </c>
      <c r="F2328">
        <v>671.89</v>
      </c>
      <c r="G2328">
        <v>7</v>
      </c>
      <c r="H2328">
        <f t="shared" si="216"/>
        <v>6919.57</v>
      </c>
      <c r="I2328">
        <f t="shared" si="220"/>
        <v>4703.2299999999996</v>
      </c>
      <c r="J2328">
        <f t="shared" si="217"/>
        <v>2216.34</v>
      </c>
      <c r="K2328" s="8">
        <f t="shared" si="218"/>
        <v>0.32030024987101802</v>
      </c>
      <c r="L2328" t="str">
        <f t="shared" si="221"/>
        <v>2023-01</v>
      </c>
      <c r="M2328">
        <f t="shared" si="219"/>
        <v>2216.34</v>
      </c>
    </row>
    <row r="2329" spans="1:13" x14ac:dyDescent="0.25">
      <c r="A2329" s="1">
        <v>45468</v>
      </c>
      <c r="B2329" t="s">
        <v>12</v>
      </c>
      <c r="C2329" t="s">
        <v>8</v>
      </c>
      <c r="D2329" t="s">
        <v>18</v>
      </c>
      <c r="E2329">
        <v>256.89999999999998</v>
      </c>
      <c r="F2329">
        <v>208.59</v>
      </c>
      <c r="G2329">
        <v>10</v>
      </c>
      <c r="H2329">
        <f t="shared" si="216"/>
        <v>2569</v>
      </c>
      <c r="I2329">
        <f t="shared" si="220"/>
        <v>2085.9</v>
      </c>
      <c r="J2329">
        <f t="shared" si="217"/>
        <v>483.09999999999991</v>
      </c>
      <c r="K2329" s="8">
        <f t="shared" si="218"/>
        <v>0.18804982483456595</v>
      </c>
      <c r="L2329" t="str">
        <f t="shared" si="221"/>
        <v>2024-06</v>
      </c>
      <c r="M2329">
        <f t="shared" si="219"/>
        <v>483.09999999999991</v>
      </c>
    </row>
    <row r="2330" spans="1:13" x14ac:dyDescent="0.25">
      <c r="A2330" s="1">
        <v>44963</v>
      </c>
      <c r="B2330" t="s">
        <v>19</v>
      </c>
      <c r="C2330" t="s">
        <v>20</v>
      </c>
      <c r="D2330" t="s">
        <v>13</v>
      </c>
      <c r="E2330">
        <v>975.55</v>
      </c>
      <c r="F2330">
        <v>674.36</v>
      </c>
      <c r="G2330">
        <v>3</v>
      </c>
      <c r="H2330">
        <f t="shared" si="216"/>
        <v>2926.6499999999996</v>
      </c>
      <c r="I2330">
        <f t="shared" si="220"/>
        <v>2023.08</v>
      </c>
      <c r="J2330">
        <f t="shared" si="217"/>
        <v>903.56999999999971</v>
      </c>
      <c r="K2330" s="8">
        <f t="shared" si="218"/>
        <v>0.30873866024293983</v>
      </c>
      <c r="L2330" t="str">
        <f t="shared" si="221"/>
        <v>2023-02</v>
      </c>
      <c r="M2330">
        <f t="shared" si="219"/>
        <v>903.56999999999971</v>
      </c>
    </row>
    <row r="2331" spans="1:13" x14ac:dyDescent="0.25">
      <c r="A2331" s="1">
        <v>44844</v>
      </c>
      <c r="B2331" t="s">
        <v>25</v>
      </c>
      <c r="C2331" t="s">
        <v>15</v>
      </c>
      <c r="D2331" t="s">
        <v>13</v>
      </c>
      <c r="E2331">
        <v>657.68</v>
      </c>
      <c r="F2331">
        <v>499.99</v>
      </c>
      <c r="G2331">
        <v>6</v>
      </c>
      <c r="H2331">
        <f t="shared" si="216"/>
        <v>3946.08</v>
      </c>
      <c r="I2331">
        <f t="shared" si="220"/>
        <v>2999.94</v>
      </c>
      <c r="J2331">
        <f t="shared" si="217"/>
        <v>946.13999999999987</v>
      </c>
      <c r="K2331" s="8">
        <f t="shared" si="218"/>
        <v>0.23976705996837364</v>
      </c>
      <c r="L2331" t="str">
        <f t="shared" si="221"/>
        <v>2022-10</v>
      </c>
      <c r="M2331">
        <f t="shared" si="219"/>
        <v>946.13999999999987</v>
      </c>
    </row>
    <row r="2332" spans="1:13" x14ac:dyDescent="0.25">
      <c r="A2332" s="1">
        <v>45172</v>
      </c>
      <c r="B2332" t="s">
        <v>25</v>
      </c>
      <c r="C2332" t="s">
        <v>15</v>
      </c>
      <c r="D2332" t="s">
        <v>17</v>
      </c>
      <c r="E2332">
        <v>794.98</v>
      </c>
      <c r="F2332">
        <v>412.43</v>
      </c>
      <c r="G2332">
        <v>9</v>
      </c>
      <c r="H2332">
        <f t="shared" si="216"/>
        <v>7154.82</v>
      </c>
      <c r="I2332">
        <f t="shared" si="220"/>
        <v>3711.87</v>
      </c>
      <c r="J2332">
        <f t="shared" si="217"/>
        <v>3442.95</v>
      </c>
      <c r="K2332" s="8">
        <f t="shared" si="218"/>
        <v>0.4812070743918086</v>
      </c>
      <c r="L2332" t="str">
        <f t="shared" si="221"/>
        <v>2023-09</v>
      </c>
      <c r="M2332">
        <f t="shared" si="219"/>
        <v>3442.95</v>
      </c>
    </row>
    <row r="2333" spans="1:13" x14ac:dyDescent="0.25">
      <c r="A2333" s="1">
        <v>44902</v>
      </c>
      <c r="B2333" t="s">
        <v>16</v>
      </c>
      <c r="C2333" t="s">
        <v>15</v>
      </c>
      <c r="D2333" t="s">
        <v>13</v>
      </c>
      <c r="E2333">
        <v>805.23</v>
      </c>
      <c r="F2333">
        <v>660.67</v>
      </c>
      <c r="G2333">
        <v>1</v>
      </c>
      <c r="H2333">
        <f t="shared" si="216"/>
        <v>805.23</v>
      </c>
      <c r="I2333">
        <f t="shared" si="220"/>
        <v>660.67</v>
      </c>
      <c r="J2333">
        <f t="shared" si="217"/>
        <v>144.56000000000006</v>
      </c>
      <c r="K2333" s="8">
        <f t="shared" si="218"/>
        <v>0.17952634650969296</v>
      </c>
      <c r="L2333" t="str">
        <f t="shared" si="221"/>
        <v>2022-12</v>
      </c>
      <c r="M2333">
        <f t="shared" si="219"/>
        <v>144.56000000000006</v>
      </c>
    </row>
    <row r="2334" spans="1:13" x14ac:dyDescent="0.25">
      <c r="A2334" s="1">
        <v>45430</v>
      </c>
      <c r="B2334" t="s">
        <v>7</v>
      </c>
      <c r="C2334" t="s">
        <v>8</v>
      </c>
      <c r="D2334" t="s">
        <v>13</v>
      </c>
      <c r="E2334">
        <v>1631.42</v>
      </c>
      <c r="F2334">
        <v>1432.28</v>
      </c>
      <c r="G2334">
        <v>8</v>
      </c>
      <c r="H2334">
        <f t="shared" si="216"/>
        <v>13051.36</v>
      </c>
      <c r="I2334">
        <f t="shared" si="220"/>
        <v>11458.24</v>
      </c>
      <c r="J2334">
        <f t="shared" si="217"/>
        <v>1593.1200000000008</v>
      </c>
      <c r="K2334" s="8">
        <f t="shared" si="218"/>
        <v>0.12206543992350229</v>
      </c>
      <c r="L2334" t="str">
        <f t="shared" si="221"/>
        <v>2024-05</v>
      </c>
      <c r="M2334">
        <f t="shared" si="219"/>
        <v>1593.1200000000008</v>
      </c>
    </row>
    <row r="2335" spans="1:13" x14ac:dyDescent="0.25">
      <c r="A2335" s="1">
        <v>44613</v>
      </c>
      <c r="B2335" t="s">
        <v>25</v>
      </c>
      <c r="C2335" t="s">
        <v>15</v>
      </c>
      <c r="D2335" t="s">
        <v>17</v>
      </c>
      <c r="E2335">
        <v>877.95</v>
      </c>
      <c r="F2335">
        <v>586.74</v>
      </c>
      <c r="G2335">
        <v>7</v>
      </c>
      <c r="H2335">
        <f t="shared" si="216"/>
        <v>6145.6500000000005</v>
      </c>
      <c r="I2335">
        <f t="shared" si="220"/>
        <v>4107.18</v>
      </c>
      <c r="J2335">
        <f t="shared" si="217"/>
        <v>2038.4700000000003</v>
      </c>
      <c r="K2335" s="8">
        <f t="shared" si="218"/>
        <v>0.33169314881257478</v>
      </c>
      <c r="L2335" t="str">
        <f t="shared" si="221"/>
        <v>2022-02</v>
      </c>
      <c r="M2335">
        <f t="shared" si="219"/>
        <v>2038.4700000000003</v>
      </c>
    </row>
    <row r="2336" spans="1:13" x14ac:dyDescent="0.25">
      <c r="A2336" s="1">
        <v>44708</v>
      </c>
      <c r="B2336" t="s">
        <v>12</v>
      </c>
      <c r="C2336" t="s">
        <v>8</v>
      </c>
      <c r="D2336" t="s">
        <v>18</v>
      </c>
      <c r="E2336">
        <v>1792.05</v>
      </c>
      <c r="F2336">
        <v>1393.46</v>
      </c>
      <c r="G2336">
        <v>7</v>
      </c>
      <c r="H2336">
        <f t="shared" si="216"/>
        <v>12544.35</v>
      </c>
      <c r="I2336">
        <f t="shared" si="220"/>
        <v>9754.2200000000012</v>
      </c>
      <c r="J2336">
        <f t="shared" si="217"/>
        <v>2790.1299999999992</v>
      </c>
      <c r="K2336" s="8">
        <f t="shared" si="218"/>
        <v>0.22242124940710353</v>
      </c>
      <c r="L2336" t="str">
        <f t="shared" si="221"/>
        <v>2022-05</v>
      </c>
      <c r="M2336">
        <f t="shared" si="219"/>
        <v>2790.1299999999992</v>
      </c>
    </row>
    <row r="2337" spans="1:13" x14ac:dyDescent="0.25">
      <c r="A2337" s="1">
        <v>44745</v>
      </c>
      <c r="B2337" t="s">
        <v>22</v>
      </c>
      <c r="C2337" t="s">
        <v>8</v>
      </c>
      <c r="D2337" t="s">
        <v>9</v>
      </c>
      <c r="E2337">
        <v>1617.2</v>
      </c>
      <c r="F2337">
        <v>1090.24</v>
      </c>
      <c r="G2337">
        <v>8</v>
      </c>
      <c r="H2337">
        <f t="shared" si="216"/>
        <v>12937.6</v>
      </c>
      <c r="I2337">
        <f t="shared" si="220"/>
        <v>8721.92</v>
      </c>
      <c r="J2337">
        <f t="shared" si="217"/>
        <v>4215.68</v>
      </c>
      <c r="K2337" s="8">
        <f t="shared" si="218"/>
        <v>0.3258471432104873</v>
      </c>
      <c r="L2337" t="str">
        <f t="shared" si="221"/>
        <v>2022-07</v>
      </c>
      <c r="M2337">
        <f t="shared" si="219"/>
        <v>4215.68</v>
      </c>
    </row>
    <row r="2338" spans="1:13" x14ac:dyDescent="0.25">
      <c r="A2338" s="1">
        <v>45053</v>
      </c>
      <c r="B2338" t="s">
        <v>23</v>
      </c>
      <c r="C2338" t="s">
        <v>11</v>
      </c>
      <c r="D2338" t="s">
        <v>18</v>
      </c>
      <c r="E2338">
        <v>826.76</v>
      </c>
      <c r="F2338">
        <v>508.66</v>
      </c>
      <c r="G2338">
        <v>1</v>
      </c>
      <c r="H2338">
        <f t="shared" si="216"/>
        <v>826.76</v>
      </c>
      <c r="I2338">
        <f t="shared" si="220"/>
        <v>508.66</v>
      </c>
      <c r="J2338">
        <f t="shared" si="217"/>
        <v>318.09999999999997</v>
      </c>
      <c r="K2338" s="8">
        <f t="shared" si="218"/>
        <v>0.38475494702211038</v>
      </c>
      <c r="L2338" t="str">
        <f t="shared" si="221"/>
        <v>2023-05</v>
      </c>
      <c r="M2338">
        <f t="shared" si="219"/>
        <v>318.09999999999997</v>
      </c>
    </row>
    <row r="2339" spans="1:13" x14ac:dyDescent="0.25">
      <c r="A2339" s="1">
        <v>44924</v>
      </c>
      <c r="B2339" t="s">
        <v>23</v>
      </c>
      <c r="C2339" t="s">
        <v>11</v>
      </c>
      <c r="D2339" t="s">
        <v>18</v>
      </c>
      <c r="E2339">
        <v>1183.1099999999999</v>
      </c>
      <c r="F2339">
        <v>797.44</v>
      </c>
      <c r="G2339">
        <v>5</v>
      </c>
      <c r="H2339">
        <f t="shared" si="216"/>
        <v>5915.5499999999993</v>
      </c>
      <c r="I2339">
        <f t="shared" si="220"/>
        <v>3987.2000000000003</v>
      </c>
      <c r="J2339">
        <f t="shared" si="217"/>
        <v>1928.349999999999</v>
      </c>
      <c r="K2339" s="8">
        <f t="shared" si="218"/>
        <v>0.32597983281351678</v>
      </c>
      <c r="L2339" t="str">
        <f t="shared" si="221"/>
        <v>2022-12</v>
      </c>
      <c r="M2339">
        <f t="shared" si="219"/>
        <v>1928.349999999999</v>
      </c>
    </row>
    <row r="2340" spans="1:13" x14ac:dyDescent="0.25">
      <c r="A2340" s="1">
        <v>44807</v>
      </c>
      <c r="B2340" t="s">
        <v>25</v>
      </c>
      <c r="C2340" t="s">
        <v>15</v>
      </c>
      <c r="D2340" t="s">
        <v>17</v>
      </c>
      <c r="E2340">
        <v>329.97</v>
      </c>
      <c r="F2340">
        <v>292.08999999999997</v>
      </c>
      <c r="G2340">
        <v>3</v>
      </c>
      <c r="H2340">
        <f t="shared" si="216"/>
        <v>989.91000000000008</v>
      </c>
      <c r="I2340">
        <f t="shared" si="220"/>
        <v>876.27</v>
      </c>
      <c r="J2340">
        <f t="shared" si="217"/>
        <v>113.6400000000001</v>
      </c>
      <c r="K2340" s="8">
        <f t="shared" si="218"/>
        <v>0.11479831499833328</v>
      </c>
      <c r="L2340" t="str">
        <f t="shared" si="221"/>
        <v>2022-09</v>
      </c>
      <c r="M2340">
        <f t="shared" si="219"/>
        <v>113.6400000000001</v>
      </c>
    </row>
    <row r="2341" spans="1:13" x14ac:dyDescent="0.25">
      <c r="A2341" s="1">
        <v>44587</v>
      </c>
      <c r="B2341" t="s">
        <v>12</v>
      </c>
      <c r="C2341" t="s">
        <v>8</v>
      </c>
      <c r="D2341" t="s">
        <v>13</v>
      </c>
      <c r="E2341">
        <v>1339.94</v>
      </c>
      <c r="F2341">
        <v>877.57</v>
      </c>
      <c r="G2341">
        <v>1</v>
      </c>
      <c r="H2341">
        <f t="shared" si="216"/>
        <v>1339.94</v>
      </c>
      <c r="I2341">
        <f t="shared" si="220"/>
        <v>877.57</v>
      </c>
      <c r="J2341">
        <f t="shared" si="217"/>
        <v>462.37</v>
      </c>
      <c r="K2341" s="8">
        <f t="shared" si="218"/>
        <v>0.34506768959804168</v>
      </c>
      <c r="L2341" t="str">
        <f t="shared" si="221"/>
        <v>2022-01</v>
      </c>
      <c r="M2341">
        <f t="shared" si="219"/>
        <v>462.37</v>
      </c>
    </row>
    <row r="2342" spans="1:13" x14ac:dyDescent="0.25">
      <c r="A2342" s="1">
        <v>45525</v>
      </c>
      <c r="B2342" t="s">
        <v>25</v>
      </c>
      <c r="C2342" t="s">
        <v>15</v>
      </c>
      <c r="D2342" t="s">
        <v>18</v>
      </c>
      <c r="E2342">
        <v>1471.29</v>
      </c>
      <c r="F2342">
        <v>801.46</v>
      </c>
      <c r="G2342">
        <v>3</v>
      </c>
      <c r="H2342">
        <f t="shared" si="216"/>
        <v>4413.87</v>
      </c>
      <c r="I2342">
        <f t="shared" si="220"/>
        <v>2404.38</v>
      </c>
      <c r="J2342">
        <f t="shared" si="217"/>
        <v>2009.4899999999998</v>
      </c>
      <c r="K2342" s="8">
        <f t="shared" si="218"/>
        <v>0.45526714651768174</v>
      </c>
      <c r="L2342" t="str">
        <f t="shared" si="221"/>
        <v>2024-08</v>
      </c>
      <c r="M2342">
        <f t="shared" si="219"/>
        <v>2009.4899999999998</v>
      </c>
    </row>
    <row r="2343" spans="1:13" x14ac:dyDescent="0.25">
      <c r="A2343" s="1">
        <v>44645</v>
      </c>
      <c r="B2343" t="s">
        <v>16</v>
      </c>
      <c r="C2343" t="s">
        <v>15</v>
      </c>
      <c r="D2343" t="s">
        <v>18</v>
      </c>
      <c r="E2343">
        <v>1072.67</v>
      </c>
      <c r="F2343">
        <v>925.89</v>
      </c>
      <c r="G2343">
        <v>9</v>
      </c>
      <c r="H2343">
        <f t="shared" si="216"/>
        <v>9654.0300000000007</v>
      </c>
      <c r="I2343">
        <f t="shared" si="220"/>
        <v>8333.01</v>
      </c>
      <c r="J2343">
        <f t="shared" si="217"/>
        <v>1321.0200000000004</v>
      </c>
      <c r="K2343" s="8">
        <f t="shared" si="218"/>
        <v>0.13683611921653449</v>
      </c>
      <c r="L2343" t="str">
        <f t="shared" si="221"/>
        <v>2022-03</v>
      </c>
      <c r="M2343">
        <f t="shared" si="219"/>
        <v>1321.0200000000004</v>
      </c>
    </row>
    <row r="2344" spans="1:13" x14ac:dyDescent="0.25">
      <c r="A2344" s="1">
        <v>44612</v>
      </c>
      <c r="B2344" t="s">
        <v>25</v>
      </c>
      <c r="C2344" t="s">
        <v>15</v>
      </c>
      <c r="D2344" t="s">
        <v>17</v>
      </c>
      <c r="E2344">
        <v>694.51</v>
      </c>
      <c r="F2344">
        <v>622.21</v>
      </c>
      <c r="G2344">
        <v>5</v>
      </c>
      <c r="H2344">
        <f t="shared" si="216"/>
        <v>3472.55</v>
      </c>
      <c r="I2344">
        <f t="shared" si="220"/>
        <v>3111.05</v>
      </c>
      <c r="J2344">
        <f t="shared" si="217"/>
        <v>361.5</v>
      </c>
      <c r="K2344" s="8">
        <f t="shared" si="218"/>
        <v>0.10410217275489193</v>
      </c>
      <c r="L2344" t="str">
        <f t="shared" si="221"/>
        <v>2022-02</v>
      </c>
      <c r="M2344">
        <f t="shared" si="219"/>
        <v>361.5</v>
      </c>
    </row>
    <row r="2345" spans="1:13" x14ac:dyDescent="0.25">
      <c r="A2345" s="1">
        <v>44990</v>
      </c>
      <c r="B2345" t="s">
        <v>16</v>
      </c>
      <c r="C2345" t="s">
        <v>15</v>
      </c>
      <c r="D2345" t="s">
        <v>9</v>
      </c>
      <c r="E2345">
        <v>1167.1500000000001</v>
      </c>
      <c r="F2345">
        <v>984.84</v>
      </c>
      <c r="G2345">
        <v>1</v>
      </c>
      <c r="H2345">
        <f t="shared" si="216"/>
        <v>1167.1500000000001</v>
      </c>
      <c r="I2345">
        <f t="shared" si="220"/>
        <v>984.84</v>
      </c>
      <c r="J2345">
        <f t="shared" si="217"/>
        <v>182.31000000000006</v>
      </c>
      <c r="K2345" s="8">
        <f t="shared" si="218"/>
        <v>0.15620100244184557</v>
      </c>
      <c r="L2345" t="str">
        <f t="shared" si="221"/>
        <v>2023-03</v>
      </c>
      <c r="M2345">
        <f t="shared" si="219"/>
        <v>182.31000000000006</v>
      </c>
    </row>
    <row r="2346" spans="1:13" x14ac:dyDescent="0.25">
      <c r="A2346" s="1">
        <v>45312</v>
      </c>
      <c r="B2346" t="s">
        <v>23</v>
      </c>
      <c r="C2346" t="s">
        <v>11</v>
      </c>
      <c r="D2346" t="s">
        <v>17</v>
      </c>
      <c r="E2346">
        <v>532.76</v>
      </c>
      <c r="F2346">
        <v>323.48</v>
      </c>
      <c r="G2346">
        <v>10</v>
      </c>
      <c r="H2346">
        <f t="shared" si="216"/>
        <v>5327.6</v>
      </c>
      <c r="I2346">
        <f t="shared" si="220"/>
        <v>3234.8</v>
      </c>
      <c r="J2346">
        <f t="shared" si="217"/>
        <v>2092.8000000000002</v>
      </c>
      <c r="K2346" s="8">
        <f t="shared" si="218"/>
        <v>0.39282228395525193</v>
      </c>
      <c r="L2346" t="str">
        <f t="shared" si="221"/>
        <v>2024-01</v>
      </c>
      <c r="M2346">
        <f t="shared" si="219"/>
        <v>2092.8000000000002</v>
      </c>
    </row>
    <row r="2347" spans="1:13" x14ac:dyDescent="0.25">
      <c r="A2347" s="1">
        <v>44623</v>
      </c>
      <c r="B2347" t="s">
        <v>19</v>
      </c>
      <c r="C2347" t="s">
        <v>20</v>
      </c>
      <c r="D2347" t="s">
        <v>9</v>
      </c>
      <c r="E2347">
        <v>615.05999999999995</v>
      </c>
      <c r="F2347">
        <v>365.04</v>
      </c>
      <c r="G2347">
        <v>7</v>
      </c>
      <c r="H2347">
        <f t="shared" si="216"/>
        <v>4305.42</v>
      </c>
      <c r="I2347">
        <f t="shared" si="220"/>
        <v>2555.2800000000002</v>
      </c>
      <c r="J2347">
        <f t="shared" si="217"/>
        <v>1750.1399999999999</v>
      </c>
      <c r="K2347" s="8">
        <f t="shared" si="218"/>
        <v>0.40649692712906055</v>
      </c>
      <c r="L2347" t="str">
        <f t="shared" si="221"/>
        <v>2022-03</v>
      </c>
      <c r="M2347">
        <f t="shared" si="219"/>
        <v>1750.1399999999999</v>
      </c>
    </row>
    <row r="2348" spans="1:13" x14ac:dyDescent="0.25">
      <c r="A2348" s="1">
        <v>45343</v>
      </c>
      <c r="B2348" t="s">
        <v>21</v>
      </c>
      <c r="C2348" t="s">
        <v>20</v>
      </c>
      <c r="D2348" t="s">
        <v>18</v>
      </c>
      <c r="E2348">
        <v>1937.08</v>
      </c>
      <c r="F2348">
        <v>1197.22</v>
      </c>
      <c r="G2348">
        <v>3</v>
      </c>
      <c r="H2348">
        <f t="shared" si="216"/>
        <v>5811.24</v>
      </c>
      <c r="I2348">
        <f t="shared" si="220"/>
        <v>3591.66</v>
      </c>
      <c r="J2348">
        <f t="shared" si="217"/>
        <v>2219.58</v>
      </c>
      <c r="K2348" s="8">
        <f t="shared" si="218"/>
        <v>0.38194602184731657</v>
      </c>
      <c r="L2348" t="str">
        <f t="shared" si="221"/>
        <v>2024-02</v>
      </c>
      <c r="M2348">
        <f t="shared" si="219"/>
        <v>2219.58</v>
      </c>
    </row>
    <row r="2349" spans="1:13" x14ac:dyDescent="0.25">
      <c r="A2349" s="1">
        <v>44751</v>
      </c>
      <c r="B2349" t="s">
        <v>16</v>
      </c>
      <c r="C2349" t="s">
        <v>15</v>
      </c>
      <c r="D2349" t="s">
        <v>18</v>
      </c>
      <c r="E2349">
        <v>1355.75</v>
      </c>
      <c r="F2349">
        <v>834.71</v>
      </c>
      <c r="G2349">
        <v>9</v>
      </c>
      <c r="H2349">
        <f t="shared" si="216"/>
        <v>12201.75</v>
      </c>
      <c r="I2349">
        <f t="shared" si="220"/>
        <v>7512.39</v>
      </c>
      <c r="J2349">
        <f t="shared" si="217"/>
        <v>4689.3599999999997</v>
      </c>
      <c r="K2349" s="8">
        <f t="shared" si="218"/>
        <v>0.38431864281762862</v>
      </c>
      <c r="L2349" t="str">
        <f t="shared" si="221"/>
        <v>2022-07</v>
      </c>
      <c r="M2349">
        <f t="shared" si="219"/>
        <v>4689.3599999999997</v>
      </c>
    </row>
    <row r="2350" spans="1:13" x14ac:dyDescent="0.25">
      <c r="A2350" s="1">
        <v>45362</v>
      </c>
      <c r="B2350" t="s">
        <v>22</v>
      </c>
      <c r="C2350" t="s">
        <v>8</v>
      </c>
      <c r="D2350" t="s">
        <v>13</v>
      </c>
      <c r="E2350">
        <v>1379.82</v>
      </c>
      <c r="F2350">
        <v>920.92</v>
      </c>
      <c r="G2350">
        <v>6</v>
      </c>
      <c r="H2350">
        <f t="shared" si="216"/>
        <v>8278.92</v>
      </c>
      <c r="I2350">
        <f t="shared" si="220"/>
        <v>5525.5199999999995</v>
      </c>
      <c r="J2350">
        <f t="shared" si="217"/>
        <v>2753.4000000000005</v>
      </c>
      <c r="K2350" s="8">
        <f t="shared" si="218"/>
        <v>0.3325796118334276</v>
      </c>
      <c r="L2350" t="str">
        <f t="shared" si="221"/>
        <v>2024-03</v>
      </c>
      <c r="M2350">
        <f t="shared" si="219"/>
        <v>2753.4000000000005</v>
      </c>
    </row>
    <row r="2351" spans="1:13" x14ac:dyDescent="0.25">
      <c r="A2351" s="1">
        <v>44817</v>
      </c>
      <c r="B2351" t="s">
        <v>21</v>
      </c>
      <c r="C2351" t="s">
        <v>20</v>
      </c>
      <c r="D2351" t="s">
        <v>17</v>
      </c>
      <c r="E2351">
        <v>191.3</v>
      </c>
      <c r="F2351">
        <v>127.5</v>
      </c>
      <c r="G2351">
        <v>10</v>
      </c>
      <c r="H2351">
        <f t="shared" si="216"/>
        <v>1913</v>
      </c>
      <c r="I2351">
        <f t="shared" si="220"/>
        <v>1275</v>
      </c>
      <c r="J2351">
        <f t="shared" si="217"/>
        <v>638</v>
      </c>
      <c r="K2351" s="8">
        <f t="shared" si="218"/>
        <v>0.33350757971772088</v>
      </c>
      <c r="L2351" t="str">
        <f t="shared" si="221"/>
        <v>2022-09</v>
      </c>
      <c r="M2351">
        <f t="shared" si="219"/>
        <v>638</v>
      </c>
    </row>
    <row r="2352" spans="1:13" x14ac:dyDescent="0.25">
      <c r="A2352" s="1">
        <v>44963</v>
      </c>
      <c r="B2352" t="s">
        <v>16</v>
      </c>
      <c r="C2352" t="s">
        <v>15</v>
      </c>
      <c r="D2352" t="s">
        <v>13</v>
      </c>
      <c r="E2352">
        <v>111.34</v>
      </c>
      <c r="F2352">
        <v>56.73</v>
      </c>
      <c r="G2352">
        <v>7</v>
      </c>
      <c r="H2352">
        <f t="shared" si="216"/>
        <v>779.38</v>
      </c>
      <c r="I2352">
        <f t="shared" si="220"/>
        <v>397.10999999999996</v>
      </c>
      <c r="J2352">
        <f t="shared" si="217"/>
        <v>382.27000000000004</v>
      </c>
      <c r="K2352" s="8">
        <f t="shared" si="218"/>
        <v>0.49047961199928153</v>
      </c>
      <c r="L2352" t="str">
        <f t="shared" si="221"/>
        <v>2023-02</v>
      </c>
      <c r="M2352">
        <f t="shared" si="219"/>
        <v>382.27000000000004</v>
      </c>
    </row>
    <row r="2353" spans="1:13" x14ac:dyDescent="0.25">
      <c r="A2353" s="1">
        <v>44916</v>
      </c>
      <c r="B2353" t="s">
        <v>14</v>
      </c>
      <c r="C2353" t="s">
        <v>15</v>
      </c>
      <c r="D2353" t="s">
        <v>17</v>
      </c>
      <c r="E2353">
        <v>669.79</v>
      </c>
      <c r="F2353">
        <v>433.88</v>
      </c>
      <c r="G2353">
        <v>5</v>
      </c>
      <c r="H2353">
        <f t="shared" si="216"/>
        <v>3348.95</v>
      </c>
      <c r="I2353">
        <f t="shared" si="220"/>
        <v>2169.4</v>
      </c>
      <c r="J2353">
        <f t="shared" si="217"/>
        <v>1179.5499999999997</v>
      </c>
      <c r="K2353" s="8">
        <f t="shared" si="218"/>
        <v>0.35221487331850276</v>
      </c>
      <c r="L2353" t="str">
        <f t="shared" si="221"/>
        <v>2022-12</v>
      </c>
      <c r="M2353">
        <f t="shared" si="219"/>
        <v>1179.5499999999997</v>
      </c>
    </row>
    <row r="2354" spans="1:13" x14ac:dyDescent="0.25">
      <c r="A2354" s="1">
        <v>44612</v>
      </c>
      <c r="B2354" t="s">
        <v>14</v>
      </c>
      <c r="C2354" t="s">
        <v>15</v>
      </c>
      <c r="D2354" t="s">
        <v>18</v>
      </c>
      <c r="E2354">
        <v>1110.3</v>
      </c>
      <c r="F2354">
        <v>675.52</v>
      </c>
      <c r="G2354">
        <v>9</v>
      </c>
      <c r="H2354">
        <f t="shared" si="216"/>
        <v>9992.6999999999989</v>
      </c>
      <c r="I2354">
        <f t="shared" si="220"/>
        <v>6079.68</v>
      </c>
      <c r="J2354">
        <f t="shared" si="217"/>
        <v>3913.0199999999986</v>
      </c>
      <c r="K2354" s="8">
        <f t="shared" si="218"/>
        <v>0.39158785913717004</v>
      </c>
      <c r="L2354" t="str">
        <f t="shared" si="221"/>
        <v>2022-02</v>
      </c>
      <c r="M2354">
        <f t="shared" si="219"/>
        <v>3913.0199999999986</v>
      </c>
    </row>
    <row r="2355" spans="1:13" x14ac:dyDescent="0.25">
      <c r="A2355" s="1">
        <v>44788</v>
      </c>
      <c r="B2355" t="s">
        <v>16</v>
      </c>
      <c r="C2355" t="s">
        <v>15</v>
      </c>
      <c r="D2355" t="s">
        <v>17</v>
      </c>
      <c r="E2355">
        <v>443.55</v>
      </c>
      <c r="F2355">
        <v>348.95</v>
      </c>
      <c r="G2355">
        <v>8</v>
      </c>
      <c r="H2355">
        <f t="shared" si="216"/>
        <v>3548.4</v>
      </c>
      <c r="I2355">
        <f t="shared" si="220"/>
        <v>2791.6</v>
      </c>
      <c r="J2355">
        <f t="shared" si="217"/>
        <v>756.80000000000018</v>
      </c>
      <c r="K2355" s="8">
        <f t="shared" si="218"/>
        <v>0.2132792244391839</v>
      </c>
      <c r="L2355" t="str">
        <f t="shared" si="221"/>
        <v>2022-08</v>
      </c>
      <c r="M2355">
        <f t="shared" si="219"/>
        <v>756.80000000000018</v>
      </c>
    </row>
    <row r="2356" spans="1:13" x14ac:dyDescent="0.25">
      <c r="A2356" s="1">
        <v>45003</v>
      </c>
      <c r="B2356" t="s">
        <v>25</v>
      </c>
      <c r="C2356" t="s">
        <v>15</v>
      </c>
      <c r="D2356" t="s">
        <v>13</v>
      </c>
      <c r="E2356">
        <v>1483.57</v>
      </c>
      <c r="F2356">
        <v>1218.05</v>
      </c>
      <c r="G2356">
        <v>2</v>
      </c>
      <c r="H2356">
        <f t="shared" si="216"/>
        <v>2967.14</v>
      </c>
      <c r="I2356">
        <f t="shared" si="220"/>
        <v>2436.1</v>
      </c>
      <c r="J2356">
        <f t="shared" si="217"/>
        <v>531.04</v>
      </c>
      <c r="K2356" s="8">
        <f t="shared" si="218"/>
        <v>0.17897369183793146</v>
      </c>
      <c r="L2356" t="str">
        <f t="shared" si="221"/>
        <v>2023-03</v>
      </c>
      <c r="M2356">
        <f t="shared" si="219"/>
        <v>531.04</v>
      </c>
    </row>
    <row r="2357" spans="1:13" x14ac:dyDescent="0.25">
      <c r="A2357" s="1">
        <v>44938</v>
      </c>
      <c r="B2357" t="s">
        <v>25</v>
      </c>
      <c r="C2357" t="s">
        <v>15</v>
      </c>
      <c r="D2357" t="s">
        <v>18</v>
      </c>
      <c r="E2357">
        <v>1186.42</v>
      </c>
      <c r="F2357">
        <v>942.35</v>
      </c>
      <c r="G2357">
        <v>10</v>
      </c>
      <c r="H2357">
        <f t="shared" si="216"/>
        <v>11864.2</v>
      </c>
      <c r="I2357">
        <f t="shared" si="220"/>
        <v>9423.5</v>
      </c>
      <c r="J2357">
        <f t="shared" si="217"/>
        <v>2440.7000000000007</v>
      </c>
      <c r="K2357" s="8">
        <f t="shared" si="218"/>
        <v>0.20571972825812113</v>
      </c>
      <c r="L2357" t="str">
        <f t="shared" si="221"/>
        <v>2023-01</v>
      </c>
      <c r="M2357">
        <f t="shared" si="219"/>
        <v>2440.7000000000007</v>
      </c>
    </row>
    <row r="2358" spans="1:13" x14ac:dyDescent="0.25">
      <c r="A2358" s="1">
        <v>45035</v>
      </c>
      <c r="B2358" t="s">
        <v>7</v>
      </c>
      <c r="C2358" t="s">
        <v>8</v>
      </c>
      <c r="D2358" t="s">
        <v>17</v>
      </c>
      <c r="E2358">
        <v>1809.68</v>
      </c>
      <c r="F2358">
        <v>1109.3</v>
      </c>
      <c r="G2358">
        <v>4</v>
      </c>
      <c r="H2358">
        <f t="shared" si="216"/>
        <v>7238.72</v>
      </c>
      <c r="I2358">
        <f t="shared" si="220"/>
        <v>4437.2</v>
      </c>
      <c r="J2358">
        <f t="shared" si="217"/>
        <v>2801.5200000000004</v>
      </c>
      <c r="K2358" s="8">
        <f t="shared" si="218"/>
        <v>0.38701869943857481</v>
      </c>
      <c r="L2358" t="str">
        <f t="shared" si="221"/>
        <v>2023-04</v>
      </c>
      <c r="M2358">
        <f t="shared" si="219"/>
        <v>2801.5200000000004</v>
      </c>
    </row>
    <row r="2359" spans="1:13" x14ac:dyDescent="0.25">
      <c r="A2359" s="1">
        <v>44877</v>
      </c>
      <c r="B2359" t="s">
        <v>23</v>
      </c>
      <c r="C2359" t="s">
        <v>11</v>
      </c>
      <c r="D2359" t="s">
        <v>13</v>
      </c>
      <c r="E2359">
        <v>1406.99</v>
      </c>
      <c r="F2359">
        <v>850.89</v>
      </c>
      <c r="G2359">
        <v>4</v>
      </c>
      <c r="H2359">
        <f t="shared" si="216"/>
        <v>5627.96</v>
      </c>
      <c r="I2359">
        <f t="shared" si="220"/>
        <v>3403.56</v>
      </c>
      <c r="J2359">
        <f t="shared" si="217"/>
        <v>2224.4</v>
      </c>
      <c r="K2359" s="8">
        <f t="shared" si="218"/>
        <v>0.39524090434189302</v>
      </c>
      <c r="L2359" t="str">
        <f t="shared" si="221"/>
        <v>2022-11</v>
      </c>
      <c r="M2359">
        <f t="shared" si="219"/>
        <v>2224.4</v>
      </c>
    </row>
    <row r="2360" spans="1:13" x14ac:dyDescent="0.25">
      <c r="A2360" s="1">
        <v>45017</v>
      </c>
      <c r="B2360" t="s">
        <v>22</v>
      </c>
      <c r="C2360" t="s">
        <v>8</v>
      </c>
      <c r="D2360" t="s">
        <v>13</v>
      </c>
      <c r="E2360">
        <v>938.48</v>
      </c>
      <c r="F2360">
        <v>647.33000000000004</v>
      </c>
      <c r="G2360">
        <v>5</v>
      </c>
      <c r="H2360">
        <f t="shared" si="216"/>
        <v>4692.3999999999996</v>
      </c>
      <c r="I2360">
        <f t="shared" si="220"/>
        <v>3236.65</v>
      </c>
      <c r="J2360">
        <f t="shared" si="217"/>
        <v>1455.7499999999995</v>
      </c>
      <c r="K2360" s="8">
        <f t="shared" si="218"/>
        <v>0.31023570028130587</v>
      </c>
      <c r="L2360" t="str">
        <f t="shared" si="221"/>
        <v>2023-04</v>
      </c>
      <c r="M2360">
        <f t="shared" si="219"/>
        <v>1455.7499999999995</v>
      </c>
    </row>
    <row r="2361" spans="1:13" x14ac:dyDescent="0.25">
      <c r="A2361" s="1">
        <v>44973</v>
      </c>
      <c r="B2361" t="s">
        <v>10</v>
      </c>
      <c r="C2361" t="s">
        <v>11</v>
      </c>
      <c r="D2361" t="s">
        <v>18</v>
      </c>
      <c r="E2361">
        <v>1685.95</v>
      </c>
      <c r="F2361">
        <v>1022.74</v>
      </c>
      <c r="G2361">
        <v>9</v>
      </c>
      <c r="H2361">
        <f t="shared" si="216"/>
        <v>15173.550000000001</v>
      </c>
      <c r="I2361">
        <f t="shared" si="220"/>
        <v>9204.66</v>
      </c>
      <c r="J2361">
        <f t="shared" si="217"/>
        <v>5968.8900000000012</v>
      </c>
      <c r="K2361" s="8">
        <f t="shared" si="218"/>
        <v>0.39337465523888615</v>
      </c>
      <c r="L2361" t="str">
        <f t="shared" si="221"/>
        <v>2023-02</v>
      </c>
      <c r="M2361">
        <f t="shared" si="219"/>
        <v>5968.8900000000012</v>
      </c>
    </row>
    <row r="2362" spans="1:13" x14ac:dyDescent="0.25">
      <c r="A2362" s="1">
        <v>45593</v>
      </c>
      <c r="B2362" t="s">
        <v>10</v>
      </c>
      <c r="C2362" t="s">
        <v>11</v>
      </c>
      <c r="D2362" t="s">
        <v>18</v>
      </c>
      <c r="E2362">
        <v>77.45</v>
      </c>
      <c r="F2362">
        <v>54.6</v>
      </c>
      <c r="G2362">
        <v>6</v>
      </c>
      <c r="H2362">
        <f t="shared" si="216"/>
        <v>464.70000000000005</v>
      </c>
      <c r="I2362">
        <f t="shared" si="220"/>
        <v>327.60000000000002</v>
      </c>
      <c r="J2362">
        <f t="shared" si="217"/>
        <v>137.10000000000002</v>
      </c>
      <c r="K2362" s="8">
        <f t="shared" si="218"/>
        <v>0.29502905100064558</v>
      </c>
      <c r="L2362" t="str">
        <f t="shared" si="221"/>
        <v>2024-10</v>
      </c>
      <c r="M2362">
        <f t="shared" si="219"/>
        <v>137.10000000000002</v>
      </c>
    </row>
    <row r="2363" spans="1:13" x14ac:dyDescent="0.25">
      <c r="A2363" s="1">
        <v>45065</v>
      </c>
      <c r="B2363" t="s">
        <v>12</v>
      </c>
      <c r="C2363" t="s">
        <v>8</v>
      </c>
      <c r="D2363" t="s">
        <v>18</v>
      </c>
      <c r="E2363">
        <v>187.96</v>
      </c>
      <c r="F2363">
        <v>162.44999999999999</v>
      </c>
      <c r="G2363">
        <v>4</v>
      </c>
      <c r="H2363">
        <f t="shared" si="216"/>
        <v>751.84</v>
      </c>
      <c r="I2363">
        <f t="shared" si="220"/>
        <v>649.79999999999995</v>
      </c>
      <c r="J2363">
        <f t="shared" si="217"/>
        <v>102.04000000000008</v>
      </c>
      <c r="K2363" s="8">
        <f t="shared" si="218"/>
        <v>0.13572036603532675</v>
      </c>
      <c r="L2363" t="str">
        <f t="shared" si="221"/>
        <v>2023-05</v>
      </c>
      <c r="M2363">
        <f t="shared" si="219"/>
        <v>102.04000000000008</v>
      </c>
    </row>
    <row r="2364" spans="1:13" x14ac:dyDescent="0.25">
      <c r="A2364" s="1">
        <v>45127</v>
      </c>
      <c r="B2364" t="s">
        <v>12</v>
      </c>
      <c r="C2364" t="s">
        <v>8</v>
      </c>
      <c r="D2364" t="s">
        <v>9</v>
      </c>
      <c r="E2364">
        <v>512.6</v>
      </c>
      <c r="F2364">
        <v>288.72000000000003</v>
      </c>
      <c r="G2364">
        <v>3</v>
      </c>
      <c r="H2364">
        <f t="shared" si="216"/>
        <v>1537.8000000000002</v>
      </c>
      <c r="I2364">
        <f t="shared" si="220"/>
        <v>866.16000000000008</v>
      </c>
      <c r="J2364">
        <f t="shared" si="217"/>
        <v>671.6400000000001</v>
      </c>
      <c r="K2364" s="8">
        <f t="shared" si="218"/>
        <v>0.43675380413577841</v>
      </c>
      <c r="L2364" t="str">
        <f t="shared" si="221"/>
        <v>2023-07</v>
      </c>
      <c r="M2364">
        <f t="shared" si="219"/>
        <v>671.6400000000001</v>
      </c>
    </row>
    <row r="2365" spans="1:13" x14ac:dyDescent="0.25">
      <c r="A2365" s="1">
        <v>44587</v>
      </c>
      <c r="B2365" t="s">
        <v>12</v>
      </c>
      <c r="C2365" t="s">
        <v>8</v>
      </c>
      <c r="D2365" t="s">
        <v>13</v>
      </c>
      <c r="E2365">
        <v>1133.7</v>
      </c>
      <c r="F2365">
        <v>684.56</v>
      </c>
      <c r="G2365">
        <v>2</v>
      </c>
      <c r="H2365">
        <f t="shared" si="216"/>
        <v>2267.4</v>
      </c>
      <c r="I2365">
        <f t="shared" si="220"/>
        <v>1369.12</v>
      </c>
      <c r="J2365">
        <f t="shared" si="217"/>
        <v>898.2800000000002</v>
      </c>
      <c r="K2365" s="8">
        <f t="shared" si="218"/>
        <v>0.39617182676193002</v>
      </c>
      <c r="L2365" t="str">
        <f t="shared" si="221"/>
        <v>2022-01</v>
      </c>
      <c r="M2365">
        <f t="shared" si="219"/>
        <v>898.2800000000002</v>
      </c>
    </row>
    <row r="2366" spans="1:13" x14ac:dyDescent="0.25">
      <c r="A2366" s="1">
        <v>45127</v>
      </c>
      <c r="B2366" t="s">
        <v>14</v>
      </c>
      <c r="C2366" t="s">
        <v>15</v>
      </c>
      <c r="D2366" t="s">
        <v>9</v>
      </c>
      <c r="E2366">
        <v>371.87</v>
      </c>
      <c r="F2366">
        <v>195.66</v>
      </c>
      <c r="G2366">
        <v>3</v>
      </c>
      <c r="H2366">
        <f t="shared" si="216"/>
        <v>1115.6100000000001</v>
      </c>
      <c r="I2366">
        <f t="shared" si="220"/>
        <v>586.98</v>
      </c>
      <c r="J2366">
        <f t="shared" si="217"/>
        <v>528.63000000000011</v>
      </c>
      <c r="K2366" s="8">
        <f t="shared" si="218"/>
        <v>0.47384838787748412</v>
      </c>
      <c r="L2366" t="str">
        <f t="shared" si="221"/>
        <v>2023-07</v>
      </c>
      <c r="M2366">
        <f t="shared" si="219"/>
        <v>528.63000000000011</v>
      </c>
    </row>
    <row r="2367" spans="1:13" x14ac:dyDescent="0.25">
      <c r="A2367" s="1">
        <v>44818</v>
      </c>
      <c r="B2367" t="s">
        <v>25</v>
      </c>
      <c r="C2367" t="s">
        <v>15</v>
      </c>
      <c r="D2367" t="s">
        <v>9</v>
      </c>
      <c r="E2367">
        <v>1323.12</v>
      </c>
      <c r="F2367">
        <v>732.02</v>
      </c>
      <c r="G2367">
        <v>1</v>
      </c>
      <c r="H2367">
        <f t="shared" si="216"/>
        <v>1323.12</v>
      </c>
      <c r="I2367">
        <f t="shared" si="220"/>
        <v>732.02</v>
      </c>
      <c r="J2367">
        <f t="shared" si="217"/>
        <v>591.09999999999991</v>
      </c>
      <c r="K2367" s="8">
        <f t="shared" si="218"/>
        <v>0.44674708265312291</v>
      </c>
      <c r="L2367" t="str">
        <f t="shared" si="221"/>
        <v>2022-09</v>
      </c>
      <c r="M2367">
        <f t="shared" si="219"/>
        <v>591.09999999999991</v>
      </c>
    </row>
    <row r="2368" spans="1:13" x14ac:dyDescent="0.25">
      <c r="A2368" s="1">
        <v>45566</v>
      </c>
      <c r="B2368" t="s">
        <v>14</v>
      </c>
      <c r="C2368" t="s">
        <v>15</v>
      </c>
      <c r="D2368" t="s">
        <v>18</v>
      </c>
      <c r="E2368">
        <v>921.79</v>
      </c>
      <c r="F2368">
        <v>470.38</v>
      </c>
      <c r="G2368">
        <v>10</v>
      </c>
      <c r="H2368">
        <f t="shared" si="216"/>
        <v>9217.9</v>
      </c>
      <c r="I2368">
        <f t="shared" si="220"/>
        <v>4703.8</v>
      </c>
      <c r="J2368">
        <f t="shared" si="217"/>
        <v>4514.0999999999995</v>
      </c>
      <c r="K2368" s="8">
        <f t="shared" si="218"/>
        <v>0.48971023768971239</v>
      </c>
      <c r="L2368" t="str">
        <f t="shared" si="221"/>
        <v>2024-10</v>
      </c>
      <c r="M2368">
        <f t="shared" si="219"/>
        <v>4514.0999999999995</v>
      </c>
    </row>
    <row r="2369" spans="1:13" x14ac:dyDescent="0.25">
      <c r="A2369" s="1">
        <v>45026</v>
      </c>
      <c r="B2369" t="s">
        <v>10</v>
      </c>
      <c r="C2369" t="s">
        <v>11</v>
      </c>
      <c r="D2369" t="s">
        <v>13</v>
      </c>
      <c r="E2369">
        <v>275.5</v>
      </c>
      <c r="F2369">
        <v>141.28</v>
      </c>
      <c r="G2369">
        <v>6</v>
      </c>
      <c r="H2369">
        <f t="shared" si="216"/>
        <v>1653</v>
      </c>
      <c r="I2369">
        <f t="shared" si="220"/>
        <v>847.68000000000006</v>
      </c>
      <c r="J2369">
        <f t="shared" si="217"/>
        <v>805.31999999999994</v>
      </c>
      <c r="K2369" s="8">
        <f t="shared" si="218"/>
        <v>0.48718693284936476</v>
      </c>
      <c r="L2369" t="str">
        <f t="shared" si="221"/>
        <v>2023-04</v>
      </c>
      <c r="M2369">
        <f t="shared" si="219"/>
        <v>805.31999999999994</v>
      </c>
    </row>
    <row r="2370" spans="1:13" x14ac:dyDescent="0.25">
      <c r="A2370" s="1">
        <v>45421</v>
      </c>
      <c r="B2370" t="s">
        <v>14</v>
      </c>
      <c r="C2370" t="s">
        <v>15</v>
      </c>
      <c r="D2370" t="s">
        <v>13</v>
      </c>
      <c r="E2370">
        <v>106.77</v>
      </c>
      <c r="F2370">
        <v>89.92</v>
      </c>
      <c r="G2370">
        <v>10</v>
      </c>
      <c r="H2370">
        <f t="shared" si="216"/>
        <v>1067.7</v>
      </c>
      <c r="I2370">
        <f t="shared" si="220"/>
        <v>899.2</v>
      </c>
      <c r="J2370">
        <f t="shared" si="217"/>
        <v>168.5</v>
      </c>
      <c r="K2370" s="8">
        <f t="shared" si="218"/>
        <v>0.15781586587992882</v>
      </c>
      <c r="L2370" t="str">
        <f t="shared" si="221"/>
        <v>2024-05</v>
      </c>
      <c r="M2370">
        <f t="shared" si="219"/>
        <v>168.5</v>
      </c>
    </row>
    <row r="2371" spans="1:13" x14ac:dyDescent="0.25">
      <c r="A2371" s="1">
        <v>44863</v>
      </c>
      <c r="B2371" t="s">
        <v>12</v>
      </c>
      <c r="C2371" t="s">
        <v>8</v>
      </c>
      <c r="D2371" t="s">
        <v>17</v>
      </c>
      <c r="E2371">
        <v>100.38</v>
      </c>
      <c r="F2371">
        <v>74.599999999999994</v>
      </c>
      <c r="G2371">
        <v>7</v>
      </c>
      <c r="H2371">
        <f t="shared" ref="H2371:H2434" si="222">E2371*G2371</f>
        <v>702.66</v>
      </c>
      <c r="I2371">
        <f t="shared" si="220"/>
        <v>522.19999999999993</v>
      </c>
      <c r="J2371">
        <f t="shared" ref="J2371:J2434" si="223">H2371-I2371</f>
        <v>180.46000000000004</v>
      </c>
      <c r="K2371" s="8">
        <f t="shared" ref="K2371:K2434" si="224">(H2371-I2371)/H2371</f>
        <v>0.25682406853954975</v>
      </c>
      <c r="L2371" t="str">
        <f t="shared" si="221"/>
        <v>2022-10</v>
      </c>
      <c r="M2371">
        <f t="shared" ref="M2371:M2434" si="225">H2371-I2371</f>
        <v>180.46000000000004</v>
      </c>
    </row>
    <row r="2372" spans="1:13" x14ac:dyDescent="0.25">
      <c r="A2372" s="1">
        <v>44917</v>
      </c>
      <c r="B2372" t="s">
        <v>12</v>
      </c>
      <c r="C2372" t="s">
        <v>8</v>
      </c>
      <c r="D2372" t="s">
        <v>9</v>
      </c>
      <c r="E2372">
        <v>1505.96</v>
      </c>
      <c r="F2372">
        <v>820.96</v>
      </c>
      <c r="G2372">
        <v>4</v>
      </c>
      <c r="H2372">
        <f t="shared" si="222"/>
        <v>6023.84</v>
      </c>
      <c r="I2372">
        <f t="shared" ref="I2372:I2435" si="226">F2372*G2372</f>
        <v>3283.84</v>
      </c>
      <c r="J2372">
        <f t="shared" si="223"/>
        <v>2740</v>
      </c>
      <c r="K2372" s="8">
        <f t="shared" si="224"/>
        <v>0.45485935881431111</v>
      </c>
      <c r="L2372" t="str">
        <f t="shared" ref="L2372:L2435" si="227">TEXT(A2372,"rrrr-mm")</f>
        <v>2022-12</v>
      </c>
      <c r="M2372">
        <f t="shared" si="225"/>
        <v>2740</v>
      </c>
    </row>
    <row r="2373" spans="1:13" x14ac:dyDescent="0.25">
      <c r="A2373" s="1">
        <v>45091</v>
      </c>
      <c r="B2373" t="s">
        <v>25</v>
      </c>
      <c r="C2373" t="s">
        <v>15</v>
      </c>
      <c r="D2373" t="s">
        <v>18</v>
      </c>
      <c r="E2373">
        <v>490.82</v>
      </c>
      <c r="F2373">
        <v>389.82</v>
      </c>
      <c r="G2373">
        <v>8</v>
      </c>
      <c r="H2373">
        <f t="shared" si="222"/>
        <v>3926.56</v>
      </c>
      <c r="I2373">
        <f t="shared" si="226"/>
        <v>3118.56</v>
      </c>
      <c r="J2373">
        <f t="shared" si="223"/>
        <v>808</v>
      </c>
      <c r="K2373" s="8">
        <f t="shared" si="224"/>
        <v>0.20577808565258141</v>
      </c>
      <c r="L2373" t="str">
        <f t="shared" si="227"/>
        <v>2023-06</v>
      </c>
      <c r="M2373">
        <f t="shared" si="225"/>
        <v>808</v>
      </c>
    </row>
    <row r="2374" spans="1:13" x14ac:dyDescent="0.25">
      <c r="A2374" s="1">
        <v>45010</v>
      </c>
      <c r="B2374" t="s">
        <v>25</v>
      </c>
      <c r="C2374" t="s">
        <v>15</v>
      </c>
      <c r="D2374" t="s">
        <v>9</v>
      </c>
      <c r="E2374">
        <v>80.53</v>
      </c>
      <c r="F2374">
        <v>63.9</v>
      </c>
      <c r="G2374">
        <v>6</v>
      </c>
      <c r="H2374">
        <f t="shared" si="222"/>
        <v>483.18</v>
      </c>
      <c r="I2374">
        <f t="shared" si="226"/>
        <v>383.4</v>
      </c>
      <c r="J2374">
        <f t="shared" si="223"/>
        <v>99.78000000000003</v>
      </c>
      <c r="K2374" s="8">
        <f t="shared" si="224"/>
        <v>0.2065068918415498</v>
      </c>
      <c r="L2374" t="str">
        <f t="shared" si="227"/>
        <v>2023-03</v>
      </c>
      <c r="M2374">
        <f t="shared" si="225"/>
        <v>99.78000000000003</v>
      </c>
    </row>
    <row r="2375" spans="1:13" x14ac:dyDescent="0.25">
      <c r="A2375" s="1">
        <v>44725</v>
      </c>
      <c r="B2375" t="s">
        <v>22</v>
      </c>
      <c r="C2375" t="s">
        <v>8</v>
      </c>
      <c r="D2375" t="s">
        <v>9</v>
      </c>
      <c r="E2375">
        <v>1869.1</v>
      </c>
      <c r="F2375">
        <v>1561.43</v>
      </c>
      <c r="G2375">
        <v>9</v>
      </c>
      <c r="H2375">
        <f t="shared" si="222"/>
        <v>16821.899999999998</v>
      </c>
      <c r="I2375">
        <f t="shared" si="226"/>
        <v>14052.87</v>
      </c>
      <c r="J2375">
        <f t="shared" si="223"/>
        <v>2769.029999999997</v>
      </c>
      <c r="K2375" s="8">
        <f t="shared" si="224"/>
        <v>0.16460863517200777</v>
      </c>
      <c r="L2375" t="str">
        <f t="shared" si="227"/>
        <v>2022-06</v>
      </c>
      <c r="M2375">
        <f t="shared" si="225"/>
        <v>2769.029999999997</v>
      </c>
    </row>
    <row r="2376" spans="1:13" x14ac:dyDescent="0.25">
      <c r="A2376" s="1">
        <v>45485</v>
      </c>
      <c r="B2376" t="s">
        <v>21</v>
      </c>
      <c r="C2376" t="s">
        <v>20</v>
      </c>
      <c r="D2376" t="s">
        <v>17</v>
      </c>
      <c r="E2376">
        <v>770.48</v>
      </c>
      <c r="F2376">
        <v>659.21</v>
      </c>
      <c r="G2376">
        <v>5</v>
      </c>
      <c r="H2376">
        <f t="shared" si="222"/>
        <v>3852.4</v>
      </c>
      <c r="I2376">
        <f t="shared" si="226"/>
        <v>3296.05</v>
      </c>
      <c r="J2376">
        <f t="shared" si="223"/>
        <v>556.34999999999991</v>
      </c>
      <c r="K2376" s="8">
        <f t="shared" si="224"/>
        <v>0.14441646765652577</v>
      </c>
      <c r="L2376" t="str">
        <f t="shared" si="227"/>
        <v>2024-07</v>
      </c>
      <c r="M2376">
        <f t="shared" si="225"/>
        <v>556.34999999999991</v>
      </c>
    </row>
    <row r="2377" spans="1:13" x14ac:dyDescent="0.25">
      <c r="A2377" s="1">
        <v>44898</v>
      </c>
      <c r="B2377" t="s">
        <v>10</v>
      </c>
      <c r="C2377" t="s">
        <v>11</v>
      </c>
      <c r="D2377" t="s">
        <v>9</v>
      </c>
      <c r="E2377">
        <v>1534.93</v>
      </c>
      <c r="F2377">
        <v>1350.63</v>
      </c>
      <c r="G2377">
        <v>3</v>
      </c>
      <c r="H2377">
        <f t="shared" si="222"/>
        <v>4604.79</v>
      </c>
      <c r="I2377">
        <f t="shared" si="226"/>
        <v>4051.8900000000003</v>
      </c>
      <c r="J2377">
        <f t="shared" si="223"/>
        <v>552.89999999999964</v>
      </c>
      <c r="K2377" s="8">
        <f t="shared" si="224"/>
        <v>0.12007062211306045</v>
      </c>
      <c r="L2377" t="str">
        <f t="shared" si="227"/>
        <v>2022-12</v>
      </c>
      <c r="M2377">
        <f t="shared" si="225"/>
        <v>552.89999999999964</v>
      </c>
    </row>
    <row r="2378" spans="1:13" x14ac:dyDescent="0.25">
      <c r="A2378" s="1">
        <v>45485</v>
      </c>
      <c r="B2378" t="s">
        <v>21</v>
      </c>
      <c r="C2378" t="s">
        <v>20</v>
      </c>
      <c r="D2378" t="s">
        <v>9</v>
      </c>
      <c r="E2378">
        <v>975.14</v>
      </c>
      <c r="F2378">
        <v>666.36</v>
      </c>
      <c r="G2378">
        <v>2</v>
      </c>
      <c r="H2378">
        <f t="shared" si="222"/>
        <v>1950.28</v>
      </c>
      <c r="I2378">
        <f t="shared" si="226"/>
        <v>1332.72</v>
      </c>
      <c r="J2378">
        <f t="shared" si="223"/>
        <v>617.55999999999995</v>
      </c>
      <c r="K2378" s="8">
        <f t="shared" si="224"/>
        <v>0.31665196792255468</v>
      </c>
      <c r="L2378" t="str">
        <f t="shared" si="227"/>
        <v>2024-07</v>
      </c>
      <c r="M2378">
        <f t="shared" si="225"/>
        <v>617.55999999999995</v>
      </c>
    </row>
    <row r="2379" spans="1:13" x14ac:dyDescent="0.25">
      <c r="A2379" s="1">
        <v>45633</v>
      </c>
      <c r="B2379" t="s">
        <v>25</v>
      </c>
      <c r="C2379" t="s">
        <v>15</v>
      </c>
      <c r="D2379" t="s">
        <v>17</v>
      </c>
      <c r="E2379">
        <v>637.16999999999996</v>
      </c>
      <c r="F2379">
        <v>465.49</v>
      </c>
      <c r="G2379">
        <v>6</v>
      </c>
      <c r="H2379">
        <f t="shared" si="222"/>
        <v>3823.0199999999995</v>
      </c>
      <c r="I2379">
        <f t="shared" si="226"/>
        <v>2792.94</v>
      </c>
      <c r="J2379">
        <f t="shared" si="223"/>
        <v>1030.0799999999995</v>
      </c>
      <c r="K2379" s="8">
        <f t="shared" si="224"/>
        <v>0.26944143635136608</v>
      </c>
      <c r="L2379" t="str">
        <f t="shared" si="227"/>
        <v>2024-12</v>
      </c>
      <c r="M2379">
        <f t="shared" si="225"/>
        <v>1030.0799999999995</v>
      </c>
    </row>
    <row r="2380" spans="1:13" x14ac:dyDescent="0.25">
      <c r="A2380" s="1">
        <v>45226</v>
      </c>
      <c r="B2380" t="s">
        <v>7</v>
      </c>
      <c r="C2380" t="s">
        <v>8</v>
      </c>
      <c r="D2380" t="s">
        <v>18</v>
      </c>
      <c r="E2380">
        <v>335.97</v>
      </c>
      <c r="F2380">
        <v>205.17</v>
      </c>
      <c r="G2380">
        <v>2</v>
      </c>
      <c r="H2380">
        <f t="shared" si="222"/>
        <v>671.94</v>
      </c>
      <c r="I2380">
        <f t="shared" si="226"/>
        <v>410.34</v>
      </c>
      <c r="J2380">
        <f t="shared" si="223"/>
        <v>261.60000000000008</v>
      </c>
      <c r="K2380" s="8">
        <f t="shared" si="224"/>
        <v>0.38932047504241457</v>
      </c>
      <c r="L2380" t="str">
        <f t="shared" si="227"/>
        <v>2023-10</v>
      </c>
      <c r="M2380">
        <f t="shared" si="225"/>
        <v>261.60000000000008</v>
      </c>
    </row>
    <row r="2381" spans="1:13" x14ac:dyDescent="0.25">
      <c r="A2381" s="1">
        <v>44887</v>
      </c>
      <c r="B2381" t="s">
        <v>25</v>
      </c>
      <c r="C2381" t="s">
        <v>15</v>
      </c>
      <c r="D2381" t="s">
        <v>9</v>
      </c>
      <c r="E2381">
        <v>1866.79</v>
      </c>
      <c r="F2381">
        <v>1327.96</v>
      </c>
      <c r="G2381">
        <v>10</v>
      </c>
      <c r="H2381">
        <f t="shared" si="222"/>
        <v>18667.900000000001</v>
      </c>
      <c r="I2381">
        <f t="shared" si="226"/>
        <v>13279.6</v>
      </c>
      <c r="J2381">
        <f t="shared" si="223"/>
        <v>5388.3000000000011</v>
      </c>
      <c r="K2381" s="8">
        <f t="shared" si="224"/>
        <v>0.28863985772368617</v>
      </c>
      <c r="L2381" t="str">
        <f t="shared" si="227"/>
        <v>2022-11</v>
      </c>
      <c r="M2381">
        <f t="shared" si="225"/>
        <v>5388.3000000000011</v>
      </c>
    </row>
    <row r="2382" spans="1:13" x14ac:dyDescent="0.25">
      <c r="A2382" s="1">
        <v>44615</v>
      </c>
      <c r="B2382" t="s">
        <v>23</v>
      </c>
      <c r="C2382" t="s">
        <v>11</v>
      </c>
      <c r="D2382" t="s">
        <v>13</v>
      </c>
      <c r="E2382">
        <v>957.11</v>
      </c>
      <c r="F2382">
        <v>578.35</v>
      </c>
      <c r="G2382">
        <v>2</v>
      </c>
      <c r="H2382">
        <f t="shared" si="222"/>
        <v>1914.22</v>
      </c>
      <c r="I2382">
        <f t="shared" si="226"/>
        <v>1156.7</v>
      </c>
      <c r="J2382">
        <f t="shared" si="223"/>
        <v>757.52</v>
      </c>
      <c r="K2382" s="8">
        <f t="shared" si="224"/>
        <v>0.39573298784883659</v>
      </c>
      <c r="L2382" t="str">
        <f t="shared" si="227"/>
        <v>2022-02</v>
      </c>
      <c r="M2382">
        <f t="shared" si="225"/>
        <v>757.52</v>
      </c>
    </row>
    <row r="2383" spans="1:13" x14ac:dyDescent="0.25">
      <c r="A2383" s="1">
        <v>44587</v>
      </c>
      <c r="B2383" t="s">
        <v>19</v>
      </c>
      <c r="C2383" t="s">
        <v>20</v>
      </c>
      <c r="D2383" t="s">
        <v>18</v>
      </c>
      <c r="E2383">
        <v>722.07</v>
      </c>
      <c r="F2383">
        <v>384.34</v>
      </c>
      <c r="G2383">
        <v>1</v>
      </c>
      <c r="H2383">
        <f t="shared" si="222"/>
        <v>722.07</v>
      </c>
      <c r="I2383">
        <f t="shared" si="226"/>
        <v>384.34</v>
      </c>
      <c r="J2383">
        <f t="shared" si="223"/>
        <v>337.73000000000008</v>
      </c>
      <c r="K2383" s="8">
        <f t="shared" si="224"/>
        <v>0.46772473582893631</v>
      </c>
      <c r="L2383" t="str">
        <f t="shared" si="227"/>
        <v>2022-01</v>
      </c>
      <c r="M2383">
        <f t="shared" si="225"/>
        <v>337.73000000000008</v>
      </c>
    </row>
    <row r="2384" spans="1:13" x14ac:dyDescent="0.25">
      <c r="A2384" s="1">
        <v>45561</v>
      </c>
      <c r="B2384" t="s">
        <v>14</v>
      </c>
      <c r="C2384" t="s">
        <v>15</v>
      </c>
      <c r="D2384" t="s">
        <v>18</v>
      </c>
      <c r="E2384">
        <v>1517.95</v>
      </c>
      <c r="F2384">
        <v>872.1</v>
      </c>
      <c r="G2384">
        <v>9</v>
      </c>
      <c r="H2384">
        <f t="shared" si="222"/>
        <v>13661.550000000001</v>
      </c>
      <c r="I2384">
        <f t="shared" si="226"/>
        <v>7848.9000000000005</v>
      </c>
      <c r="J2384">
        <f t="shared" si="223"/>
        <v>5812.6500000000005</v>
      </c>
      <c r="K2384" s="8">
        <f t="shared" si="224"/>
        <v>0.42547514740274711</v>
      </c>
      <c r="L2384" t="str">
        <f t="shared" si="227"/>
        <v>2024-09</v>
      </c>
      <c r="M2384">
        <f t="shared" si="225"/>
        <v>5812.6500000000005</v>
      </c>
    </row>
    <row r="2385" spans="1:13" x14ac:dyDescent="0.25">
      <c r="A2385" s="1">
        <v>44685</v>
      </c>
      <c r="B2385" t="s">
        <v>7</v>
      </c>
      <c r="C2385" t="s">
        <v>8</v>
      </c>
      <c r="D2385" t="s">
        <v>13</v>
      </c>
      <c r="E2385">
        <v>489.03</v>
      </c>
      <c r="F2385">
        <v>253.25</v>
      </c>
      <c r="G2385">
        <v>5</v>
      </c>
      <c r="H2385">
        <f t="shared" si="222"/>
        <v>2445.1499999999996</v>
      </c>
      <c r="I2385">
        <f t="shared" si="226"/>
        <v>1266.25</v>
      </c>
      <c r="J2385">
        <f t="shared" si="223"/>
        <v>1178.8999999999996</v>
      </c>
      <c r="K2385" s="8">
        <f t="shared" si="224"/>
        <v>0.48213811013639235</v>
      </c>
      <c r="L2385" t="str">
        <f t="shared" si="227"/>
        <v>2022-05</v>
      </c>
      <c r="M2385">
        <f t="shared" si="225"/>
        <v>1178.8999999999996</v>
      </c>
    </row>
    <row r="2386" spans="1:13" x14ac:dyDescent="0.25">
      <c r="A2386" s="1">
        <v>44871</v>
      </c>
      <c r="B2386" t="s">
        <v>21</v>
      </c>
      <c r="C2386" t="s">
        <v>20</v>
      </c>
      <c r="D2386" t="s">
        <v>13</v>
      </c>
      <c r="E2386">
        <v>79.260000000000005</v>
      </c>
      <c r="F2386">
        <v>42.14</v>
      </c>
      <c r="G2386">
        <v>10</v>
      </c>
      <c r="H2386">
        <f t="shared" si="222"/>
        <v>792.6</v>
      </c>
      <c r="I2386">
        <f t="shared" si="226"/>
        <v>421.4</v>
      </c>
      <c r="J2386">
        <f t="shared" si="223"/>
        <v>371.20000000000005</v>
      </c>
      <c r="K2386" s="8">
        <f t="shared" si="224"/>
        <v>0.46833207166288171</v>
      </c>
      <c r="L2386" t="str">
        <f t="shared" si="227"/>
        <v>2022-11</v>
      </c>
      <c r="M2386">
        <f t="shared" si="225"/>
        <v>371.20000000000005</v>
      </c>
    </row>
    <row r="2387" spans="1:13" x14ac:dyDescent="0.25">
      <c r="A2387" s="1">
        <v>44790</v>
      </c>
      <c r="B2387" t="s">
        <v>7</v>
      </c>
      <c r="C2387" t="s">
        <v>8</v>
      </c>
      <c r="D2387" t="s">
        <v>18</v>
      </c>
      <c r="E2387">
        <v>1544.31</v>
      </c>
      <c r="F2387">
        <v>1026.31</v>
      </c>
      <c r="G2387">
        <v>2</v>
      </c>
      <c r="H2387">
        <f t="shared" si="222"/>
        <v>3088.62</v>
      </c>
      <c r="I2387">
        <f t="shared" si="226"/>
        <v>2052.62</v>
      </c>
      <c r="J2387">
        <f t="shared" si="223"/>
        <v>1036</v>
      </c>
      <c r="K2387" s="8">
        <f t="shared" si="224"/>
        <v>0.33542488230989892</v>
      </c>
      <c r="L2387" t="str">
        <f t="shared" si="227"/>
        <v>2022-08</v>
      </c>
      <c r="M2387">
        <f t="shared" si="225"/>
        <v>1036</v>
      </c>
    </row>
    <row r="2388" spans="1:13" x14ac:dyDescent="0.25">
      <c r="A2388" s="1">
        <v>45088</v>
      </c>
      <c r="B2388" t="s">
        <v>14</v>
      </c>
      <c r="C2388" t="s">
        <v>15</v>
      </c>
      <c r="D2388" t="s">
        <v>9</v>
      </c>
      <c r="E2388">
        <v>1597.54</v>
      </c>
      <c r="F2388">
        <v>1282.93</v>
      </c>
      <c r="G2388">
        <v>9</v>
      </c>
      <c r="H2388">
        <f t="shared" si="222"/>
        <v>14377.86</v>
      </c>
      <c r="I2388">
        <f t="shared" si="226"/>
        <v>11546.37</v>
      </c>
      <c r="J2388">
        <f t="shared" si="223"/>
        <v>2831.49</v>
      </c>
      <c r="K2388" s="8">
        <f t="shared" si="224"/>
        <v>0.19693403608047372</v>
      </c>
      <c r="L2388" t="str">
        <f t="shared" si="227"/>
        <v>2023-06</v>
      </c>
      <c r="M2388">
        <f t="shared" si="225"/>
        <v>2831.49</v>
      </c>
    </row>
    <row r="2389" spans="1:13" x14ac:dyDescent="0.25">
      <c r="A2389" s="1">
        <v>45356</v>
      </c>
      <c r="B2389" t="s">
        <v>10</v>
      </c>
      <c r="C2389" t="s">
        <v>11</v>
      </c>
      <c r="D2389" t="s">
        <v>9</v>
      </c>
      <c r="E2389">
        <v>504.73</v>
      </c>
      <c r="F2389">
        <v>272.70999999999998</v>
      </c>
      <c r="G2389">
        <v>2</v>
      </c>
      <c r="H2389">
        <f t="shared" si="222"/>
        <v>1009.46</v>
      </c>
      <c r="I2389">
        <f t="shared" si="226"/>
        <v>545.41999999999996</v>
      </c>
      <c r="J2389">
        <f t="shared" si="223"/>
        <v>464.04000000000008</v>
      </c>
      <c r="K2389" s="8">
        <f t="shared" si="224"/>
        <v>0.45969132011174296</v>
      </c>
      <c r="L2389" t="str">
        <f t="shared" si="227"/>
        <v>2024-03</v>
      </c>
      <c r="M2389">
        <f t="shared" si="225"/>
        <v>464.04000000000008</v>
      </c>
    </row>
    <row r="2390" spans="1:13" x14ac:dyDescent="0.25">
      <c r="A2390" s="1">
        <v>44830</v>
      </c>
      <c r="B2390" t="s">
        <v>24</v>
      </c>
      <c r="C2390" t="s">
        <v>20</v>
      </c>
      <c r="D2390" t="s">
        <v>18</v>
      </c>
      <c r="E2390">
        <v>737.58</v>
      </c>
      <c r="F2390">
        <v>376.09</v>
      </c>
      <c r="G2390">
        <v>9</v>
      </c>
      <c r="H2390">
        <f t="shared" si="222"/>
        <v>6638.22</v>
      </c>
      <c r="I2390">
        <f t="shared" si="226"/>
        <v>3384.81</v>
      </c>
      <c r="J2390">
        <f t="shared" si="223"/>
        <v>3253.4100000000003</v>
      </c>
      <c r="K2390" s="8">
        <f t="shared" si="224"/>
        <v>0.49010276851324602</v>
      </c>
      <c r="L2390" t="str">
        <f t="shared" si="227"/>
        <v>2022-09</v>
      </c>
      <c r="M2390">
        <f t="shared" si="225"/>
        <v>3253.4100000000003</v>
      </c>
    </row>
    <row r="2391" spans="1:13" x14ac:dyDescent="0.25">
      <c r="A2391" s="1">
        <v>45128</v>
      </c>
      <c r="B2391" t="s">
        <v>23</v>
      </c>
      <c r="C2391" t="s">
        <v>11</v>
      </c>
      <c r="D2391" t="s">
        <v>13</v>
      </c>
      <c r="E2391">
        <v>1757.34</v>
      </c>
      <c r="F2391">
        <v>998.98</v>
      </c>
      <c r="G2391">
        <v>9</v>
      </c>
      <c r="H2391">
        <f t="shared" si="222"/>
        <v>15816.06</v>
      </c>
      <c r="I2391">
        <f t="shared" si="226"/>
        <v>8990.82</v>
      </c>
      <c r="J2391">
        <f t="shared" si="223"/>
        <v>6825.24</v>
      </c>
      <c r="K2391" s="8">
        <f t="shared" si="224"/>
        <v>0.43153857534683099</v>
      </c>
      <c r="L2391" t="str">
        <f t="shared" si="227"/>
        <v>2023-07</v>
      </c>
      <c r="M2391">
        <f t="shared" si="225"/>
        <v>6825.24</v>
      </c>
    </row>
    <row r="2392" spans="1:13" x14ac:dyDescent="0.25">
      <c r="A2392" s="1">
        <v>44585</v>
      </c>
      <c r="B2392" t="s">
        <v>14</v>
      </c>
      <c r="C2392" t="s">
        <v>15</v>
      </c>
      <c r="D2392" t="s">
        <v>17</v>
      </c>
      <c r="E2392">
        <v>671.83</v>
      </c>
      <c r="F2392">
        <v>337.44</v>
      </c>
      <c r="G2392">
        <v>4</v>
      </c>
      <c r="H2392">
        <f t="shared" si="222"/>
        <v>2687.32</v>
      </c>
      <c r="I2392">
        <f t="shared" si="226"/>
        <v>1349.76</v>
      </c>
      <c r="J2392">
        <f t="shared" si="223"/>
        <v>1337.5600000000002</v>
      </c>
      <c r="K2392" s="8">
        <f t="shared" si="224"/>
        <v>0.49773008052632367</v>
      </c>
      <c r="L2392" t="str">
        <f t="shared" si="227"/>
        <v>2022-01</v>
      </c>
      <c r="M2392">
        <f t="shared" si="225"/>
        <v>1337.5600000000002</v>
      </c>
    </row>
    <row r="2393" spans="1:13" x14ac:dyDescent="0.25">
      <c r="A2393" s="1">
        <v>44887</v>
      </c>
      <c r="B2393" t="s">
        <v>22</v>
      </c>
      <c r="C2393" t="s">
        <v>8</v>
      </c>
      <c r="D2393" t="s">
        <v>9</v>
      </c>
      <c r="E2393">
        <v>165.69</v>
      </c>
      <c r="F2393">
        <v>139.97</v>
      </c>
      <c r="G2393">
        <v>6</v>
      </c>
      <c r="H2393">
        <f t="shared" si="222"/>
        <v>994.14</v>
      </c>
      <c r="I2393">
        <f t="shared" si="226"/>
        <v>839.81999999999994</v>
      </c>
      <c r="J2393">
        <f t="shared" si="223"/>
        <v>154.32000000000005</v>
      </c>
      <c r="K2393" s="8">
        <f t="shared" si="224"/>
        <v>0.15522964572394235</v>
      </c>
      <c r="L2393" t="str">
        <f t="shared" si="227"/>
        <v>2022-11</v>
      </c>
      <c r="M2393">
        <f t="shared" si="225"/>
        <v>154.32000000000005</v>
      </c>
    </row>
    <row r="2394" spans="1:13" x14ac:dyDescent="0.25">
      <c r="A2394" s="1">
        <v>45493</v>
      </c>
      <c r="B2394" t="s">
        <v>12</v>
      </c>
      <c r="C2394" t="s">
        <v>8</v>
      </c>
      <c r="D2394" t="s">
        <v>18</v>
      </c>
      <c r="E2394">
        <v>1531.56</v>
      </c>
      <c r="F2394">
        <v>1054.1400000000001</v>
      </c>
      <c r="G2394">
        <v>1</v>
      </c>
      <c r="H2394">
        <f t="shared" si="222"/>
        <v>1531.56</v>
      </c>
      <c r="I2394">
        <f t="shared" si="226"/>
        <v>1054.1400000000001</v>
      </c>
      <c r="J2394">
        <f t="shared" si="223"/>
        <v>477.41999999999985</v>
      </c>
      <c r="K2394" s="8">
        <f t="shared" si="224"/>
        <v>0.31172138212019107</v>
      </c>
      <c r="L2394" t="str">
        <f t="shared" si="227"/>
        <v>2024-07</v>
      </c>
      <c r="M2394">
        <f t="shared" si="225"/>
        <v>477.41999999999985</v>
      </c>
    </row>
    <row r="2395" spans="1:13" x14ac:dyDescent="0.25">
      <c r="A2395" s="1">
        <v>45584</v>
      </c>
      <c r="B2395" t="s">
        <v>12</v>
      </c>
      <c r="C2395" t="s">
        <v>8</v>
      </c>
      <c r="D2395" t="s">
        <v>18</v>
      </c>
      <c r="E2395">
        <v>241.59</v>
      </c>
      <c r="F2395">
        <v>176.53</v>
      </c>
      <c r="G2395">
        <v>4</v>
      </c>
      <c r="H2395">
        <f t="shared" si="222"/>
        <v>966.36</v>
      </c>
      <c r="I2395">
        <f t="shared" si="226"/>
        <v>706.12</v>
      </c>
      <c r="J2395">
        <f t="shared" si="223"/>
        <v>260.24</v>
      </c>
      <c r="K2395" s="8">
        <f t="shared" si="224"/>
        <v>0.26929922596133948</v>
      </c>
      <c r="L2395" t="str">
        <f t="shared" si="227"/>
        <v>2024-10</v>
      </c>
      <c r="M2395">
        <f t="shared" si="225"/>
        <v>260.24</v>
      </c>
    </row>
    <row r="2396" spans="1:13" x14ac:dyDescent="0.25">
      <c r="A2396" s="1">
        <v>44699</v>
      </c>
      <c r="B2396" t="s">
        <v>24</v>
      </c>
      <c r="C2396" t="s">
        <v>20</v>
      </c>
      <c r="D2396" t="s">
        <v>9</v>
      </c>
      <c r="E2396">
        <v>266.08999999999997</v>
      </c>
      <c r="F2396">
        <v>196.52</v>
      </c>
      <c r="G2396">
        <v>10</v>
      </c>
      <c r="H2396">
        <f t="shared" si="222"/>
        <v>2660.8999999999996</v>
      </c>
      <c r="I2396">
        <f t="shared" si="226"/>
        <v>1965.2</v>
      </c>
      <c r="J2396">
        <f t="shared" si="223"/>
        <v>695.69999999999959</v>
      </c>
      <c r="K2396" s="8">
        <f t="shared" si="224"/>
        <v>0.26145289187868753</v>
      </c>
      <c r="L2396" t="str">
        <f t="shared" si="227"/>
        <v>2022-05</v>
      </c>
      <c r="M2396">
        <f t="shared" si="225"/>
        <v>695.69999999999959</v>
      </c>
    </row>
    <row r="2397" spans="1:13" x14ac:dyDescent="0.25">
      <c r="A2397" s="1">
        <v>45416</v>
      </c>
      <c r="B2397" t="s">
        <v>12</v>
      </c>
      <c r="C2397" t="s">
        <v>8</v>
      </c>
      <c r="D2397" t="s">
        <v>18</v>
      </c>
      <c r="E2397">
        <v>450.13</v>
      </c>
      <c r="F2397">
        <v>296.66000000000003</v>
      </c>
      <c r="G2397">
        <v>6</v>
      </c>
      <c r="H2397">
        <f t="shared" si="222"/>
        <v>2700.7799999999997</v>
      </c>
      <c r="I2397">
        <f t="shared" si="226"/>
        <v>1779.96</v>
      </c>
      <c r="J2397">
        <f t="shared" si="223"/>
        <v>920.81999999999971</v>
      </c>
      <c r="K2397" s="8">
        <f t="shared" si="224"/>
        <v>0.34094594894808161</v>
      </c>
      <c r="L2397" t="str">
        <f t="shared" si="227"/>
        <v>2024-05</v>
      </c>
      <c r="M2397">
        <f t="shared" si="225"/>
        <v>920.81999999999971</v>
      </c>
    </row>
    <row r="2398" spans="1:13" x14ac:dyDescent="0.25">
      <c r="A2398" s="1">
        <v>45376</v>
      </c>
      <c r="B2398" t="s">
        <v>19</v>
      </c>
      <c r="C2398" t="s">
        <v>20</v>
      </c>
      <c r="D2398" t="s">
        <v>13</v>
      </c>
      <c r="E2398">
        <v>447.61</v>
      </c>
      <c r="F2398">
        <v>258.33</v>
      </c>
      <c r="G2398">
        <v>4</v>
      </c>
      <c r="H2398">
        <f t="shared" si="222"/>
        <v>1790.44</v>
      </c>
      <c r="I2398">
        <f t="shared" si="226"/>
        <v>1033.32</v>
      </c>
      <c r="J2398">
        <f t="shared" si="223"/>
        <v>757.12000000000012</v>
      </c>
      <c r="K2398" s="8">
        <f t="shared" si="224"/>
        <v>0.42286812180246203</v>
      </c>
      <c r="L2398" t="str">
        <f t="shared" si="227"/>
        <v>2024-03</v>
      </c>
      <c r="M2398">
        <f t="shared" si="225"/>
        <v>757.12000000000012</v>
      </c>
    </row>
    <row r="2399" spans="1:13" x14ac:dyDescent="0.25">
      <c r="A2399" s="1">
        <v>45563</v>
      </c>
      <c r="B2399" t="s">
        <v>22</v>
      </c>
      <c r="C2399" t="s">
        <v>8</v>
      </c>
      <c r="D2399" t="s">
        <v>17</v>
      </c>
      <c r="E2399">
        <v>165.41</v>
      </c>
      <c r="F2399">
        <v>140.41999999999999</v>
      </c>
      <c r="G2399">
        <v>10</v>
      </c>
      <c r="H2399">
        <f t="shared" si="222"/>
        <v>1654.1</v>
      </c>
      <c r="I2399">
        <f t="shared" si="226"/>
        <v>1404.1999999999998</v>
      </c>
      <c r="J2399">
        <f t="shared" si="223"/>
        <v>249.90000000000009</v>
      </c>
      <c r="K2399" s="8">
        <f t="shared" si="224"/>
        <v>0.15107913669064754</v>
      </c>
      <c r="L2399" t="str">
        <f t="shared" si="227"/>
        <v>2024-09</v>
      </c>
      <c r="M2399">
        <f t="shared" si="225"/>
        <v>249.90000000000009</v>
      </c>
    </row>
    <row r="2400" spans="1:13" x14ac:dyDescent="0.25">
      <c r="A2400" s="1">
        <v>45089</v>
      </c>
      <c r="B2400" t="s">
        <v>16</v>
      </c>
      <c r="C2400" t="s">
        <v>15</v>
      </c>
      <c r="D2400" t="s">
        <v>9</v>
      </c>
      <c r="E2400">
        <v>332.8</v>
      </c>
      <c r="F2400">
        <v>213.02</v>
      </c>
      <c r="G2400">
        <v>8</v>
      </c>
      <c r="H2400">
        <f t="shared" si="222"/>
        <v>2662.4</v>
      </c>
      <c r="I2400">
        <f t="shared" si="226"/>
        <v>1704.16</v>
      </c>
      <c r="J2400">
        <f t="shared" si="223"/>
        <v>958.24</v>
      </c>
      <c r="K2400" s="8">
        <f t="shared" si="224"/>
        <v>0.3599158653846154</v>
      </c>
      <c r="L2400" t="str">
        <f t="shared" si="227"/>
        <v>2023-06</v>
      </c>
      <c r="M2400">
        <f t="shared" si="225"/>
        <v>958.24</v>
      </c>
    </row>
    <row r="2401" spans="1:13" x14ac:dyDescent="0.25">
      <c r="A2401" s="1">
        <v>44591</v>
      </c>
      <c r="B2401" t="s">
        <v>7</v>
      </c>
      <c r="C2401" t="s">
        <v>8</v>
      </c>
      <c r="D2401" t="s">
        <v>17</v>
      </c>
      <c r="E2401">
        <v>1231.8499999999999</v>
      </c>
      <c r="F2401">
        <v>885.57</v>
      </c>
      <c r="G2401">
        <v>3</v>
      </c>
      <c r="H2401">
        <f t="shared" si="222"/>
        <v>3695.5499999999997</v>
      </c>
      <c r="I2401">
        <f t="shared" si="226"/>
        <v>2656.71</v>
      </c>
      <c r="J2401">
        <f t="shared" si="223"/>
        <v>1038.8399999999997</v>
      </c>
      <c r="K2401" s="8">
        <f t="shared" si="224"/>
        <v>0.28110565409749555</v>
      </c>
      <c r="L2401" t="str">
        <f t="shared" si="227"/>
        <v>2022-01</v>
      </c>
      <c r="M2401">
        <f t="shared" si="225"/>
        <v>1038.8399999999997</v>
      </c>
    </row>
    <row r="2402" spans="1:13" x14ac:dyDescent="0.25">
      <c r="A2402" s="1">
        <v>44823</v>
      </c>
      <c r="B2402" t="s">
        <v>21</v>
      </c>
      <c r="C2402" t="s">
        <v>20</v>
      </c>
      <c r="D2402" t="s">
        <v>13</v>
      </c>
      <c r="E2402">
        <v>1183.26</v>
      </c>
      <c r="F2402">
        <v>1024.4000000000001</v>
      </c>
      <c r="G2402">
        <v>1</v>
      </c>
      <c r="H2402">
        <f t="shared" si="222"/>
        <v>1183.26</v>
      </c>
      <c r="I2402">
        <f t="shared" si="226"/>
        <v>1024.4000000000001</v>
      </c>
      <c r="J2402">
        <f t="shared" si="223"/>
        <v>158.8599999999999</v>
      </c>
      <c r="K2402" s="8">
        <f t="shared" si="224"/>
        <v>0.13425620742693906</v>
      </c>
      <c r="L2402" t="str">
        <f t="shared" si="227"/>
        <v>2022-09</v>
      </c>
      <c r="M2402">
        <f t="shared" si="225"/>
        <v>158.8599999999999</v>
      </c>
    </row>
    <row r="2403" spans="1:13" x14ac:dyDescent="0.25">
      <c r="A2403" s="1">
        <v>45604</v>
      </c>
      <c r="B2403" t="s">
        <v>19</v>
      </c>
      <c r="C2403" t="s">
        <v>20</v>
      </c>
      <c r="D2403" t="s">
        <v>9</v>
      </c>
      <c r="E2403">
        <v>1817.85</v>
      </c>
      <c r="F2403">
        <v>1279.83</v>
      </c>
      <c r="G2403">
        <v>2</v>
      </c>
      <c r="H2403">
        <f t="shared" si="222"/>
        <v>3635.7</v>
      </c>
      <c r="I2403">
        <f t="shared" si="226"/>
        <v>2559.66</v>
      </c>
      <c r="J2403">
        <f t="shared" si="223"/>
        <v>1076.04</v>
      </c>
      <c r="K2403" s="8">
        <f t="shared" si="224"/>
        <v>0.29596501361498473</v>
      </c>
      <c r="L2403" t="str">
        <f t="shared" si="227"/>
        <v>2024-11</v>
      </c>
      <c r="M2403">
        <f t="shared" si="225"/>
        <v>1076.04</v>
      </c>
    </row>
    <row r="2404" spans="1:13" x14ac:dyDescent="0.25">
      <c r="A2404" s="1">
        <v>44881</v>
      </c>
      <c r="B2404" t="s">
        <v>12</v>
      </c>
      <c r="C2404" t="s">
        <v>8</v>
      </c>
      <c r="D2404" t="s">
        <v>13</v>
      </c>
      <c r="E2404">
        <v>704.94</v>
      </c>
      <c r="F2404">
        <v>469.51</v>
      </c>
      <c r="G2404">
        <v>6</v>
      </c>
      <c r="H2404">
        <f t="shared" si="222"/>
        <v>4229.6400000000003</v>
      </c>
      <c r="I2404">
        <f t="shared" si="226"/>
        <v>2817.06</v>
      </c>
      <c r="J2404">
        <f t="shared" si="223"/>
        <v>1412.5800000000004</v>
      </c>
      <c r="K2404" s="8">
        <f t="shared" si="224"/>
        <v>0.33397168553352063</v>
      </c>
      <c r="L2404" t="str">
        <f t="shared" si="227"/>
        <v>2022-11</v>
      </c>
      <c r="M2404">
        <f t="shared" si="225"/>
        <v>1412.5800000000004</v>
      </c>
    </row>
    <row r="2405" spans="1:13" x14ac:dyDescent="0.25">
      <c r="A2405" s="1">
        <v>45173</v>
      </c>
      <c r="B2405" t="s">
        <v>25</v>
      </c>
      <c r="C2405" t="s">
        <v>15</v>
      </c>
      <c r="D2405" t="s">
        <v>9</v>
      </c>
      <c r="E2405">
        <v>896.81</v>
      </c>
      <c r="F2405">
        <v>521.75</v>
      </c>
      <c r="G2405">
        <v>4</v>
      </c>
      <c r="H2405">
        <f t="shared" si="222"/>
        <v>3587.24</v>
      </c>
      <c r="I2405">
        <f t="shared" si="226"/>
        <v>2087</v>
      </c>
      <c r="J2405">
        <f t="shared" si="223"/>
        <v>1500.2399999999998</v>
      </c>
      <c r="K2405" s="8">
        <f t="shared" si="224"/>
        <v>0.41821567556115563</v>
      </c>
      <c r="L2405" t="str">
        <f t="shared" si="227"/>
        <v>2023-09</v>
      </c>
      <c r="M2405">
        <f t="shared" si="225"/>
        <v>1500.2399999999998</v>
      </c>
    </row>
    <row r="2406" spans="1:13" x14ac:dyDescent="0.25">
      <c r="A2406" s="1">
        <v>45429</v>
      </c>
      <c r="B2406" t="s">
        <v>7</v>
      </c>
      <c r="C2406" t="s">
        <v>8</v>
      </c>
      <c r="D2406" t="s">
        <v>17</v>
      </c>
      <c r="E2406">
        <v>806.3</v>
      </c>
      <c r="F2406">
        <v>630.92999999999995</v>
      </c>
      <c r="G2406">
        <v>3</v>
      </c>
      <c r="H2406">
        <f t="shared" si="222"/>
        <v>2418.8999999999996</v>
      </c>
      <c r="I2406">
        <f t="shared" si="226"/>
        <v>1892.79</v>
      </c>
      <c r="J2406">
        <f t="shared" si="223"/>
        <v>526.10999999999967</v>
      </c>
      <c r="K2406" s="8">
        <f t="shared" si="224"/>
        <v>0.21749968994170893</v>
      </c>
      <c r="L2406" t="str">
        <f t="shared" si="227"/>
        <v>2024-05</v>
      </c>
      <c r="M2406">
        <f t="shared" si="225"/>
        <v>526.10999999999967</v>
      </c>
    </row>
    <row r="2407" spans="1:13" x14ac:dyDescent="0.25">
      <c r="A2407" s="1">
        <v>45636</v>
      </c>
      <c r="B2407" t="s">
        <v>24</v>
      </c>
      <c r="C2407" t="s">
        <v>20</v>
      </c>
      <c r="D2407" t="s">
        <v>13</v>
      </c>
      <c r="E2407">
        <v>769.98</v>
      </c>
      <c r="F2407">
        <v>394.56</v>
      </c>
      <c r="G2407">
        <v>6</v>
      </c>
      <c r="H2407">
        <f t="shared" si="222"/>
        <v>4619.88</v>
      </c>
      <c r="I2407">
        <f t="shared" si="226"/>
        <v>2367.36</v>
      </c>
      <c r="J2407">
        <f t="shared" si="223"/>
        <v>2252.52</v>
      </c>
      <c r="K2407" s="8">
        <f t="shared" si="224"/>
        <v>0.48757110574300627</v>
      </c>
      <c r="L2407" t="str">
        <f t="shared" si="227"/>
        <v>2024-12</v>
      </c>
      <c r="M2407">
        <f t="shared" si="225"/>
        <v>2252.52</v>
      </c>
    </row>
    <row r="2408" spans="1:13" x14ac:dyDescent="0.25">
      <c r="A2408" s="1">
        <v>44673</v>
      </c>
      <c r="B2408" t="s">
        <v>22</v>
      </c>
      <c r="C2408" t="s">
        <v>8</v>
      </c>
      <c r="D2408" t="s">
        <v>13</v>
      </c>
      <c r="E2408">
        <v>928.07</v>
      </c>
      <c r="F2408">
        <v>717.59</v>
      </c>
      <c r="G2408">
        <v>1</v>
      </c>
      <c r="H2408">
        <f t="shared" si="222"/>
        <v>928.07</v>
      </c>
      <c r="I2408">
        <f t="shared" si="226"/>
        <v>717.59</v>
      </c>
      <c r="J2408">
        <f t="shared" si="223"/>
        <v>210.48000000000002</v>
      </c>
      <c r="K2408" s="8">
        <f t="shared" si="224"/>
        <v>0.22679323757906192</v>
      </c>
      <c r="L2408" t="str">
        <f t="shared" si="227"/>
        <v>2022-04</v>
      </c>
      <c r="M2408">
        <f t="shared" si="225"/>
        <v>210.48000000000002</v>
      </c>
    </row>
    <row r="2409" spans="1:13" x14ac:dyDescent="0.25">
      <c r="A2409" s="1">
        <v>45289</v>
      </c>
      <c r="B2409" t="s">
        <v>16</v>
      </c>
      <c r="C2409" t="s">
        <v>15</v>
      </c>
      <c r="D2409" t="s">
        <v>13</v>
      </c>
      <c r="E2409">
        <v>1188.8499999999999</v>
      </c>
      <c r="F2409">
        <v>882.57</v>
      </c>
      <c r="G2409">
        <v>9</v>
      </c>
      <c r="H2409">
        <f t="shared" si="222"/>
        <v>10699.65</v>
      </c>
      <c r="I2409">
        <f t="shared" si="226"/>
        <v>7943.13</v>
      </c>
      <c r="J2409">
        <f t="shared" si="223"/>
        <v>2756.5199999999995</v>
      </c>
      <c r="K2409" s="8">
        <f t="shared" si="224"/>
        <v>0.25762711864406779</v>
      </c>
      <c r="L2409" t="str">
        <f t="shared" si="227"/>
        <v>2023-12</v>
      </c>
      <c r="M2409">
        <f t="shared" si="225"/>
        <v>2756.5199999999995</v>
      </c>
    </row>
    <row r="2410" spans="1:13" x14ac:dyDescent="0.25">
      <c r="A2410" s="1">
        <v>45278</v>
      </c>
      <c r="B2410" t="s">
        <v>10</v>
      </c>
      <c r="C2410" t="s">
        <v>11</v>
      </c>
      <c r="D2410" t="s">
        <v>13</v>
      </c>
      <c r="E2410">
        <v>945.72</v>
      </c>
      <c r="F2410">
        <v>532.59</v>
      </c>
      <c r="G2410">
        <v>10</v>
      </c>
      <c r="H2410">
        <f t="shared" si="222"/>
        <v>9457.2000000000007</v>
      </c>
      <c r="I2410">
        <f t="shared" si="226"/>
        <v>5325.9000000000005</v>
      </c>
      <c r="J2410">
        <f t="shared" si="223"/>
        <v>4131.3</v>
      </c>
      <c r="K2410" s="8">
        <f t="shared" si="224"/>
        <v>0.43684177134881358</v>
      </c>
      <c r="L2410" t="str">
        <f t="shared" si="227"/>
        <v>2023-12</v>
      </c>
      <c r="M2410">
        <f t="shared" si="225"/>
        <v>4131.3</v>
      </c>
    </row>
    <row r="2411" spans="1:13" x14ac:dyDescent="0.25">
      <c r="A2411" s="1">
        <v>44791</v>
      </c>
      <c r="B2411" t="s">
        <v>22</v>
      </c>
      <c r="C2411" t="s">
        <v>8</v>
      </c>
      <c r="D2411" t="s">
        <v>9</v>
      </c>
      <c r="E2411">
        <v>1600.84</v>
      </c>
      <c r="F2411">
        <v>1155.1500000000001</v>
      </c>
      <c r="G2411">
        <v>4</v>
      </c>
      <c r="H2411">
        <f t="shared" si="222"/>
        <v>6403.36</v>
      </c>
      <c r="I2411">
        <f t="shared" si="226"/>
        <v>4620.6000000000004</v>
      </c>
      <c r="J2411">
        <f t="shared" si="223"/>
        <v>1782.7599999999993</v>
      </c>
      <c r="K2411" s="8">
        <f t="shared" si="224"/>
        <v>0.27841008470552953</v>
      </c>
      <c r="L2411" t="str">
        <f t="shared" si="227"/>
        <v>2022-08</v>
      </c>
      <c r="M2411">
        <f t="shared" si="225"/>
        <v>1782.7599999999993</v>
      </c>
    </row>
    <row r="2412" spans="1:13" x14ac:dyDescent="0.25">
      <c r="A2412" s="1">
        <v>44629</v>
      </c>
      <c r="B2412" t="s">
        <v>25</v>
      </c>
      <c r="C2412" t="s">
        <v>15</v>
      </c>
      <c r="D2412" t="s">
        <v>13</v>
      </c>
      <c r="E2412">
        <v>705.27</v>
      </c>
      <c r="F2412">
        <v>613.99</v>
      </c>
      <c r="G2412">
        <v>9</v>
      </c>
      <c r="H2412">
        <f t="shared" si="222"/>
        <v>6347.43</v>
      </c>
      <c r="I2412">
        <f t="shared" si="226"/>
        <v>5525.91</v>
      </c>
      <c r="J2412">
        <f t="shared" si="223"/>
        <v>821.52000000000044</v>
      </c>
      <c r="K2412" s="8">
        <f t="shared" si="224"/>
        <v>0.12942561005005182</v>
      </c>
      <c r="L2412" t="str">
        <f t="shared" si="227"/>
        <v>2022-03</v>
      </c>
      <c r="M2412">
        <f t="shared" si="225"/>
        <v>821.52000000000044</v>
      </c>
    </row>
    <row r="2413" spans="1:13" x14ac:dyDescent="0.25">
      <c r="A2413" s="1">
        <v>45561</v>
      </c>
      <c r="B2413" t="s">
        <v>19</v>
      </c>
      <c r="C2413" t="s">
        <v>20</v>
      </c>
      <c r="D2413" t="s">
        <v>13</v>
      </c>
      <c r="E2413">
        <v>173.11</v>
      </c>
      <c r="F2413">
        <v>121.95</v>
      </c>
      <c r="G2413">
        <v>10</v>
      </c>
      <c r="H2413">
        <f t="shared" si="222"/>
        <v>1731.1000000000001</v>
      </c>
      <c r="I2413">
        <f t="shared" si="226"/>
        <v>1219.5</v>
      </c>
      <c r="J2413">
        <f t="shared" si="223"/>
        <v>511.60000000000014</v>
      </c>
      <c r="K2413" s="8">
        <f t="shared" si="224"/>
        <v>0.2955346311593785</v>
      </c>
      <c r="L2413" t="str">
        <f t="shared" si="227"/>
        <v>2024-09</v>
      </c>
      <c r="M2413">
        <f t="shared" si="225"/>
        <v>511.60000000000014</v>
      </c>
    </row>
    <row r="2414" spans="1:13" x14ac:dyDescent="0.25">
      <c r="A2414" s="1">
        <v>44631</v>
      </c>
      <c r="B2414" t="s">
        <v>10</v>
      </c>
      <c r="C2414" t="s">
        <v>11</v>
      </c>
      <c r="D2414" t="s">
        <v>18</v>
      </c>
      <c r="E2414">
        <v>843.36</v>
      </c>
      <c r="F2414">
        <v>460.77</v>
      </c>
      <c r="G2414">
        <v>4</v>
      </c>
      <c r="H2414">
        <f t="shared" si="222"/>
        <v>3373.44</v>
      </c>
      <c r="I2414">
        <f t="shared" si="226"/>
        <v>1843.08</v>
      </c>
      <c r="J2414">
        <f t="shared" si="223"/>
        <v>1530.3600000000001</v>
      </c>
      <c r="K2414" s="8">
        <f t="shared" si="224"/>
        <v>0.45364968696642005</v>
      </c>
      <c r="L2414" t="str">
        <f t="shared" si="227"/>
        <v>2022-03</v>
      </c>
      <c r="M2414">
        <f t="shared" si="225"/>
        <v>1530.3600000000001</v>
      </c>
    </row>
    <row r="2415" spans="1:13" x14ac:dyDescent="0.25">
      <c r="A2415" s="1">
        <v>44788</v>
      </c>
      <c r="B2415" t="s">
        <v>10</v>
      </c>
      <c r="C2415" t="s">
        <v>11</v>
      </c>
      <c r="D2415" t="s">
        <v>18</v>
      </c>
      <c r="E2415">
        <v>607.16999999999996</v>
      </c>
      <c r="F2415">
        <v>510.88</v>
      </c>
      <c r="G2415">
        <v>3</v>
      </c>
      <c r="H2415">
        <f t="shared" si="222"/>
        <v>1821.5099999999998</v>
      </c>
      <c r="I2415">
        <f t="shared" si="226"/>
        <v>1532.6399999999999</v>
      </c>
      <c r="J2415">
        <f t="shared" si="223"/>
        <v>288.86999999999989</v>
      </c>
      <c r="K2415" s="8">
        <f t="shared" si="224"/>
        <v>0.15858820429204337</v>
      </c>
      <c r="L2415" t="str">
        <f t="shared" si="227"/>
        <v>2022-08</v>
      </c>
      <c r="M2415">
        <f t="shared" si="225"/>
        <v>288.86999999999989</v>
      </c>
    </row>
    <row r="2416" spans="1:13" x14ac:dyDescent="0.25">
      <c r="A2416" s="1">
        <v>45405</v>
      </c>
      <c r="B2416" t="s">
        <v>25</v>
      </c>
      <c r="C2416" t="s">
        <v>15</v>
      </c>
      <c r="D2416" t="s">
        <v>17</v>
      </c>
      <c r="E2416">
        <v>1632.4</v>
      </c>
      <c r="F2416">
        <v>1047.7</v>
      </c>
      <c r="G2416">
        <v>7</v>
      </c>
      <c r="H2416">
        <f t="shared" si="222"/>
        <v>11426.800000000001</v>
      </c>
      <c r="I2416">
        <f t="shared" si="226"/>
        <v>7333.9000000000005</v>
      </c>
      <c r="J2416">
        <f t="shared" si="223"/>
        <v>4092.9000000000005</v>
      </c>
      <c r="K2416" s="8">
        <f t="shared" si="224"/>
        <v>0.35818426856162705</v>
      </c>
      <c r="L2416" t="str">
        <f t="shared" si="227"/>
        <v>2024-04</v>
      </c>
      <c r="M2416">
        <f t="shared" si="225"/>
        <v>4092.9000000000005</v>
      </c>
    </row>
    <row r="2417" spans="1:13" x14ac:dyDescent="0.25">
      <c r="A2417" s="1">
        <v>45146</v>
      </c>
      <c r="B2417" t="s">
        <v>14</v>
      </c>
      <c r="C2417" t="s">
        <v>15</v>
      </c>
      <c r="D2417" t="s">
        <v>18</v>
      </c>
      <c r="E2417">
        <v>668.24</v>
      </c>
      <c r="F2417">
        <v>335.21</v>
      </c>
      <c r="G2417">
        <v>1</v>
      </c>
      <c r="H2417">
        <f t="shared" si="222"/>
        <v>668.24</v>
      </c>
      <c r="I2417">
        <f t="shared" si="226"/>
        <v>335.21</v>
      </c>
      <c r="J2417">
        <f t="shared" si="223"/>
        <v>333.03000000000003</v>
      </c>
      <c r="K2417" s="8">
        <f t="shared" si="224"/>
        <v>0.49836884951514432</v>
      </c>
      <c r="L2417" t="str">
        <f t="shared" si="227"/>
        <v>2023-08</v>
      </c>
      <c r="M2417">
        <f t="shared" si="225"/>
        <v>333.03000000000003</v>
      </c>
    </row>
    <row r="2418" spans="1:13" x14ac:dyDescent="0.25">
      <c r="A2418" s="1">
        <v>44844</v>
      </c>
      <c r="B2418" t="s">
        <v>10</v>
      </c>
      <c r="C2418" t="s">
        <v>11</v>
      </c>
      <c r="D2418" t="s">
        <v>18</v>
      </c>
      <c r="E2418">
        <v>1277.43</v>
      </c>
      <c r="F2418">
        <v>1103.08</v>
      </c>
      <c r="G2418">
        <v>4</v>
      </c>
      <c r="H2418">
        <f t="shared" si="222"/>
        <v>5109.72</v>
      </c>
      <c r="I2418">
        <f t="shared" si="226"/>
        <v>4412.32</v>
      </c>
      <c r="J2418">
        <f t="shared" si="223"/>
        <v>697.40000000000055</v>
      </c>
      <c r="K2418" s="8">
        <f t="shared" si="224"/>
        <v>0.13648497373633006</v>
      </c>
      <c r="L2418" t="str">
        <f t="shared" si="227"/>
        <v>2022-10</v>
      </c>
      <c r="M2418">
        <f t="shared" si="225"/>
        <v>697.40000000000055</v>
      </c>
    </row>
    <row r="2419" spans="1:13" x14ac:dyDescent="0.25">
      <c r="A2419" s="1">
        <v>45530</v>
      </c>
      <c r="B2419" t="s">
        <v>24</v>
      </c>
      <c r="C2419" t="s">
        <v>20</v>
      </c>
      <c r="D2419" t="s">
        <v>17</v>
      </c>
      <c r="E2419">
        <v>1831.55</v>
      </c>
      <c r="F2419">
        <v>988.16</v>
      </c>
      <c r="G2419">
        <v>6</v>
      </c>
      <c r="H2419">
        <f t="shared" si="222"/>
        <v>10989.3</v>
      </c>
      <c r="I2419">
        <f t="shared" si="226"/>
        <v>5928.96</v>
      </c>
      <c r="J2419">
        <f t="shared" si="223"/>
        <v>5060.3399999999992</v>
      </c>
      <c r="K2419" s="8">
        <f t="shared" si="224"/>
        <v>0.46047882940678658</v>
      </c>
      <c r="L2419" t="str">
        <f t="shared" si="227"/>
        <v>2024-08</v>
      </c>
      <c r="M2419">
        <f t="shared" si="225"/>
        <v>5060.3399999999992</v>
      </c>
    </row>
    <row r="2420" spans="1:13" x14ac:dyDescent="0.25">
      <c r="A2420" s="1">
        <v>44719</v>
      </c>
      <c r="B2420" t="s">
        <v>16</v>
      </c>
      <c r="C2420" t="s">
        <v>15</v>
      </c>
      <c r="D2420" t="s">
        <v>17</v>
      </c>
      <c r="E2420">
        <v>1628.77</v>
      </c>
      <c r="F2420">
        <v>1139.45</v>
      </c>
      <c r="G2420">
        <v>9</v>
      </c>
      <c r="H2420">
        <f t="shared" si="222"/>
        <v>14658.93</v>
      </c>
      <c r="I2420">
        <f t="shared" si="226"/>
        <v>10255.050000000001</v>
      </c>
      <c r="J2420">
        <f t="shared" si="223"/>
        <v>4403.8799999999992</v>
      </c>
      <c r="K2420" s="8">
        <f t="shared" si="224"/>
        <v>0.30042301859685522</v>
      </c>
      <c r="L2420" t="str">
        <f t="shared" si="227"/>
        <v>2022-06</v>
      </c>
      <c r="M2420">
        <f t="shared" si="225"/>
        <v>4403.8799999999992</v>
      </c>
    </row>
    <row r="2421" spans="1:13" x14ac:dyDescent="0.25">
      <c r="A2421" s="1">
        <v>45578</v>
      </c>
      <c r="B2421" t="s">
        <v>7</v>
      </c>
      <c r="C2421" t="s">
        <v>8</v>
      </c>
      <c r="D2421" t="s">
        <v>13</v>
      </c>
      <c r="E2421">
        <v>744.12</v>
      </c>
      <c r="F2421">
        <v>534.47</v>
      </c>
      <c r="G2421">
        <v>4</v>
      </c>
      <c r="H2421">
        <f t="shared" si="222"/>
        <v>2976.48</v>
      </c>
      <c r="I2421">
        <f t="shared" si="226"/>
        <v>2137.88</v>
      </c>
      <c r="J2421">
        <f t="shared" si="223"/>
        <v>838.59999999999991</v>
      </c>
      <c r="K2421" s="8">
        <f t="shared" si="224"/>
        <v>0.28174219211955059</v>
      </c>
      <c r="L2421" t="str">
        <f t="shared" si="227"/>
        <v>2024-10</v>
      </c>
      <c r="M2421">
        <f t="shared" si="225"/>
        <v>838.59999999999991</v>
      </c>
    </row>
    <row r="2422" spans="1:13" x14ac:dyDescent="0.25">
      <c r="A2422" s="1">
        <v>44942</v>
      </c>
      <c r="B2422" t="s">
        <v>10</v>
      </c>
      <c r="C2422" t="s">
        <v>11</v>
      </c>
      <c r="D2422" t="s">
        <v>17</v>
      </c>
      <c r="E2422">
        <v>1341.78</v>
      </c>
      <c r="F2422">
        <v>691.66</v>
      </c>
      <c r="G2422">
        <v>5</v>
      </c>
      <c r="H2422">
        <f t="shared" si="222"/>
        <v>6708.9</v>
      </c>
      <c r="I2422">
        <f t="shared" si="226"/>
        <v>3458.2999999999997</v>
      </c>
      <c r="J2422">
        <f t="shared" si="223"/>
        <v>3250.6</v>
      </c>
      <c r="K2422" s="8">
        <f t="shared" si="224"/>
        <v>0.48452056223822088</v>
      </c>
      <c r="L2422" t="str">
        <f t="shared" si="227"/>
        <v>2023-01</v>
      </c>
      <c r="M2422">
        <f t="shared" si="225"/>
        <v>3250.6</v>
      </c>
    </row>
    <row r="2423" spans="1:13" x14ac:dyDescent="0.25">
      <c r="A2423" s="1">
        <v>45429</v>
      </c>
      <c r="B2423" t="s">
        <v>12</v>
      </c>
      <c r="C2423" t="s">
        <v>8</v>
      </c>
      <c r="D2423" t="s">
        <v>13</v>
      </c>
      <c r="E2423">
        <v>368.11</v>
      </c>
      <c r="F2423">
        <v>192.5</v>
      </c>
      <c r="G2423">
        <v>10</v>
      </c>
      <c r="H2423">
        <f t="shared" si="222"/>
        <v>3681.1000000000004</v>
      </c>
      <c r="I2423">
        <f t="shared" si="226"/>
        <v>1925</v>
      </c>
      <c r="J2423">
        <f t="shared" si="223"/>
        <v>1756.1000000000004</v>
      </c>
      <c r="K2423" s="8">
        <f t="shared" si="224"/>
        <v>0.47705848795197092</v>
      </c>
      <c r="L2423" t="str">
        <f t="shared" si="227"/>
        <v>2024-05</v>
      </c>
      <c r="M2423">
        <f t="shared" si="225"/>
        <v>1756.1000000000004</v>
      </c>
    </row>
    <row r="2424" spans="1:13" x14ac:dyDescent="0.25">
      <c r="A2424" s="1">
        <v>45333</v>
      </c>
      <c r="B2424" t="s">
        <v>21</v>
      </c>
      <c r="C2424" t="s">
        <v>20</v>
      </c>
      <c r="D2424" t="s">
        <v>9</v>
      </c>
      <c r="E2424">
        <v>1928.96</v>
      </c>
      <c r="F2424">
        <v>1523.94</v>
      </c>
      <c r="G2424">
        <v>6</v>
      </c>
      <c r="H2424">
        <f t="shared" si="222"/>
        <v>11573.76</v>
      </c>
      <c r="I2424">
        <f t="shared" si="226"/>
        <v>9143.64</v>
      </c>
      <c r="J2424">
        <f t="shared" si="223"/>
        <v>2430.1200000000008</v>
      </c>
      <c r="K2424" s="8">
        <f t="shared" si="224"/>
        <v>0.20996806569343071</v>
      </c>
      <c r="L2424" t="str">
        <f t="shared" si="227"/>
        <v>2024-02</v>
      </c>
      <c r="M2424">
        <f t="shared" si="225"/>
        <v>2430.1200000000008</v>
      </c>
    </row>
    <row r="2425" spans="1:13" x14ac:dyDescent="0.25">
      <c r="A2425" s="1">
        <v>45014</v>
      </c>
      <c r="B2425" t="s">
        <v>24</v>
      </c>
      <c r="C2425" t="s">
        <v>20</v>
      </c>
      <c r="D2425" t="s">
        <v>13</v>
      </c>
      <c r="E2425">
        <v>1454.15</v>
      </c>
      <c r="F2425">
        <v>1112.6500000000001</v>
      </c>
      <c r="G2425">
        <v>2</v>
      </c>
      <c r="H2425">
        <f t="shared" si="222"/>
        <v>2908.3</v>
      </c>
      <c r="I2425">
        <f t="shared" si="226"/>
        <v>2225.3000000000002</v>
      </c>
      <c r="J2425">
        <f t="shared" si="223"/>
        <v>683</v>
      </c>
      <c r="K2425" s="8">
        <f t="shared" si="224"/>
        <v>0.2348450985111577</v>
      </c>
      <c r="L2425" t="str">
        <f t="shared" si="227"/>
        <v>2023-03</v>
      </c>
      <c r="M2425">
        <f t="shared" si="225"/>
        <v>683</v>
      </c>
    </row>
    <row r="2426" spans="1:13" x14ac:dyDescent="0.25">
      <c r="A2426" s="1">
        <v>45593</v>
      </c>
      <c r="B2426" t="s">
        <v>24</v>
      </c>
      <c r="C2426" t="s">
        <v>20</v>
      </c>
      <c r="D2426" t="s">
        <v>17</v>
      </c>
      <c r="E2426">
        <v>509.05</v>
      </c>
      <c r="F2426">
        <v>271.08</v>
      </c>
      <c r="G2426">
        <v>6</v>
      </c>
      <c r="H2426">
        <f t="shared" si="222"/>
        <v>3054.3</v>
      </c>
      <c r="I2426">
        <f t="shared" si="226"/>
        <v>1626.48</v>
      </c>
      <c r="J2426">
        <f t="shared" si="223"/>
        <v>1427.8200000000002</v>
      </c>
      <c r="K2426" s="8">
        <f t="shared" si="224"/>
        <v>0.46747863667616152</v>
      </c>
      <c r="L2426" t="str">
        <f t="shared" si="227"/>
        <v>2024-10</v>
      </c>
      <c r="M2426">
        <f t="shared" si="225"/>
        <v>1427.8200000000002</v>
      </c>
    </row>
    <row r="2427" spans="1:13" x14ac:dyDescent="0.25">
      <c r="A2427" s="1">
        <v>45509</v>
      </c>
      <c r="B2427" t="s">
        <v>10</v>
      </c>
      <c r="C2427" t="s">
        <v>11</v>
      </c>
      <c r="D2427" t="s">
        <v>17</v>
      </c>
      <c r="E2427">
        <v>912.71</v>
      </c>
      <c r="F2427">
        <v>572.92999999999995</v>
      </c>
      <c r="G2427">
        <v>3</v>
      </c>
      <c r="H2427">
        <f t="shared" si="222"/>
        <v>2738.13</v>
      </c>
      <c r="I2427">
        <f t="shared" si="226"/>
        <v>1718.79</v>
      </c>
      <c r="J2427">
        <f t="shared" si="223"/>
        <v>1019.3400000000001</v>
      </c>
      <c r="K2427" s="8">
        <f t="shared" si="224"/>
        <v>0.3722759693659542</v>
      </c>
      <c r="L2427" t="str">
        <f t="shared" si="227"/>
        <v>2024-08</v>
      </c>
      <c r="M2427">
        <f t="shared" si="225"/>
        <v>1019.3400000000001</v>
      </c>
    </row>
    <row r="2428" spans="1:13" x14ac:dyDescent="0.25">
      <c r="A2428" s="1">
        <v>45076</v>
      </c>
      <c r="B2428" t="s">
        <v>14</v>
      </c>
      <c r="C2428" t="s">
        <v>15</v>
      </c>
      <c r="D2428" t="s">
        <v>17</v>
      </c>
      <c r="E2428">
        <v>1716.07</v>
      </c>
      <c r="F2428">
        <v>1419.27</v>
      </c>
      <c r="G2428">
        <v>6</v>
      </c>
      <c r="H2428">
        <f t="shared" si="222"/>
        <v>10296.42</v>
      </c>
      <c r="I2428">
        <f t="shared" si="226"/>
        <v>8515.619999999999</v>
      </c>
      <c r="J2428">
        <f t="shared" si="223"/>
        <v>1780.8000000000011</v>
      </c>
      <c r="K2428" s="8">
        <f t="shared" si="224"/>
        <v>0.17295331775510334</v>
      </c>
      <c r="L2428" t="str">
        <f t="shared" si="227"/>
        <v>2023-05</v>
      </c>
      <c r="M2428">
        <f t="shared" si="225"/>
        <v>1780.8000000000011</v>
      </c>
    </row>
    <row r="2429" spans="1:13" x14ac:dyDescent="0.25">
      <c r="A2429" s="1">
        <v>44915</v>
      </c>
      <c r="B2429" t="s">
        <v>22</v>
      </c>
      <c r="C2429" t="s">
        <v>8</v>
      </c>
      <c r="D2429" t="s">
        <v>17</v>
      </c>
      <c r="E2429">
        <v>449.48</v>
      </c>
      <c r="F2429">
        <v>239.11</v>
      </c>
      <c r="G2429">
        <v>1</v>
      </c>
      <c r="H2429">
        <f t="shared" si="222"/>
        <v>449.48</v>
      </c>
      <c r="I2429">
        <f t="shared" si="226"/>
        <v>239.11</v>
      </c>
      <c r="J2429">
        <f t="shared" si="223"/>
        <v>210.37</v>
      </c>
      <c r="K2429" s="8">
        <f t="shared" si="224"/>
        <v>0.46802972323573905</v>
      </c>
      <c r="L2429" t="str">
        <f t="shared" si="227"/>
        <v>2022-12</v>
      </c>
      <c r="M2429">
        <f t="shared" si="225"/>
        <v>210.37</v>
      </c>
    </row>
    <row r="2430" spans="1:13" x14ac:dyDescent="0.25">
      <c r="A2430" s="1">
        <v>45453</v>
      </c>
      <c r="B2430" t="s">
        <v>22</v>
      </c>
      <c r="C2430" t="s">
        <v>8</v>
      </c>
      <c r="D2430" t="s">
        <v>18</v>
      </c>
      <c r="E2430">
        <v>1340.4</v>
      </c>
      <c r="F2430">
        <v>675.11</v>
      </c>
      <c r="G2430">
        <v>2</v>
      </c>
      <c r="H2430">
        <f t="shared" si="222"/>
        <v>2680.8</v>
      </c>
      <c r="I2430">
        <f t="shared" si="226"/>
        <v>1350.22</v>
      </c>
      <c r="J2430">
        <f t="shared" si="223"/>
        <v>1330.5800000000002</v>
      </c>
      <c r="K2430" s="8">
        <f t="shared" si="224"/>
        <v>0.49633691435392424</v>
      </c>
      <c r="L2430" t="str">
        <f t="shared" si="227"/>
        <v>2024-06</v>
      </c>
      <c r="M2430">
        <f t="shared" si="225"/>
        <v>1330.5800000000002</v>
      </c>
    </row>
    <row r="2431" spans="1:13" x14ac:dyDescent="0.25">
      <c r="A2431" s="1">
        <v>45614</v>
      </c>
      <c r="B2431" t="s">
        <v>10</v>
      </c>
      <c r="C2431" t="s">
        <v>11</v>
      </c>
      <c r="D2431" t="s">
        <v>9</v>
      </c>
      <c r="E2431">
        <v>804.15</v>
      </c>
      <c r="F2431">
        <v>517.62</v>
      </c>
      <c r="G2431">
        <v>5</v>
      </c>
      <c r="H2431">
        <f t="shared" si="222"/>
        <v>4020.75</v>
      </c>
      <c r="I2431">
        <f t="shared" si="226"/>
        <v>2588.1</v>
      </c>
      <c r="J2431">
        <f t="shared" si="223"/>
        <v>1432.65</v>
      </c>
      <c r="K2431" s="8">
        <f t="shared" si="224"/>
        <v>0.35631412049990674</v>
      </c>
      <c r="L2431" t="str">
        <f t="shared" si="227"/>
        <v>2024-11</v>
      </c>
      <c r="M2431">
        <f t="shared" si="225"/>
        <v>1432.65</v>
      </c>
    </row>
    <row r="2432" spans="1:13" x14ac:dyDescent="0.25">
      <c r="A2432" s="1">
        <v>45546</v>
      </c>
      <c r="B2432" t="s">
        <v>14</v>
      </c>
      <c r="C2432" t="s">
        <v>15</v>
      </c>
      <c r="D2432" t="s">
        <v>17</v>
      </c>
      <c r="E2432">
        <v>1350.05</v>
      </c>
      <c r="F2432">
        <v>837.51</v>
      </c>
      <c r="G2432">
        <v>2</v>
      </c>
      <c r="H2432">
        <f t="shared" si="222"/>
        <v>2700.1</v>
      </c>
      <c r="I2432">
        <f t="shared" si="226"/>
        <v>1675.02</v>
      </c>
      <c r="J2432">
        <f t="shared" si="223"/>
        <v>1025.08</v>
      </c>
      <c r="K2432" s="8">
        <f t="shared" si="224"/>
        <v>0.37964519832598792</v>
      </c>
      <c r="L2432" t="str">
        <f t="shared" si="227"/>
        <v>2024-09</v>
      </c>
      <c r="M2432">
        <f t="shared" si="225"/>
        <v>1025.08</v>
      </c>
    </row>
    <row r="2433" spans="1:13" x14ac:dyDescent="0.25">
      <c r="A2433" s="1">
        <v>45221</v>
      </c>
      <c r="B2433" t="s">
        <v>16</v>
      </c>
      <c r="C2433" t="s">
        <v>15</v>
      </c>
      <c r="D2433" t="s">
        <v>9</v>
      </c>
      <c r="E2433">
        <v>717.41</v>
      </c>
      <c r="F2433">
        <v>597.65</v>
      </c>
      <c r="G2433">
        <v>7</v>
      </c>
      <c r="H2433">
        <f t="shared" si="222"/>
        <v>5021.87</v>
      </c>
      <c r="I2433">
        <f t="shared" si="226"/>
        <v>4183.55</v>
      </c>
      <c r="J2433">
        <f t="shared" si="223"/>
        <v>838.31999999999971</v>
      </c>
      <c r="K2433" s="8">
        <f t="shared" si="224"/>
        <v>0.16693383142136289</v>
      </c>
      <c r="L2433" t="str">
        <f t="shared" si="227"/>
        <v>2023-10</v>
      </c>
      <c r="M2433">
        <f t="shared" si="225"/>
        <v>838.31999999999971</v>
      </c>
    </row>
    <row r="2434" spans="1:13" x14ac:dyDescent="0.25">
      <c r="A2434" s="1">
        <v>44647</v>
      </c>
      <c r="B2434" t="s">
        <v>14</v>
      </c>
      <c r="C2434" t="s">
        <v>15</v>
      </c>
      <c r="D2434" t="s">
        <v>9</v>
      </c>
      <c r="E2434">
        <v>242.44</v>
      </c>
      <c r="F2434">
        <v>185.85</v>
      </c>
      <c r="G2434">
        <v>10</v>
      </c>
      <c r="H2434">
        <f t="shared" si="222"/>
        <v>2424.4</v>
      </c>
      <c r="I2434">
        <f t="shared" si="226"/>
        <v>1858.5</v>
      </c>
      <c r="J2434">
        <f t="shared" si="223"/>
        <v>565.90000000000009</v>
      </c>
      <c r="K2434" s="8">
        <f t="shared" si="224"/>
        <v>0.23341857779244352</v>
      </c>
      <c r="L2434" t="str">
        <f t="shared" si="227"/>
        <v>2022-03</v>
      </c>
      <c r="M2434">
        <f t="shared" si="225"/>
        <v>565.90000000000009</v>
      </c>
    </row>
    <row r="2435" spans="1:13" x14ac:dyDescent="0.25">
      <c r="A2435" s="1">
        <v>45332</v>
      </c>
      <c r="B2435" t="s">
        <v>7</v>
      </c>
      <c r="C2435" t="s">
        <v>8</v>
      </c>
      <c r="D2435" t="s">
        <v>13</v>
      </c>
      <c r="E2435">
        <v>1781.69</v>
      </c>
      <c r="F2435">
        <v>1131.52</v>
      </c>
      <c r="G2435">
        <v>8</v>
      </c>
      <c r="H2435">
        <f t="shared" ref="H2435:H2498" si="228">E2435*G2435</f>
        <v>14253.52</v>
      </c>
      <c r="I2435">
        <f t="shared" si="226"/>
        <v>9052.16</v>
      </c>
      <c r="J2435">
        <f t="shared" ref="J2435:J2498" si="229">H2435-I2435</f>
        <v>5201.3600000000006</v>
      </c>
      <c r="K2435" s="8">
        <f t="shared" ref="K2435:K2498" si="230">(H2435-I2435)/H2435</f>
        <v>0.36491757825435406</v>
      </c>
      <c r="L2435" t="str">
        <f t="shared" si="227"/>
        <v>2024-02</v>
      </c>
      <c r="M2435">
        <f t="shared" ref="M2435:M2498" si="231">H2435-I2435</f>
        <v>5201.3600000000006</v>
      </c>
    </row>
    <row r="2436" spans="1:13" x14ac:dyDescent="0.25">
      <c r="A2436" s="1">
        <v>44619</v>
      </c>
      <c r="B2436" t="s">
        <v>19</v>
      </c>
      <c r="C2436" t="s">
        <v>20</v>
      </c>
      <c r="D2436" t="s">
        <v>13</v>
      </c>
      <c r="E2436">
        <v>851.28</v>
      </c>
      <c r="F2436">
        <v>496.78</v>
      </c>
      <c r="G2436">
        <v>8</v>
      </c>
      <c r="H2436">
        <f t="shared" si="228"/>
        <v>6810.24</v>
      </c>
      <c r="I2436">
        <f t="shared" ref="I2436:I2499" si="232">F2436*G2436</f>
        <v>3974.24</v>
      </c>
      <c r="J2436">
        <f t="shared" si="229"/>
        <v>2836</v>
      </c>
      <c r="K2436" s="8">
        <f t="shared" si="230"/>
        <v>0.41643172634150927</v>
      </c>
      <c r="L2436" t="str">
        <f t="shared" ref="L2436:L2499" si="233">TEXT(A2436,"rrrr-mm")</f>
        <v>2022-02</v>
      </c>
      <c r="M2436">
        <f t="shared" si="231"/>
        <v>2836</v>
      </c>
    </row>
    <row r="2437" spans="1:13" x14ac:dyDescent="0.25">
      <c r="A2437" s="1">
        <v>44916</v>
      </c>
      <c r="B2437" t="s">
        <v>7</v>
      </c>
      <c r="C2437" t="s">
        <v>8</v>
      </c>
      <c r="D2437" t="s">
        <v>18</v>
      </c>
      <c r="E2437">
        <v>523.86</v>
      </c>
      <c r="F2437">
        <v>379.55</v>
      </c>
      <c r="G2437">
        <v>8</v>
      </c>
      <c r="H2437">
        <f t="shared" si="228"/>
        <v>4190.88</v>
      </c>
      <c r="I2437">
        <f t="shared" si="232"/>
        <v>3036.4</v>
      </c>
      <c r="J2437">
        <f t="shared" si="229"/>
        <v>1154.48</v>
      </c>
      <c r="K2437" s="8">
        <f t="shared" si="230"/>
        <v>0.27547436337952885</v>
      </c>
      <c r="L2437" t="str">
        <f t="shared" si="233"/>
        <v>2022-12</v>
      </c>
      <c r="M2437">
        <f t="shared" si="231"/>
        <v>1154.48</v>
      </c>
    </row>
    <row r="2438" spans="1:13" x14ac:dyDescent="0.25">
      <c r="A2438" s="1">
        <v>45535</v>
      </c>
      <c r="B2438" t="s">
        <v>19</v>
      </c>
      <c r="C2438" t="s">
        <v>20</v>
      </c>
      <c r="D2438" t="s">
        <v>13</v>
      </c>
      <c r="E2438">
        <v>1765.43</v>
      </c>
      <c r="F2438">
        <v>1317.54</v>
      </c>
      <c r="G2438">
        <v>7</v>
      </c>
      <c r="H2438">
        <f t="shared" si="228"/>
        <v>12358.01</v>
      </c>
      <c r="I2438">
        <f t="shared" si="232"/>
        <v>9222.7799999999988</v>
      </c>
      <c r="J2438">
        <f t="shared" si="229"/>
        <v>3135.2300000000014</v>
      </c>
      <c r="K2438" s="8">
        <f t="shared" si="230"/>
        <v>0.25370023167160421</v>
      </c>
      <c r="L2438" t="str">
        <f t="shared" si="233"/>
        <v>2024-08</v>
      </c>
      <c r="M2438">
        <f t="shared" si="231"/>
        <v>3135.2300000000014</v>
      </c>
    </row>
    <row r="2439" spans="1:13" x14ac:dyDescent="0.25">
      <c r="A2439" s="1">
        <v>44767</v>
      </c>
      <c r="B2439" t="s">
        <v>14</v>
      </c>
      <c r="C2439" t="s">
        <v>15</v>
      </c>
      <c r="D2439" t="s">
        <v>13</v>
      </c>
      <c r="E2439">
        <v>1372.26</v>
      </c>
      <c r="F2439">
        <v>1086.78</v>
      </c>
      <c r="G2439">
        <v>5</v>
      </c>
      <c r="H2439">
        <f t="shared" si="228"/>
        <v>6861.3</v>
      </c>
      <c r="I2439">
        <f t="shared" si="232"/>
        <v>5433.9</v>
      </c>
      <c r="J2439">
        <f t="shared" si="229"/>
        <v>1427.4000000000005</v>
      </c>
      <c r="K2439" s="8">
        <f t="shared" si="230"/>
        <v>0.20803637794587038</v>
      </c>
      <c r="L2439" t="str">
        <f t="shared" si="233"/>
        <v>2022-07</v>
      </c>
      <c r="M2439">
        <f t="shared" si="231"/>
        <v>1427.4000000000005</v>
      </c>
    </row>
    <row r="2440" spans="1:13" x14ac:dyDescent="0.25">
      <c r="A2440" s="1">
        <v>44735</v>
      </c>
      <c r="B2440" t="s">
        <v>7</v>
      </c>
      <c r="C2440" t="s">
        <v>8</v>
      </c>
      <c r="D2440" t="s">
        <v>9</v>
      </c>
      <c r="E2440">
        <v>1797.2</v>
      </c>
      <c r="F2440">
        <v>1234.19</v>
      </c>
      <c r="G2440">
        <v>5</v>
      </c>
      <c r="H2440">
        <f t="shared" si="228"/>
        <v>8986</v>
      </c>
      <c r="I2440">
        <f t="shared" si="232"/>
        <v>6170.9500000000007</v>
      </c>
      <c r="J2440">
        <f t="shared" si="229"/>
        <v>2815.0499999999993</v>
      </c>
      <c r="K2440" s="8">
        <f t="shared" si="230"/>
        <v>0.31327064322279091</v>
      </c>
      <c r="L2440" t="str">
        <f t="shared" si="233"/>
        <v>2022-06</v>
      </c>
      <c r="M2440">
        <f t="shared" si="231"/>
        <v>2815.0499999999993</v>
      </c>
    </row>
    <row r="2441" spans="1:13" x14ac:dyDescent="0.25">
      <c r="A2441" s="1">
        <v>44610</v>
      </c>
      <c r="B2441" t="s">
        <v>10</v>
      </c>
      <c r="C2441" t="s">
        <v>11</v>
      </c>
      <c r="D2441" t="s">
        <v>18</v>
      </c>
      <c r="E2441">
        <v>1538.78</v>
      </c>
      <c r="F2441">
        <v>1199.8399999999999</v>
      </c>
      <c r="G2441">
        <v>5</v>
      </c>
      <c r="H2441">
        <f t="shared" si="228"/>
        <v>7693.9</v>
      </c>
      <c r="I2441">
        <f t="shared" si="232"/>
        <v>5999.2</v>
      </c>
      <c r="J2441">
        <f t="shared" si="229"/>
        <v>1694.6999999999998</v>
      </c>
      <c r="K2441" s="8">
        <f t="shared" si="230"/>
        <v>0.22026540506115233</v>
      </c>
      <c r="L2441" t="str">
        <f t="shared" si="233"/>
        <v>2022-02</v>
      </c>
      <c r="M2441">
        <f t="shared" si="231"/>
        <v>1694.6999999999998</v>
      </c>
    </row>
    <row r="2442" spans="1:13" x14ac:dyDescent="0.25">
      <c r="A2442" s="1">
        <v>45416</v>
      </c>
      <c r="B2442" t="s">
        <v>21</v>
      </c>
      <c r="C2442" t="s">
        <v>20</v>
      </c>
      <c r="D2442" t="s">
        <v>9</v>
      </c>
      <c r="E2442">
        <v>1842.6</v>
      </c>
      <c r="F2442">
        <v>1203.1300000000001</v>
      </c>
      <c r="G2442">
        <v>1</v>
      </c>
      <c r="H2442">
        <f t="shared" si="228"/>
        <v>1842.6</v>
      </c>
      <c r="I2442">
        <f t="shared" si="232"/>
        <v>1203.1300000000001</v>
      </c>
      <c r="J2442">
        <f t="shared" si="229"/>
        <v>639.4699999999998</v>
      </c>
      <c r="K2442" s="8">
        <f t="shared" si="230"/>
        <v>0.34704765005969818</v>
      </c>
      <c r="L2442" t="str">
        <f t="shared" si="233"/>
        <v>2024-05</v>
      </c>
      <c r="M2442">
        <f t="shared" si="231"/>
        <v>639.4699999999998</v>
      </c>
    </row>
    <row r="2443" spans="1:13" x14ac:dyDescent="0.25">
      <c r="A2443" s="1">
        <v>44918</v>
      </c>
      <c r="B2443" t="s">
        <v>23</v>
      </c>
      <c r="C2443" t="s">
        <v>11</v>
      </c>
      <c r="D2443" t="s">
        <v>13</v>
      </c>
      <c r="E2443">
        <v>368.58</v>
      </c>
      <c r="F2443">
        <v>223.32</v>
      </c>
      <c r="G2443">
        <v>4</v>
      </c>
      <c r="H2443">
        <f t="shared" si="228"/>
        <v>1474.32</v>
      </c>
      <c r="I2443">
        <f t="shared" si="232"/>
        <v>893.28</v>
      </c>
      <c r="J2443">
        <f t="shared" si="229"/>
        <v>581.04</v>
      </c>
      <c r="K2443" s="8">
        <f t="shared" si="230"/>
        <v>0.39410711378805141</v>
      </c>
      <c r="L2443" t="str">
        <f t="shared" si="233"/>
        <v>2022-12</v>
      </c>
      <c r="M2443">
        <f t="shared" si="231"/>
        <v>581.04</v>
      </c>
    </row>
    <row r="2444" spans="1:13" x14ac:dyDescent="0.25">
      <c r="A2444" s="1">
        <v>45141</v>
      </c>
      <c r="B2444" t="s">
        <v>12</v>
      </c>
      <c r="C2444" t="s">
        <v>8</v>
      </c>
      <c r="D2444" t="s">
        <v>18</v>
      </c>
      <c r="E2444">
        <v>1069.78</v>
      </c>
      <c r="F2444">
        <v>873.23</v>
      </c>
      <c r="G2444">
        <v>10</v>
      </c>
      <c r="H2444">
        <f t="shared" si="228"/>
        <v>10697.8</v>
      </c>
      <c r="I2444">
        <f t="shared" si="232"/>
        <v>8732.2999999999993</v>
      </c>
      <c r="J2444">
        <f t="shared" si="229"/>
        <v>1965.5</v>
      </c>
      <c r="K2444" s="8">
        <f t="shared" si="230"/>
        <v>0.18372936491615099</v>
      </c>
      <c r="L2444" t="str">
        <f t="shared" si="233"/>
        <v>2023-08</v>
      </c>
      <c r="M2444">
        <f t="shared" si="231"/>
        <v>1965.5</v>
      </c>
    </row>
    <row r="2445" spans="1:13" x14ac:dyDescent="0.25">
      <c r="A2445" s="1">
        <v>45284</v>
      </c>
      <c r="B2445" t="s">
        <v>25</v>
      </c>
      <c r="C2445" t="s">
        <v>15</v>
      </c>
      <c r="D2445" t="s">
        <v>9</v>
      </c>
      <c r="E2445">
        <v>466.88</v>
      </c>
      <c r="F2445">
        <v>334.76</v>
      </c>
      <c r="G2445">
        <v>3</v>
      </c>
      <c r="H2445">
        <f t="shared" si="228"/>
        <v>1400.6399999999999</v>
      </c>
      <c r="I2445">
        <f t="shared" si="232"/>
        <v>1004.28</v>
      </c>
      <c r="J2445">
        <f t="shared" si="229"/>
        <v>396.3599999999999</v>
      </c>
      <c r="K2445" s="8">
        <f t="shared" si="230"/>
        <v>0.28298492117888963</v>
      </c>
      <c r="L2445" t="str">
        <f t="shared" si="233"/>
        <v>2023-12</v>
      </c>
      <c r="M2445">
        <f t="shared" si="231"/>
        <v>396.3599999999999</v>
      </c>
    </row>
    <row r="2446" spans="1:13" x14ac:dyDescent="0.25">
      <c r="A2446" s="1">
        <v>44624</v>
      </c>
      <c r="B2446" t="s">
        <v>25</v>
      </c>
      <c r="C2446" t="s">
        <v>15</v>
      </c>
      <c r="D2446" t="s">
        <v>17</v>
      </c>
      <c r="E2446">
        <v>1229.28</v>
      </c>
      <c r="F2446">
        <v>855.85</v>
      </c>
      <c r="G2446">
        <v>7</v>
      </c>
      <c r="H2446">
        <f t="shared" si="228"/>
        <v>8604.9599999999991</v>
      </c>
      <c r="I2446">
        <f t="shared" si="232"/>
        <v>5990.95</v>
      </c>
      <c r="J2446">
        <f t="shared" si="229"/>
        <v>2614.0099999999993</v>
      </c>
      <c r="K2446" s="8">
        <f t="shared" si="230"/>
        <v>0.30377944813223995</v>
      </c>
      <c r="L2446" t="str">
        <f t="shared" si="233"/>
        <v>2022-03</v>
      </c>
      <c r="M2446">
        <f t="shared" si="231"/>
        <v>2614.0099999999993</v>
      </c>
    </row>
    <row r="2447" spans="1:13" x14ac:dyDescent="0.25">
      <c r="A2447" s="1">
        <v>44974</v>
      </c>
      <c r="B2447" t="s">
        <v>25</v>
      </c>
      <c r="C2447" t="s">
        <v>15</v>
      </c>
      <c r="D2447" t="s">
        <v>9</v>
      </c>
      <c r="E2447">
        <v>581.65</v>
      </c>
      <c r="F2447">
        <v>350.46</v>
      </c>
      <c r="G2447">
        <v>2</v>
      </c>
      <c r="H2447">
        <f t="shared" si="228"/>
        <v>1163.3</v>
      </c>
      <c r="I2447">
        <f t="shared" si="232"/>
        <v>700.92</v>
      </c>
      <c r="J2447">
        <f t="shared" si="229"/>
        <v>462.38</v>
      </c>
      <c r="K2447" s="8">
        <f t="shared" si="230"/>
        <v>0.39747270695435399</v>
      </c>
      <c r="L2447" t="str">
        <f t="shared" si="233"/>
        <v>2023-02</v>
      </c>
      <c r="M2447">
        <f t="shared" si="231"/>
        <v>462.38</v>
      </c>
    </row>
    <row r="2448" spans="1:13" x14ac:dyDescent="0.25">
      <c r="A2448" s="1">
        <v>45322</v>
      </c>
      <c r="B2448" t="s">
        <v>10</v>
      </c>
      <c r="C2448" t="s">
        <v>11</v>
      </c>
      <c r="D2448" t="s">
        <v>13</v>
      </c>
      <c r="E2448">
        <v>728.01</v>
      </c>
      <c r="F2448">
        <v>445.91</v>
      </c>
      <c r="G2448">
        <v>3</v>
      </c>
      <c r="H2448">
        <f t="shared" si="228"/>
        <v>2184.0299999999997</v>
      </c>
      <c r="I2448">
        <f t="shared" si="232"/>
        <v>1337.73</v>
      </c>
      <c r="J2448">
        <f t="shared" si="229"/>
        <v>846.29999999999973</v>
      </c>
      <c r="K2448" s="8">
        <f t="shared" si="230"/>
        <v>0.38749467727091652</v>
      </c>
      <c r="L2448" t="str">
        <f t="shared" si="233"/>
        <v>2024-01</v>
      </c>
      <c r="M2448">
        <f t="shared" si="231"/>
        <v>846.29999999999973</v>
      </c>
    </row>
    <row r="2449" spans="1:13" x14ac:dyDescent="0.25">
      <c r="A2449" s="1">
        <v>45346</v>
      </c>
      <c r="B2449" t="s">
        <v>19</v>
      </c>
      <c r="C2449" t="s">
        <v>20</v>
      </c>
      <c r="D2449" t="s">
        <v>18</v>
      </c>
      <c r="E2449">
        <v>322.69</v>
      </c>
      <c r="F2449">
        <v>210.6</v>
      </c>
      <c r="G2449">
        <v>10</v>
      </c>
      <c r="H2449">
        <f t="shared" si="228"/>
        <v>3226.9</v>
      </c>
      <c r="I2449">
        <f t="shared" si="232"/>
        <v>2106</v>
      </c>
      <c r="J2449">
        <f t="shared" si="229"/>
        <v>1120.9000000000001</v>
      </c>
      <c r="K2449" s="8">
        <f t="shared" si="230"/>
        <v>0.34736124453810158</v>
      </c>
      <c r="L2449" t="str">
        <f t="shared" si="233"/>
        <v>2024-02</v>
      </c>
      <c r="M2449">
        <f t="shared" si="231"/>
        <v>1120.9000000000001</v>
      </c>
    </row>
    <row r="2450" spans="1:13" x14ac:dyDescent="0.25">
      <c r="A2450" s="1">
        <v>45136</v>
      </c>
      <c r="B2450" t="s">
        <v>19</v>
      </c>
      <c r="C2450" t="s">
        <v>20</v>
      </c>
      <c r="D2450" t="s">
        <v>9</v>
      </c>
      <c r="E2450">
        <v>229.51</v>
      </c>
      <c r="F2450">
        <v>121.74</v>
      </c>
      <c r="G2450">
        <v>8</v>
      </c>
      <c r="H2450">
        <f t="shared" si="228"/>
        <v>1836.08</v>
      </c>
      <c r="I2450">
        <f t="shared" si="232"/>
        <v>973.92</v>
      </c>
      <c r="J2450">
        <f t="shared" si="229"/>
        <v>862.16</v>
      </c>
      <c r="K2450" s="8">
        <f t="shared" si="230"/>
        <v>0.46956559627031502</v>
      </c>
      <c r="L2450" t="str">
        <f t="shared" si="233"/>
        <v>2023-07</v>
      </c>
      <c r="M2450">
        <f t="shared" si="231"/>
        <v>862.16</v>
      </c>
    </row>
    <row r="2451" spans="1:13" x14ac:dyDescent="0.25">
      <c r="A2451" s="1">
        <v>45127</v>
      </c>
      <c r="B2451" t="s">
        <v>22</v>
      </c>
      <c r="C2451" t="s">
        <v>8</v>
      </c>
      <c r="D2451" t="s">
        <v>18</v>
      </c>
      <c r="E2451">
        <v>1143.83</v>
      </c>
      <c r="F2451">
        <v>633.86</v>
      </c>
      <c r="G2451">
        <v>9</v>
      </c>
      <c r="H2451">
        <f t="shared" si="228"/>
        <v>10294.469999999999</v>
      </c>
      <c r="I2451">
        <f t="shared" si="232"/>
        <v>5704.74</v>
      </c>
      <c r="J2451">
        <f t="shared" si="229"/>
        <v>4589.7299999999996</v>
      </c>
      <c r="K2451" s="8">
        <f t="shared" si="230"/>
        <v>0.44584422510338073</v>
      </c>
      <c r="L2451" t="str">
        <f t="shared" si="233"/>
        <v>2023-07</v>
      </c>
      <c r="M2451">
        <f t="shared" si="231"/>
        <v>4589.7299999999996</v>
      </c>
    </row>
    <row r="2452" spans="1:13" x14ac:dyDescent="0.25">
      <c r="A2452" s="1">
        <v>45312</v>
      </c>
      <c r="B2452" t="s">
        <v>22</v>
      </c>
      <c r="C2452" t="s">
        <v>8</v>
      </c>
      <c r="D2452" t="s">
        <v>9</v>
      </c>
      <c r="E2452">
        <v>127.28</v>
      </c>
      <c r="F2452">
        <v>103.94</v>
      </c>
      <c r="G2452">
        <v>10</v>
      </c>
      <c r="H2452">
        <f t="shared" si="228"/>
        <v>1272.8</v>
      </c>
      <c r="I2452">
        <f t="shared" si="232"/>
        <v>1039.4000000000001</v>
      </c>
      <c r="J2452">
        <f t="shared" si="229"/>
        <v>233.39999999999986</v>
      </c>
      <c r="K2452" s="8">
        <f t="shared" si="230"/>
        <v>0.18337523570081699</v>
      </c>
      <c r="L2452" t="str">
        <f t="shared" si="233"/>
        <v>2024-01</v>
      </c>
      <c r="M2452">
        <f t="shared" si="231"/>
        <v>233.39999999999986</v>
      </c>
    </row>
    <row r="2453" spans="1:13" x14ac:dyDescent="0.25">
      <c r="A2453" s="1">
        <v>45017</v>
      </c>
      <c r="B2453" t="s">
        <v>10</v>
      </c>
      <c r="C2453" t="s">
        <v>11</v>
      </c>
      <c r="D2453" t="s">
        <v>13</v>
      </c>
      <c r="E2453">
        <v>944.28</v>
      </c>
      <c r="F2453">
        <v>624.57000000000005</v>
      </c>
      <c r="G2453">
        <v>5</v>
      </c>
      <c r="H2453">
        <f t="shared" si="228"/>
        <v>4721.3999999999996</v>
      </c>
      <c r="I2453">
        <f t="shared" si="232"/>
        <v>3122.8500000000004</v>
      </c>
      <c r="J2453">
        <f t="shared" si="229"/>
        <v>1598.5499999999993</v>
      </c>
      <c r="K2453" s="8">
        <f t="shared" si="230"/>
        <v>0.33857542254416051</v>
      </c>
      <c r="L2453" t="str">
        <f t="shared" si="233"/>
        <v>2023-04</v>
      </c>
      <c r="M2453">
        <f t="shared" si="231"/>
        <v>1598.5499999999993</v>
      </c>
    </row>
    <row r="2454" spans="1:13" x14ac:dyDescent="0.25">
      <c r="A2454" s="1">
        <v>45444</v>
      </c>
      <c r="B2454" t="s">
        <v>16</v>
      </c>
      <c r="C2454" t="s">
        <v>15</v>
      </c>
      <c r="D2454" t="s">
        <v>18</v>
      </c>
      <c r="E2454">
        <v>792.58</v>
      </c>
      <c r="F2454">
        <v>423.65</v>
      </c>
      <c r="G2454">
        <v>8</v>
      </c>
      <c r="H2454">
        <f t="shared" si="228"/>
        <v>6340.64</v>
      </c>
      <c r="I2454">
        <f t="shared" si="232"/>
        <v>3389.2</v>
      </c>
      <c r="J2454">
        <f t="shared" si="229"/>
        <v>2951.4400000000005</v>
      </c>
      <c r="K2454" s="8">
        <f t="shared" si="230"/>
        <v>0.46547982538040328</v>
      </c>
      <c r="L2454" t="str">
        <f t="shared" si="233"/>
        <v>2024-06</v>
      </c>
      <c r="M2454">
        <f t="shared" si="231"/>
        <v>2951.4400000000005</v>
      </c>
    </row>
    <row r="2455" spans="1:13" x14ac:dyDescent="0.25">
      <c r="A2455" s="1">
        <v>44599</v>
      </c>
      <c r="B2455" t="s">
        <v>25</v>
      </c>
      <c r="C2455" t="s">
        <v>15</v>
      </c>
      <c r="D2455" t="s">
        <v>9</v>
      </c>
      <c r="E2455">
        <v>1069.98</v>
      </c>
      <c r="F2455">
        <v>869.5</v>
      </c>
      <c r="G2455">
        <v>6</v>
      </c>
      <c r="H2455">
        <f t="shared" si="228"/>
        <v>6419.88</v>
      </c>
      <c r="I2455">
        <f t="shared" si="232"/>
        <v>5217</v>
      </c>
      <c r="J2455">
        <f t="shared" si="229"/>
        <v>1202.8800000000001</v>
      </c>
      <c r="K2455" s="8">
        <f t="shared" si="230"/>
        <v>0.18736798818669509</v>
      </c>
      <c r="L2455" t="str">
        <f t="shared" si="233"/>
        <v>2022-02</v>
      </c>
      <c r="M2455">
        <f t="shared" si="231"/>
        <v>1202.8800000000001</v>
      </c>
    </row>
    <row r="2456" spans="1:13" x14ac:dyDescent="0.25">
      <c r="A2456" s="1">
        <v>45652</v>
      </c>
      <c r="B2456" t="s">
        <v>21</v>
      </c>
      <c r="C2456" t="s">
        <v>20</v>
      </c>
      <c r="D2456" t="s">
        <v>13</v>
      </c>
      <c r="E2456">
        <v>758.75</v>
      </c>
      <c r="F2456">
        <v>663.77</v>
      </c>
      <c r="G2456">
        <v>7</v>
      </c>
      <c r="H2456">
        <f t="shared" si="228"/>
        <v>5311.25</v>
      </c>
      <c r="I2456">
        <f t="shared" si="232"/>
        <v>4646.3899999999994</v>
      </c>
      <c r="J2456">
        <f t="shared" si="229"/>
        <v>664.86000000000058</v>
      </c>
      <c r="K2456" s="8">
        <f t="shared" si="230"/>
        <v>0.12517957166392102</v>
      </c>
      <c r="L2456" t="str">
        <f t="shared" si="233"/>
        <v>2024-12</v>
      </c>
      <c r="M2456">
        <f t="shared" si="231"/>
        <v>664.86000000000058</v>
      </c>
    </row>
    <row r="2457" spans="1:13" x14ac:dyDescent="0.25">
      <c r="A2457" s="1">
        <v>45195</v>
      </c>
      <c r="B2457" t="s">
        <v>22</v>
      </c>
      <c r="C2457" t="s">
        <v>8</v>
      </c>
      <c r="D2457" t="s">
        <v>18</v>
      </c>
      <c r="E2457">
        <v>1491.61</v>
      </c>
      <c r="F2457">
        <v>1144.21</v>
      </c>
      <c r="G2457">
        <v>9</v>
      </c>
      <c r="H2457">
        <f t="shared" si="228"/>
        <v>13424.49</v>
      </c>
      <c r="I2457">
        <f t="shared" si="232"/>
        <v>10297.89</v>
      </c>
      <c r="J2457">
        <f t="shared" si="229"/>
        <v>3126.6000000000004</v>
      </c>
      <c r="K2457" s="8">
        <f t="shared" si="230"/>
        <v>0.23290270244903161</v>
      </c>
      <c r="L2457" t="str">
        <f t="shared" si="233"/>
        <v>2023-09</v>
      </c>
      <c r="M2457">
        <f t="shared" si="231"/>
        <v>3126.6000000000004</v>
      </c>
    </row>
    <row r="2458" spans="1:13" x14ac:dyDescent="0.25">
      <c r="A2458" s="1">
        <v>45551</v>
      </c>
      <c r="B2458" t="s">
        <v>25</v>
      </c>
      <c r="C2458" t="s">
        <v>15</v>
      </c>
      <c r="D2458" t="s">
        <v>9</v>
      </c>
      <c r="E2458">
        <v>1087.28</v>
      </c>
      <c r="F2458">
        <v>700.89</v>
      </c>
      <c r="G2458">
        <v>2</v>
      </c>
      <c r="H2458">
        <f t="shared" si="228"/>
        <v>2174.56</v>
      </c>
      <c r="I2458">
        <f t="shared" si="232"/>
        <v>1401.78</v>
      </c>
      <c r="J2458">
        <f t="shared" si="229"/>
        <v>772.78</v>
      </c>
      <c r="K2458" s="8">
        <f t="shared" si="230"/>
        <v>0.35537304098300343</v>
      </c>
      <c r="L2458" t="str">
        <f t="shared" si="233"/>
        <v>2024-09</v>
      </c>
      <c r="M2458">
        <f t="shared" si="231"/>
        <v>772.78</v>
      </c>
    </row>
    <row r="2459" spans="1:13" x14ac:dyDescent="0.25">
      <c r="A2459" s="1">
        <v>45106</v>
      </c>
      <c r="B2459" t="s">
        <v>19</v>
      </c>
      <c r="C2459" t="s">
        <v>20</v>
      </c>
      <c r="D2459" t="s">
        <v>9</v>
      </c>
      <c r="E2459">
        <v>1174.83</v>
      </c>
      <c r="F2459">
        <v>597.02</v>
      </c>
      <c r="G2459">
        <v>9</v>
      </c>
      <c r="H2459">
        <f t="shared" si="228"/>
        <v>10573.47</v>
      </c>
      <c r="I2459">
        <f t="shared" si="232"/>
        <v>5373.18</v>
      </c>
      <c r="J2459">
        <f t="shared" si="229"/>
        <v>5200.2899999999991</v>
      </c>
      <c r="K2459" s="8">
        <f t="shared" si="230"/>
        <v>0.4918243490547568</v>
      </c>
      <c r="L2459" t="str">
        <f t="shared" si="233"/>
        <v>2023-06</v>
      </c>
      <c r="M2459">
        <f t="shared" si="231"/>
        <v>5200.2899999999991</v>
      </c>
    </row>
    <row r="2460" spans="1:13" x14ac:dyDescent="0.25">
      <c r="A2460" s="1">
        <v>44621</v>
      </c>
      <c r="B2460" t="s">
        <v>19</v>
      </c>
      <c r="C2460" t="s">
        <v>20</v>
      </c>
      <c r="D2460" t="s">
        <v>9</v>
      </c>
      <c r="E2460">
        <v>1843.22</v>
      </c>
      <c r="F2460">
        <v>1477.25</v>
      </c>
      <c r="G2460">
        <v>4</v>
      </c>
      <c r="H2460">
        <f t="shared" si="228"/>
        <v>7372.88</v>
      </c>
      <c r="I2460">
        <f t="shared" si="232"/>
        <v>5909</v>
      </c>
      <c r="J2460">
        <f t="shared" si="229"/>
        <v>1463.88</v>
      </c>
      <c r="K2460" s="8">
        <f t="shared" si="230"/>
        <v>0.19854927789412008</v>
      </c>
      <c r="L2460" t="str">
        <f t="shared" si="233"/>
        <v>2022-03</v>
      </c>
      <c r="M2460">
        <f t="shared" si="231"/>
        <v>1463.88</v>
      </c>
    </row>
    <row r="2461" spans="1:13" x14ac:dyDescent="0.25">
      <c r="A2461" s="1">
        <v>44824</v>
      </c>
      <c r="B2461" t="s">
        <v>14</v>
      </c>
      <c r="C2461" t="s">
        <v>15</v>
      </c>
      <c r="D2461" t="s">
        <v>13</v>
      </c>
      <c r="E2461">
        <v>971.11</v>
      </c>
      <c r="F2461">
        <v>727.85</v>
      </c>
      <c r="G2461">
        <v>10</v>
      </c>
      <c r="H2461">
        <f t="shared" si="228"/>
        <v>9711.1</v>
      </c>
      <c r="I2461">
        <f t="shared" si="232"/>
        <v>7278.5</v>
      </c>
      <c r="J2461">
        <f t="shared" si="229"/>
        <v>2432.6000000000004</v>
      </c>
      <c r="K2461" s="8">
        <f t="shared" si="230"/>
        <v>0.25049685411539374</v>
      </c>
      <c r="L2461" t="str">
        <f t="shared" si="233"/>
        <v>2022-09</v>
      </c>
      <c r="M2461">
        <f t="shared" si="231"/>
        <v>2432.6000000000004</v>
      </c>
    </row>
    <row r="2462" spans="1:13" x14ac:dyDescent="0.25">
      <c r="A2462" s="1">
        <v>44849</v>
      </c>
      <c r="B2462" t="s">
        <v>24</v>
      </c>
      <c r="C2462" t="s">
        <v>20</v>
      </c>
      <c r="D2462" t="s">
        <v>13</v>
      </c>
      <c r="E2462">
        <v>389.01</v>
      </c>
      <c r="F2462">
        <v>239.17</v>
      </c>
      <c r="G2462">
        <v>3</v>
      </c>
      <c r="H2462">
        <f t="shared" si="228"/>
        <v>1167.03</v>
      </c>
      <c r="I2462">
        <f t="shared" si="232"/>
        <v>717.51</v>
      </c>
      <c r="J2462">
        <f t="shared" si="229"/>
        <v>449.52</v>
      </c>
      <c r="K2462" s="8">
        <f t="shared" si="230"/>
        <v>0.38518290018251461</v>
      </c>
      <c r="L2462" t="str">
        <f t="shared" si="233"/>
        <v>2022-10</v>
      </c>
      <c r="M2462">
        <f t="shared" si="231"/>
        <v>449.52</v>
      </c>
    </row>
    <row r="2463" spans="1:13" x14ac:dyDescent="0.25">
      <c r="A2463" s="1">
        <v>45607</v>
      </c>
      <c r="B2463" t="s">
        <v>16</v>
      </c>
      <c r="C2463" t="s">
        <v>15</v>
      </c>
      <c r="D2463" t="s">
        <v>9</v>
      </c>
      <c r="E2463">
        <v>1944.31</v>
      </c>
      <c r="F2463">
        <v>1384.1</v>
      </c>
      <c r="G2463">
        <v>3</v>
      </c>
      <c r="H2463">
        <f t="shared" si="228"/>
        <v>5832.93</v>
      </c>
      <c r="I2463">
        <f t="shared" si="232"/>
        <v>4152.2999999999993</v>
      </c>
      <c r="J2463">
        <f t="shared" si="229"/>
        <v>1680.630000000001</v>
      </c>
      <c r="K2463" s="8">
        <f t="shared" si="230"/>
        <v>0.288127921987749</v>
      </c>
      <c r="L2463" t="str">
        <f t="shared" si="233"/>
        <v>2024-11</v>
      </c>
      <c r="M2463">
        <f t="shared" si="231"/>
        <v>1680.630000000001</v>
      </c>
    </row>
    <row r="2464" spans="1:13" x14ac:dyDescent="0.25">
      <c r="A2464" s="1">
        <v>45596</v>
      </c>
      <c r="B2464" t="s">
        <v>14</v>
      </c>
      <c r="C2464" t="s">
        <v>15</v>
      </c>
      <c r="D2464" t="s">
        <v>9</v>
      </c>
      <c r="E2464">
        <v>895.01</v>
      </c>
      <c r="F2464">
        <v>562.42999999999995</v>
      </c>
      <c r="G2464">
        <v>9</v>
      </c>
      <c r="H2464">
        <f t="shared" si="228"/>
        <v>8055.09</v>
      </c>
      <c r="I2464">
        <f t="shared" si="232"/>
        <v>5061.87</v>
      </c>
      <c r="J2464">
        <f t="shared" si="229"/>
        <v>2993.2200000000003</v>
      </c>
      <c r="K2464" s="8">
        <f t="shared" si="230"/>
        <v>0.37159361347917902</v>
      </c>
      <c r="L2464" t="str">
        <f t="shared" si="233"/>
        <v>2024-10</v>
      </c>
      <c r="M2464">
        <f t="shared" si="231"/>
        <v>2993.2200000000003</v>
      </c>
    </row>
    <row r="2465" spans="1:13" x14ac:dyDescent="0.25">
      <c r="A2465" s="1">
        <v>44873</v>
      </c>
      <c r="B2465" t="s">
        <v>19</v>
      </c>
      <c r="C2465" t="s">
        <v>20</v>
      </c>
      <c r="D2465" t="s">
        <v>13</v>
      </c>
      <c r="E2465">
        <v>1505.69</v>
      </c>
      <c r="F2465">
        <v>1059.02</v>
      </c>
      <c r="G2465">
        <v>3</v>
      </c>
      <c r="H2465">
        <f t="shared" si="228"/>
        <v>4517.07</v>
      </c>
      <c r="I2465">
        <f t="shared" si="232"/>
        <v>3177.06</v>
      </c>
      <c r="J2465">
        <f t="shared" si="229"/>
        <v>1340.0099999999998</v>
      </c>
      <c r="K2465" s="8">
        <f t="shared" si="230"/>
        <v>0.29665468987640214</v>
      </c>
      <c r="L2465" t="str">
        <f t="shared" si="233"/>
        <v>2022-11</v>
      </c>
      <c r="M2465">
        <f t="shared" si="231"/>
        <v>1340.0099999999998</v>
      </c>
    </row>
    <row r="2466" spans="1:13" x14ac:dyDescent="0.25">
      <c r="A2466" s="1">
        <v>44934</v>
      </c>
      <c r="B2466" t="s">
        <v>12</v>
      </c>
      <c r="C2466" t="s">
        <v>8</v>
      </c>
      <c r="D2466" t="s">
        <v>9</v>
      </c>
      <c r="E2466">
        <v>1979.75</v>
      </c>
      <c r="F2466">
        <v>1675.79</v>
      </c>
      <c r="G2466">
        <v>1</v>
      </c>
      <c r="H2466">
        <f t="shared" si="228"/>
        <v>1979.75</v>
      </c>
      <c r="I2466">
        <f t="shared" si="232"/>
        <v>1675.79</v>
      </c>
      <c r="J2466">
        <f t="shared" si="229"/>
        <v>303.96000000000004</v>
      </c>
      <c r="K2466" s="8">
        <f t="shared" si="230"/>
        <v>0.15353453718903903</v>
      </c>
      <c r="L2466" t="str">
        <f t="shared" si="233"/>
        <v>2023-01</v>
      </c>
      <c r="M2466">
        <f t="shared" si="231"/>
        <v>303.96000000000004</v>
      </c>
    </row>
    <row r="2467" spans="1:13" x14ac:dyDescent="0.25">
      <c r="A2467" s="1">
        <v>45333</v>
      </c>
      <c r="B2467" t="s">
        <v>24</v>
      </c>
      <c r="C2467" t="s">
        <v>20</v>
      </c>
      <c r="D2467" t="s">
        <v>18</v>
      </c>
      <c r="E2467">
        <v>595.04999999999995</v>
      </c>
      <c r="F2467">
        <v>496.27</v>
      </c>
      <c r="G2467">
        <v>1</v>
      </c>
      <c r="H2467">
        <f t="shared" si="228"/>
        <v>595.04999999999995</v>
      </c>
      <c r="I2467">
        <f t="shared" si="232"/>
        <v>496.27</v>
      </c>
      <c r="J2467">
        <f t="shared" si="229"/>
        <v>98.779999999999973</v>
      </c>
      <c r="K2467" s="8">
        <f t="shared" si="230"/>
        <v>0.16600285690278124</v>
      </c>
      <c r="L2467" t="str">
        <f t="shared" si="233"/>
        <v>2024-02</v>
      </c>
      <c r="M2467">
        <f t="shared" si="231"/>
        <v>98.779999999999973</v>
      </c>
    </row>
    <row r="2468" spans="1:13" x14ac:dyDescent="0.25">
      <c r="A2468" s="1">
        <v>45268</v>
      </c>
      <c r="B2468" t="s">
        <v>22</v>
      </c>
      <c r="C2468" t="s">
        <v>8</v>
      </c>
      <c r="D2468" t="s">
        <v>13</v>
      </c>
      <c r="E2468">
        <v>1926.18</v>
      </c>
      <c r="F2468">
        <v>1393.91</v>
      </c>
      <c r="G2468">
        <v>4</v>
      </c>
      <c r="H2468">
        <f t="shared" si="228"/>
        <v>7704.72</v>
      </c>
      <c r="I2468">
        <f t="shared" si="232"/>
        <v>5575.64</v>
      </c>
      <c r="J2468">
        <f t="shared" si="229"/>
        <v>2129.08</v>
      </c>
      <c r="K2468" s="8">
        <f t="shared" si="230"/>
        <v>0.27633450664008552</v>
      </c>
      <c r="L2468" t="str">
        <f t="shared" si="233"/>
        <v>2023-12</v>
      </c>
      <c r="M2468">
        <f t="shared" si="231"/>
        <v>2129.08</v>
      </c>
    </row>
    <row r="2469" spans="1:13" x14ac:dyDescent="0.25">
      <c r="A2469" s="1">
        <v>45638</v>
      </c>
      <c r="B2469" t="s">
        <v>16</v>
      </c>
      <c r="C2469" t="s">
        <v>15</v>
      </c>
      <c r="D2469" t="s">
        <v>13</v>
      </c>
      <c r="E2469">
        <v>1686.27</v>
      </c>
      <c r="F2469">
        <v>1352.22</v>
      </c>
      <c r="G2469">
        <v>7</v>
      </c>
      <c r="H2469">
        <f t="shared" si="228"/>
        <v>11803.89</v>
      </c>
      <c r="I2469">
        <f t="shared" si="232"/>
        <v>9465.5400000000009</v>
      </c>
      <c r="J2469">
        <f t="shared" si="229"/>
        <v>2338.3499999999985</v>
      </c>
      <c r="K2469" s="8">
        <f t="shared" si="230"/>
        <v>0.19809994840683864</v>
      </c>
      <c r="L2469" t="str">
        <f t="shared" si="233"/>
        <v>2024-12</v>
      </c>
      <c r="M2469">
        <f t="shared" si="231"/>
        <v>2338.3499999999985</v>
      </c>
    </row>
    <row r="2470" spans="1:13" x14ac:dyDescent="0.25">
      <c r="A2470" s="1">
        <v>45151</v>
      </c>
      <c r="B2470" t="s">
        <v>16</v>
      </c>
      <c r="C2470" t="s">
        <v>15</v>
      </c>
      <c r="D2470" t="s">
        <v>18</v>
      </c>
      <c r="E2470">
        <v>279.35000000000002</v>
      </c>
      <c r="F2470">
        <v>200.11</v>
      </c>
      <c r="G2470">
        <v>6</v>
      </c>
      <c r="H2470">
        <f t="shared" si="228"/>
        <v>1676.1000000000001</v>
      </c>
      <c r="I2470">
        <f t="shared" si="232"/>
        <v>1200.6600000000001</v>
      </c>
      <c r="J2470">
        <f t="shared" si="229"/>
        <v>475.44000000000005</v>
      </c>
      <c r="K2470" s="8">
        <f t="shared" si="230"/>
        <v>0.2836584929300161</v>
      </c>
      <c r="L2470" t="str">
        <f t="shared" si="233"/>
        <v>2023-08</v>
      </c>
      <c r="M2470">
        <f t="shared" si="231"/>
        <v>475.44000000000005</v>
      </c>
    </row>
    <row r="2471" spans="1:13" x14ac:dyDescent="0.25">
      <c r="A2471" s="1">
        <v>44825</v>
      </c>
      <c r="B2471" t="s">
        <v>10</v>
      </c>
      <c r="C2471" t="s">
        <v>11</v>
      </c>
      <c r="D2471" t="s">
        <v>18</v>
      </c>
      <c r="E2471">
        <v>368.02</v>
      </c>
      <c r="F2471">
        <v>310.66000000000003</v>
      </c>
      <c r="G2471">
        <v>4</v>
      </c>
      <c r="H2471">
        <f t="shared" si="228"/>
        <v>1472.08</v>
      </c>
      <c r="I2471">
        <f t="shared" si="232"/>
        <v>1242.6400000000001</v>
      </c>
      <c r="J2471">
        <f t="shared" si="229"/>
        <v>229.43999999999983</v>
      </c>
      <c r="K2471" s="8">
        <f t="shared" si="230"/>
        <v>0.15586109450573327</v>
      </c>
      <c r="L2471" t="str">
        <f t="shared" si="233"/>
        <v>2022-09</v>
      </c>
      <c r="M2471">
        <f t="shared" si="231"/>
        <v>229.43999999999983</v>
      </c>
    </row>
    <row r="2472" spans="1:13" x14ac:dyDescent="0.25">
      <c r="A2472" s="1">
        <v>45513</v>
      </c>
      <c r="B2472" t="s">
        <v>25</v>
      </c>
      <c r="C2472" t="s">
        <v>15</v>
      </c>
      <c r="D2472" t="s">
        <v>17</v>
      </c>
      <c r="E2472">
        <v>1685.99</v>
      </c>
      <c r="F2472">
        <v>935.06</v>
      </c>
      <c r="G2472">
        <v>3</v>
      </c>
      <c r="H2472">
        <f t="shared" si="228"/>
        <v>5057.97</v>
      </c>
      <c r="I2472">
        <f t="shared" si="232"/>
        <v>2805.18</v>
      </c>
      <c r="J2472">
        <f t="shared" si="229"/>
        <v>2252.7900000000004</v>
      </c>
      <c r="K2472" s="8">
        <f t="shared" si="230"/>
        <v>0.44539410079537844</v>
      </c>
      <c r="L2472" t="str">
        <f t="shared" si="233"/>
        <v>2024-08</v>
      </c>
      <c r="M2472">
        <f t="shared" si="231"/>
        <v>2252.7900000000004</v>
      </c>
    </row>
    <row r="2473" spans="1:13" x14ac:dyDescent="0.25">
      <c r="A2473" s="1">
        <v>44903</v>
      </c>
      <c r="B2473" t="s">
        <v>7</v>
      </c>
      <c r="C2473" t="s">
        <v>8</v>
      </c>
      <c r="D2473" t="s">
        <v>9</v>
      </c>
      <c r="E2473">
        <v>568.57000000000005</v>
      </c>
      <c r="F2473">
        <v>345.04</v>
      </c>
      <c r="G2473">
        <v>9</v>
      </c>
      <c r="H2473">
        <f t="shared" si="228"/>
        <v>5117.13</v>
      </c>
      <c r="I2473">
        <f t="shared" si="232"/>
        <v>3105.36</v>
      </c>
      <c r="J2473">
        <f t="shared" si="229"/>
        <v>2011.77</v>
      </c>
      <c r="K2473" s="8">
        <f t="shared" si="230"/>
        <v>0.39314420387990923</v>
      </c>
      <c r="L2473" t="str">
        <f t="shared" si="233"/>
        <v>2022-12</v>
      </c>
      <c r="M2473">
        <f t="shared" si="231"/>
        <v>2011.77</v>
      </c>
    </row>
    <row r="2474" spans="1:13" x14ac:dyDescent="0.25">
      <c r="A2474" s="1">
        <v>44870</v>
      </c>
      <c r="B2474" t="s">
        <v>14</v>
      </c>
      <c r="C2474" t="s">
        <v>15</v>
      </c>
      <c r="D2474" t="s">
        <v>18</v>
      </c>
      <c r="E2474">
        <v>845.84</v>
      </c>
      <c r="F2474">
        <v>641.09</v>
      </c>
      <c r="G2474">
        <v>10</v>
      </c>
      <c r="H2474">
        <f t="shared" si="228"/>
        <v>8458.4</v>
      </c>
      <c r="I2474">
        <f t="shared" si="232"/>
        <v>6410.9000000000005</v>
      </c>
      <c r="J2474">
        <f t="shared" si="229"/>
        <v>2047.4999999999991</v>
      </c>
      <c r="K2474" s="8">
        <f t="shared" si="230"/>
        <v>0.24206705759954592</v>
      </c>
      <c r="L2474" t="str">
        <f t="shared" si="233"/>
        <v>2022-11</v>
      </c>
      <c r="M2474">
        <f t="shared" si="231"/>
        <v>2047.4999999999991</v>
      </c>
    </row>
    <row r="2475" spans="1:13" x14ac:dyDescent="0.25">
      <c r="A2475" s="1">
        <v>45262</v>
      </c>
      <c r="B2475" t="s">
        <v>10</v>
      </c>
      <c r="C2475" t="s">
        <v>11</v>
      </c>
      <c r="D2475" t="s">
        <v>9</v>
      </c>
      <c r="E2475">
        <v>85.04</v>
      </c>
      <c r="F2475">
        <v>52.81</v>
      </c>
      <c r="G2475">
        <v>10</v>
      </c>
      <c r="H2475">
        <f t="shared" si="228"/>
        <v>850.40000000000009</v>
      </c>
      <c r="I2475">
        <f t="shared" si="232"/>
        <v>528.1</v>
      </c>
      <c r="J2475">
        <f t="shared" si="229"/>
        <v>322.30000000000007</v>
      </c>
      <c r="K2475" s="8">
        <f t="shared" si="230"/>
        <v>0.37899811853245535</v>
      </c>
      <c r="L2475" t="str">
        <f t="shared" si="233"/>
        <v>2023-12</v>
      </c>
      <c r="M2475">
        <f t="shared" si="231"/>
        <v>322.30000000000007</v>
      </c>
    </row>
    <row r="2476" spans="1:13" x14ac:dyDescent="0.25">
      <c r="A2476" s="1">
        <v>45562</v>
      </c>
      <c r="B2476" t="s">
        <v>14</v>
      </c>
      <c r="C2476" t="s">
        <v>15</v>
      </c>
      <c r="D2476" t="s">
        <v>9</v>
      </c>
      <c r="E2476">
        <v>1895.52</v>
      </c>
      <c r="F2476">
        <v>1455.5</v>
      </c>
      <c r="G2476">
        <v>2</v>
      </c>
      <c r="H2476">
        <f t="shared" si="228"/>
        <v>3791.04</v>
      </c>
      <c r="I2476">
        <f t="shared" si="232"/>
        <v>2911</v>
      </c>
      <c r="J2476">
        <f t="shared" si="229"/>
        <v>880.04</v>
      </c>
      <c r="K2476" s="8">
        <f t="shared" si="230"/>
        <v>0.23213682788891701</v>
      </c>
      <c r="L2476" t="str">
        <f t="shared" si="233"/>
        <v>2024-09</v>
      </c>
      <c r="M2476">
        <f t="shared" si="231"/>
        <v>880.04</v>
      </c>
    </row>
    <row r="2477" spans="1:13" x14ac:dyDescent="0.25">
      <c r="A2477" s="1">
        <v>45307</v>
      </c>
      <c r="B2477" t="s">
        <v>19</v>
      </c>
      <c r="C2477" t="s">
        <v>20</v>
      </c>
      <c r="D2477" t="s">
        <v>17</v>
      </c>
      <c r="E2477">
        <v>295.02999999999997</v>
      </c>
      <c r="F2477">
        <v>180.85</v>
      </c>
      <c r="G2477">
        <v>2</v>
      </c>
      <c r="H2477">
        <f t="shared" si="228"/>
        <v>590.05999999999995</v>
      </c>
      <c r="I2477">
        <f t="shared" si="232"/>
        <v>361.7</v>
      </c>
      <c r="J2477">
        <f t="shared" si="229"/>
        <v>228.35999999999996</v>
      </c>
      <c r="K2477" s="8">
        <f t="shared" si="230"/>
        <v>0.38701149035691285</v>
      </c>
      <c r="L2477" t="str">
        <f t="shared" si="233"/>
        <v>2024-01</v>
      </c>
      <c r="M2477">
        <f t="shared" si="231"/>
        <v>228.35999999999996</v>
      </c>
    </row>
    <row r="2478" spans="1:13" x14ac:dyDescent="0.25">
      <c r="A2478" s="1">
        <v>45628</v>
      </c>
      <c r="B2478" t="s">
        <v>19</v>
      </c>
      <c r="C2478" t="s">
        <v>20</v>
      </c>
      <c r="D2478" t="s">
        <v>13</v>
      </c>
      <c r="E2478">
        <v>1219.3699999999999</v>
      </c>
      <c r="F2478">
        <v>645.38</v>
      </c>
      <c r="G2478">
        <v>9</v>
      </c>
      <c r="H2478">
        <f t="shared" si="228"/>
        <v>10974.329999999998</v>
      </c>
      <c r="I2478">
        <f t="shared" si="232"/>
        <v>5808.42</v>
      </c>
      <c r="J2478">
        <f t="shared" si="229"/>
        <v>5165.909999999998</v>
      </c>
      <c r="K2478" s="8">
        <f t="shared" si="230"/>
        <v>0.47072668673167284</v>
      </c>
      <c r="L2478" t="str">
        <f t="shared" si="233"/>
        <v>2024-12</v>
      </c>
      <c r="M2478">
        <f t="shared" si="231"/>
        <v>5165.909999999998</v>
      </c>
    </row>
    <row r="2479" spans="1:13" x14ac:dyDescent="0.25">
      <c r="A2479" s="1">
        <v>44851</v>
      </c>
      <c r="B2479" t="s">
        <v>19</v>
      </c>
      <c r="C2479" t="s">
        <v>20</v>
      </c>
      <c r="D2479" t="s">
        <v>17</v>
      </c>
      <c r="E2479">
        <v>802.36</v>
      </c>
      <c r="F2479">
        <v>540.28</v>
      </c>
      <c r="G2479">
        <v>10</v>
      </c>
      <c r="H2479">
        <f t="shared" si="228"/>
        <v>8023.6</v>
      </c>
      <c r="I2479">
        <f t="shared" si="232"/>
        <v>5402.7999999999993</v>
      </c>
      <c r="J2479">
        <f t="shared" si="229"/>
        <v>2620.8000000000011</v>
      </c>
      <c r="K2479" s="8">
        <f t="shared" si="230"/>
        <v>0.32663642255346742</v>
      </c>
      <c r="L2479" t="str">
        <f t="shared" si="233"/>
        <v>2022-10</v>
      </c>
      <c r="M2479">
        <f t="shared" si="231"/>
        <v>2620.8000000000011</v>
      </c>
    </row>
    <row r="2480" spans="1:13" x14ac:dyDescent="0.25">
      <c r="A2480" s="1">
        <v>45153</v>
      </c>
      <c r="B2480" t="s">
        <v>19</v>
      </c>
      <c r="C2480" t="s">
        <v>20</v>
      </c>
      <c r="D2480" t="s">
        <v>9</v>
      </c>
      <c r="E2480">
        <v>952.97</v>
      </c>
      <c r="F2480">
        <v>525.23</v>
      </c>
      <c r="G2480">
        <v>5</v>
      </c>
      <c r="H2480">
        <f t="shared" si="228"/>
        <v>4764.8500000000004</v>
      </c>
      <c r="I2480">
        <f t="shared" si="232"/>
        <v>2626.15</v>
      </c>
      <c r="J2480">
        <f t="shared" si="229"/>
        <v>2138.7000000000003</v>
      </c>
      <c r="K2480" s="8">
        <f t="shared" si="230"/>
        <v>0.44884938665435431</v>
      </c>
      <c r="L2480" t="str">
        <f t="shared" si="233"/>
        <v>2023-08</v>
      </c>
      <c r="M2480">
        <f t="shared" si="231"/>
        <v>2138.7000000000003</v>
      </c>
    </row>
    <row r="2481" spans="1:13" x14ac:dyDescent="0.25">
      <c r="A2481" s="1">
        <v>45127</v>
      </c>
      <c r="B2481" t="s">
        <v>19</v>
      </c>
      <c r="C2481" t="s">
        <v>20</v>
      </c>
      <c r="D2481" t="s">
        <v>13</v>
      </c>
      <c r="E2481">
        <v>826.68</v>
      </c>
      <c r="F2481">
        <v>715.06</v>
      </c>
      <c r="G2481">
        <v>6</v>
      </c>
      <c r="H2481">
        <f t="shared" si="228"/>
        <v>4960.08</v>
      </c>
      <c r="I2481">
        <f t="shared" si="232"/>
        <v>4290.3599999999997</v>
      </c>
      <c r="J2481">
        <f t="shared" si="229"/>
        <v>669.72000000000025</v>
      </c>
      <c r="K2481" s="8">
        <f t="shared" si="230"/>
        <v>0.13502201577393919</v>
      </c>
      <c r="L2481" t="str">
        <f t="shared" si="233"/>
        <v>2023-07</v>
      </c>
      <c r="M2481">
        <f t="shared" si="231"/>
        <v>669.72000000000025</v>
      </c>
    </row>
    <row r="2482" spans="1:13" x14ac:dyDescent="0.25">
      <c r="A2482" s="1">
        <v>45597</v>
      </c>
      <c r="B2482" t="s">
        <v>22</v>
      </c>
      <c r="C2482" t="s">
        <v>8</v>
      </c>
      <c r="D2482" t="s">
        <v>13</v>
      </c>
      <c r="E2482">
        <v>1146.68</v>
      </c>
      <c r="F2482">
        <v>761.08</v>
      </c>
      <c r="G2482">
        <v>4</v>
      </c>
      <c r="H2482">
        <f t="shared" si="228"/>
        <v>4586.72</v>
      </c>
      <c r="I2482">
        <f t="shared" si="232"/>
        <v>3044.32</v>
      </c>
      <c r="J2482">
        <f t="shared" si="229"/>
        <v>1542.4</v>
      </c>
      <c r="K2482" s="8">
        <f t="shared" si="230"/>
        <v>0.33627515959116755</v>
      </c>
      <c r="L2482" t="str">
        <f t="shared" si="233"/>
        <v>2024-11</v>
      </c>
      <c r="M2482">
        <f t="shared" si="231"/>
        <v>1542.4</v>
      </c>
    </row>
    <row r="2483" spans="1:13" x14ac:dyDescent="0.25">
      <c r="A2483" s="1">
        <v>44630</v>
      </c>
      <c r="B2483" t="s">
        <v>19</v>
      </c>
      <c r="C2483" t="s">
        <v>20</v>
      </c>
      <c r="D2483" t="s">
        <v>17</v>
      </c>
      <c r="E2483">
        <v>391.94</v>
      </c>
      <c r="F2483">
        <v>197.31</v>
      </c>
      <c r="G2483">
        <v>10</v>
      </c>
      <c r="H2483">
        <f t="shared" si="228"/>
        <v>3919.4</v>
      </c>
      <c r="I2483">
        <f t="shared" si="232"/>
        <v>1973.1</v>
      </c>
      <c r="J2483">
        <f t="shared" si="229"/>
        <v>1946.3000000000002</v>
      </c>
      <c r="K2483" s="8">
        <f t="shared" si="230"/>
        <v>0.49658110935347249</v>
      </c>
      <c r="L2483" t="str">
        <f t="shared" si="233"/>
        <v>2022-03</v>
      </c>
      <c r="M2483">
        <f t="shared" si="231"/>
        <v>1946.3000000000002</v>
      </c>
    </row>
    <row r="2484" spans="1:13" x14ac:dyDescent="0.25">
      <c r="A2484" s="1">
        <v>45084</v>
      </c>
      <c r="B2484" t="s">
        <v>25</v>
      </c>
      <c r="C2484" t="s">
        <v>15</v>
      </c>
      <c r="D2484" t="s">
        <v>18</v>
      </c>
      <c r="E2484">
        <v>1017.75</v>
      </c>
      <c r="F2484">
        <v>527.49</v>
      </c>
      <c r="G2484">
        <v>3</v>
      </c>
      <c r="H2484">
        <f t="shared" si="228"/>
        <v>3053.25</v>
      </c>
      <c r="I2484">
        <f t="shared" si="232"/>
        <v>1582.47</v>
      </c>
      <c r="J2484">
        <f t="shared" si="229"/>
        <v>1470.78</v>
      </c>
      <c r="K2484" s="8">
        <f t="shared" si="230"/>
        <v>0.48170965364775237</v>
      </c>
      <c r="L2484" t="str">
        <f t="shared" si="233"/>
        <v>2023-06</v>
      </c>
      <c r="M2484">
        <f t="shared" si="231"/>
        <v>1470.78</v>
      </c>
    </row>
    <row r="2485" spans="1:13" x14ac:dyDescent="0.25">
      <c r="A2485" s="1">
        <v>45307</v>
      </c>
      <c r="B2485" t="s">
        <v>21</v>
      </c>
      <c r="C2485" t="s">
        <v>20</v>
      </c>
      <c r="D2485" t="s">
        <v>9</v>
      </c>
      <c r="E2485">
        <v>574.5</v>
      </c>
      <c r="F2485">
        <v>370.18</v>
      </c>
      <c r="G2485">
        <v>4</v>
      </c>
      <c r="H2485">
        <f t="shared" si="228"/>
        <v>2298</v>
      </c>
      <c r="I2485">
        <f t="shared" si="232"/>
        <v>1480.72</v>
      </c>
      <c r="J2485">
        <f t="shared" si="229"/>
        <v>817.28</v>
      </c>
      <c r="K2485" s="8">
        <f t="shared" si="230"/>
        <v>0.35564838990426456</v>
      </c>
      <c r="L2485" t="str">
        <f t="shared" si="233"/>
        <v>2024-01</v>
      </c>
      <c r="M2485">
        <f t="shared" si="231"/>
        <v>817.28</v>
      </c>
    </row>
    <row r="2486" spans="1:13" x14ac:dyDescent="0.25">
      <c r="A2486" s="1">
        <v>44840</v>
      </c>
      <c r="B2486" t="s">
        <v>25</v>
      </c>
      <c r="C2486" t="s">
        <v>15</v>
      </c>
      <c r="D2486" t="s">
        <v>13</v>
      </c>
      <c r="E2486">
        <v>722.02</v>
      </c>
      <c r="F2486">
        <v>451.95</v>
      </c>
      <c r="G2486">
        <v>8</v>
      </c>
      <c r="H2486">
        <f t="shared" si="228"/>
        <v>5776.16</v>
      </c>
      <c r="I2486">
        <f t="shared" si="232"/>
        <v>3615.6</v>
      </c>
      <c r="J2486">
        <f t="shared" si="229"/>
        <v>2160.56</v>
      </c>
      <c r="K2486" s="8">
        <f t="shared" si="230"/>
        <v>0.3740478103099637</v>
      </c>
      <c r="L2486" t="str">
        <f t="shared" si="233"/>
        <v>2022-10</v>
      </c>
      <c r="M2486">
        <f t="shared" si="231"/>
        <v>2160.56</v>
      </c>
    </row>
    <row r="2487" spans="1:13" x14ac:dyDescent="0.25">
      <c r="A2487" s="1">
        <v>45024</v>
      </c>
      <c r="B2487" t="s">
        <v>24</v>
      </c>
      <c r="C2487" t="s">
        <v>20</v>
      </c>
      <c r="D2487" t="s">
        <v>18</v>
      </c>
      <c r="E2487">
        <v>721.4</v>
      </c>
      <c r="F2487">
        <v>557.1</v>
      </c>
      <c r="G2487">
        <v>6</v>
      </c>
      <c r="H2487">
        <f t="shared" si="228"/>
        <v>4328.3999999999996</v>
      </c>
      <c r="I2487">
        <f t="shared" si="232"/>
        <v>3342.6000000000004</v>
      </c>
      <c r="J2487">
        <f t="shared" si="229"/>
        <v>985.79999999999927</v>
      </c>
      <c r="K2487" s="8">
        <f t="shared" si="230"/>
        <v>0.22775159412253937</v>
      </c>
      <c r="L2487" t="str">
        <f t="shared" si="233"/>
        <v>2023-04</v>
      </c>
      <c r="M2487">
        <f t="shared" si="231"/>
        <v>985.79999999999927</v>
      </c>
    </row>
    <row r="2488" spans="1:13" x14ac:dyDescent="0.25">
      <c r="A2488" s="1">
        <v>45024</v>
      </c>
      <c r="B2488" t="s">
        <v>7</v>
      </c>
      <c r="C2488" t="s">
        <v>8</v>
      </c>
      <c r="D2488" t="s">
        <v>13</v>
      </c>
      <c r="E2488">
        <v>1901.79</v>
      </c>
      <c r="F2488">
        <v>1057.67</v>
      </c>
      <c r="G2488">
        <v>7</v>
      </c>
      <c r="H2488">
        <f t="shared" si="228"/>
        <v>13312.529999999999</v>
      </c>
      <c r="I2488">
        <f t="shared" si="232"/>
        <v>7403.6900000000005</v>
      </c>
      <c r="J2488">
        <f t="shared" si="229"/>
        <v>5908.8399999999983</v>
      </c>
      <c r="K2488" s="8">
        <f t="shared" si="230"/>
        <v>0.44385552558379204</v>
      </c>
      <c r="L2488" t="str">
        <f t="shared" si="233"/>
        <v>2023-04</v>
      </c>
      <c r="M2488">
        <f t="shared" si="231"/>
        <v>5908.8399999999983</v>
      </c>
    </row>
    <row r="2489" spans="1:13" x14ac:dyDescent="0.25">
      <c r="A2489" s="1">
        <v>44633</v>
      </c>
      <c r="B2489" t="s">
        <v>21</v>
      </c>
      <c r="C2489" t="s">
        <v>20</v>
      </c>
      <c r="D2489" t="s">
        <v>17</v>
      </c>
      <c r="E2489">
        <v>1154.18</v>
      </c>
      <c r="F2489">
        <v>729.39</v>
      </c>
      <c r="G2489">
        <v>8</v>
      </c>
      <c r="H2489">
        <f t="shared" si="228"/>
        <v>9233.44</v>
      </c>
      <c r="I2489">
        <f t="shared" si="232"/>
        <v>5835.12</v>
      </c>
      <c r="J2489">
        <f t="shared" si="229"/>
        <v>3398.3200000000006</v>
      </c>
      <c r="K2489" s="8">
        <f t="shared" si="230"/>
        <v>0.36804484569131335</v>
      </c>
      <c r="L2489" t="str">
        <f t="shared" si="233"/>
        <v>2022-03</v>
      </c>
      <c r="M2489">
        <f t="shared" si="231"/>
        <v>3398.3200000000006</v>
      </c>
    </row>
    <row r="2490" spans="1:13" x14ac:dyDescent="0.25">
      <c r="A2490" s="1">
        <v>44621</v>
      </c>
      <c r="B2490" t="s">
        <v>16</v>
      </c>
      <c r="C2490" t="s">
        <v>15</v>
      </c>
      <c r="D2490" t="s">
        <v>13</v>
      </c>
      <c r="E2490">
        <v>547.41999999999996</v>
      </c>
      <c r="F2490">
        <v>363.29</v>
      </c>
      <c r="G2490">
        <v>9</v>
      </c>
      <c r="H2490">
        <f t="shared" si="228"/>
        <v>4926.78</v>
      </c>
      <c r="I2490">
        <f t="shared" si="232"/>
        <v>3269.61</v>
      </c>
      <c r="J2490">
        <f t="shared" si="229"/>
        <v>1657.1699999999996</v>
      </c>
      <c r="K2490" s="8">
        <f t="shared" si="230"/>
        <v>0.33635965072522006</v>
      </c>
      <c r="L2490" t="str">
        <f t="shared" si="233"/>
        <v>2022-03</v>
      </c>
      <c r="M2490">
        <f t="shared" si="231"/>
        <v>1657.1699999999996</v>
      </c>
    </row>
    <row r="2491" spans="1:13" x14ac:dyDescent="0.25">
      <c r="A2491" s="1">
        <v>44623</v>
      </c>
      <c r="B2491" t="s">
        <v>7</v>
      </c>
      <c r="C2491" t="s">
        <v>8</v>
      </c>
      <c r="D2491" t="s">
        <v>9</v>
      </c>
      <c r="E2491">
        <v>443.94</v>
      </c>
      <c r="F2491">
        <v>301.39999999999998</v>
      </c>
      <c r="G2491">
        <v>3</v>
      </c>
      <c r="H2491">
        <f t="shared" si="228"/>
        <v>1331.82</v>
      </c>
      <c r="I2491">
        <f t="shared" si="232"/>
        <v>904.19999999999993</v>
      </c>
      <c r="J2491">
        <f t="shared" si="229"/>
        <v>427.62</v>
      </c>
      <c r="K2491" s="8">
        <f t="shared" si="230"/>
        <v>0.32107942514754245</v>
      </c>
      <c r="L2491" t="str">
        <f t="shared" si="233"/>
        <v>2022-03</v>
      </c>
      <c r="M2491">
        <f t="shared" si="231"/>
        <v>427.62</v>
      </c>
    </row>
    <row r="2492" spans="1:13" x14ac:dyDescent="0.25">
      <c r="A2492" s="1">
        <v>45572</v>
      </c>
      <c r="B2492" t="s">
        <v>16</v>
      </c>
      <c r="C2492" t="s">
        <v>15</v>
      </c>
      <c r="D2492" t="s">
        <v>17</v>
      </c>
      <c r="E2492">
        <v>1603.59</v>
      </c>
      <c r="F2492">
        <v>852.99</v>
      </c>
      <c r="G2492">
        <v>9</v>
      </c>
      <c r="H2492">
        <f t="shared" si="228"/>
        <v>14432.31</v>
      </c>
      <c r="I2492">
        <f t="shared" si="232"/>
        <v>7676.91</v>
      </c>
      <c r="J2492">
        <f t="shared" si="229"/>
        <v>6755.4</v>
      </c>
      <c r="K2492" s="8">
        <f t="shared" si="230"/>
        <v>0.46807475726339026</v>
      </c>
      <c r="L2492" t="str">
        <f t="shared" si="233"/>
        <v>2024-10</v>
      </c>
      <c r="M2492">
        <f t="shared" si="231"/>
        <v>6755.4</v>
      </c>
    </row>
    <row r="2493" spans="1:13" x14ac:dyDescent="0.25">
      <c r="A2493" s="1">
        <v>45516</v>
      </c>
      <c r="B2493" t="s">
        <v>12</v>
      </c>
      <c r="C2493" t="s">
        <v>8</v>
      </c>
      <c r="D2493" t="s">
        <v>18</v>
      </c>
      <c r="E2493">
        <v>1094.28</v>
      </c>
      <c r="F2493">
        <v>934.77</v>
      </c>
      <c r="G2493">
        <v>9</v>
      </c>
      <c r="H2493">
        <f t="shared" si="228"/>
        <v>9848.52</v>
      </c>
      <c r="I2493">
        <f t="shared" si="232"/>
        <v>8412.93</v>
      </c>
      <c r="J2493">
        <f t="shared" si="229"/>
        <v>1435.5900000000001</v>
      </c>
      <c r="K2493" s="8">
        <f t="shared" si="230"/>
        <v>0.14576707972365391</v>
      </c>
      <c r="L2493" t="str">
        <f t="shared" si="233"/>
        <v>2024-08</v>
      </c>
      <c r="M2493">
        <f t="shared" si="231"/>
        <v>1435.5900000000001</v>
      </c>
    </row>
    <row r="2494" spans="1:13" x14ac:dyDescent="0.25">
      <c r="A2494" s="1">
        <v>45188</v>
      </c>
      <c r="B2494" t="s">
        <v>14</v>
      </c>
      <c r="C2494" t="s">
        <v>15</v>
      </c>
      <c r="D2494" t="s">
        <v>18</v>
      </c>
      <c r="E2494">
        <v>22.23</v>
      </c>
      <c r="F2494">
        <v>15.14</v>
      </c>
      <c r="G2494">
        <v>10</v>
      </c>
      <c r="H2494">
        <f t="shared" si="228"/>
        <v>222.3</v>
      </c>
      <c r="I2494">
        <f t="shared" si="232"/>
        <v>151.4</v>
      </c>
      <c r="J2494">
        <f t="shared" si="229"/>
        <v>70.900000000000006</v>
      </c>
      <c r="K2494" s="8">
        <f t="shared" si="230"/>
        <v>0.31893837156995053</v>
      </c>
      <c r="L2494" t="str">
        <f t="shared" si="233"/>
        <v>2023-09</v>
      </c>
      <c r="M2494">
        <f t="shared" si="231"/>
        <v>70.900000000000006</v>
      </c>
    </row>
    <row r="2495" spans="1:13" x14ac:dyDescent="0.25">
      <c r="A2495" s="1">
        <v>44691</v>
      </c>
      <c r="B2495" t="s">
        <v>19</v>
      </c>
      <c r="C2495" t="s">
        <v>20</v>
      </c>
      <c r="D2495" t="s">
        <v>18</v>
      </c>
      <c r="E2495">
        <v>830.6</v>
      </c>
      <c r="F2495">
        <v>618.53</v>
      </c>
      <c r="G2495">
        <v>3</v>
      </c>
      <c r="H2495">
        <f t="shared" si="228"/>
        <v>2491.8000000000002</v>
      </c>
      <c r="I2495">
        <f t="shared" si="232"/>
        <v>1855.59</v>
      </c>
      <c r="J2495">
        <f t="shared" si="229"/>
        <v>636.21000000000026</v>
      </c>
      <c r="K2495" s="8">
        <f t="shared" si="230"/>
        <v>0.25532145437033477</v>
      </c>
      <c r="L2495" t="str">
        <f t="shared" si="233"/>
        <v>2022-05</v>
      </c>
      <c r="M2495">
        <f t="shared" si="231"/>
        <v>636.21000000000026</v>
      </c>
    </row>
    <row r="2496" spans="1:13" x14ac:dyDescent="0.25">
      <c r="A2496" s="1">
        <v>45341</v>
      </c>
      <c r="B2496" t="s">
        <v>19</v>
      </c>
      <c r="C2496" t="s">
        <v>20</v>
      </c>
      <c r="D2496" t="s">
        <v>13</v>
      </c>
      <c r="E2496">
        <v>225.49</v>
      </c>
      <c r="F2496">
        <v>186.95</v>
      </c>
      <c r="G2496">
        <v>6</v>
      </c>
      <c r="H2496">
        <f t="shared" si="228"/>
        <v>1352.94</v>
      </c>
      <c r="I2496">
        <f t="shared" si="232"/>
        <v>1121.6999999999998</v>
      </c>
      <c r="J2496">
        <f t="shared" si="229"/>
        <v>231.24000000000024</v>
      </c>
      <c r="K2496" s="8">
        <f t="shared" si="230"/>
        <v>0.17091667036232222</v>
      </c>
      <c r="L2496" t="str">
        <f t="shared" si="233"/>
        <v>2024-02</v>
      </c>
      <c r="M2496">
        <f t="shared" si="231"/>
        <v>231.24000000000024</v>
      </c>
    </row>
    <row r="2497" spans="1:13" x14ac:dyDescent="0.25">
      <c r="A2497" s="1">
        <v>44849</v>
      </c>
      <c r="B2497" t="s">
        <v>25</v>
      </c>
      <c r="C2497" t="s">
        <v>15</v>
      </c>
      <c r="D2497" t="s">
        <v>13</v>
      </c>
      <c r="E2497">
        <v>1129.68</v>
      </c>
      <c r="F2497">
        <v>1014.99</v>
      </c>
      <c r="G2497">
        <v>8</v>
      </c>
      <c r="H2497">
        <f t="shared" si="228"/>
        <v>9037.44</v>
      </c>
      <c r="I2497">
        <f t="shared" si="232"/>
        <v>8119.92</v>
      </c>
      <c r="J2497">
        <f t="shared" si="229"/>
        <v>917.52000000000044</v>
      </c>
      <c r="K2497" s="8">
        <f t="shared" si="230"/>
        <v>0.10152432547270028</v>
      </c>
      <c r="L2497" t="str">
        <f t="shared" si="233"/>
        <v>2022-10</v>
      </c>
      <c r="M2497">
        <f t="shared" si="231"/>
        <v>917.52000000000044</v>
      </c>
    </row>
    <row r="2498" spans="1:13" x14ac:dyDescent="0.25">
      <c r="A2498" s="1">
        <v>45314</v>
      </c>
      <c r="B2498" t="s">
        <v>12</v>
      </c>
      <c r="C2498" t="s">
        <v>8</v>
      </c>
      <c r="D2498" t="s">
        <v>17</v>
      </c>
      <c r="E2498">
        <v>653.35</v>
      </c>
      <c r="F2498">
        <v>355.95</v>
      </c>
      <c r="G2498">
        <v>9</v>
      </c>
      <c r="H2498">
        <f t="shared" si="228"/>
        <v>5880.1500000000005</v>
      </c>
      <c r="I2498">
        <f t="shared" si="232"/>
        <v>3203.5499999999997</v>
      </c>
      <c r="J2498">
        <f t="shared" si="229"/>
        <v>2676.6000000000008</v>
      </c>
      <c r="K2498" s="8">
        <f t="shared" si="230"/>
        <v>0.45519246957985776</v>
      </c>
      <c r="L2498" t="str">
        <f t="shared" si="233"/>
        <v>2024-01</v>
      </c>
      <c r="M2498">
        <f t="shared" si="231"/>
        <v>2676.6000000000008</v>
      </c>
    </row>
    <row r="2499" spans="1:13" x14ac:dyDescent="0.25">
      <c r="A2499" s="1">
        <v>45190</v>
      </c>
      <c r="B2499" t="s">
        <v>14</v>
      </c>
      <c r="C2499" t="s">
        <v>15</v>
      </c>
      <c r="D2499" t="s">
        <v>13</v>
      </c>
      <c r="E2499">
        <v>1079.33</v>
      </c>
      <c r="F2499">
        <v>756.97</v>
      </c>
      <c r="G2499">
        <v>6</v>
      </c>
      <c r="H2499">
        <f t="shared" ref="H2499:H2562" si="234">E2499*G2499</f>
        <v>6475.98</v>
      </c>
      <c r="I2499">
        <f t="shared" si="232"/>
        <v>4541.82</v>
      </c>
      <c r="J2499">
        <f t="shared" ref="J2499:J2562" si="235">H2499-I2499</f>
        <v>1934.1599999999999</v>
      </c>
      <c r="K2499" s="8">
        <f t="shared" ref="K2499:K2562" si="236">(H2499-I2499)/H2499</f>
        <v>0.29866676549340793</v>
      </c>
      <c r="L2499" t="str">
        <f t="shared" si="233"/>
        <v>2023-09</v>
      </c>
      <c r="M2499">
        <f t="shared" ref="M2499:M2562" si="237">H2499-I2499</f>
        <v>1934.1599999999999</v>
      </c>
    </row>
    <row r="2500" spans="1:13" x14ac:dyDescent="0.25">
      <c r="A2500" s="1">
        <v>45393</v>
      </c>
      <c r="B2500" t="s">
        <v>25</v>
      </c>
      <c r="C2500" t="s">
        <v>15</v>
      </c>
      <c r="D2500" t="s">
        <v>9</v>
      </c>
      <c r="E2500">
        <v>1687.89</v>
      </c>
      <c r="F2500">
        <v>1085.31</v>
      </c>
      <c r="G2500">
        <v>4</v>
      </c>
      <c r="H2500">
        <f t="shared" si="234"/>
        <v>6751.56</v>
      </c>
      <c r="I2500">
        <f t="shared" ref="I2500:I2563" si="238">F2500*G2500</f>
        <v>4341.24</v>
      </c>
      <c r="J2500">
        <f t="shared" si="235"/>
        <v>2410.3200000000006</v>
      </c>
      <c r="K2500" s="8">
        <f t="shared" si="236"/>
        <v>0.35700193733003938</v>
      </c>
      <c r="L2500" t="str">
        <f t="shared" ref="L2500:L2563" si="239">TEXT(A2500,"rrrr-mm")</f>
        <v>2024-04</v>
      </c>
      <c r="M2500">
        <f t="shared" si="237"/>
        <v>2410.3200000000006</v>
      </c>
    </row>
    <row r="2501" spans="1:13" x14ac:dyDescent="0.25">
      <c r="A2501" s="1">
        <v>44795</v>
      </c>
      <c r="B2501" t="s">
        <v>16</v>
      </c>
      <c r="C2501" t="s">
        <v>15</v>
      </c>
      <c r="D2501" t="s">
        <v>9</v>
      </c>
      <c r="E2501">
        <v>1318.45</v>
      </c>
      <c r="F2501">
        <v>817.06</v>
      </c>
      <c r="G2501">
        <v>5</v>
      </c>
      <c r="H2501">
        <f t="shared" si="234"/>
        <v>6592.25</v>
      </c>
      <c r="I2501">
        <f t="shared" si="238"/>
        <v>4085.2999999999997</v>
      </c>
      <c r="J2501">
        <f t="shared" si="235"/>
        <v>2506.9500000000003</v>
      </c>
      <c r="K2501" s="8">
        <f t="shared" si="236"/>
        <v>0.3802874587583906</v>
      </c>
      <c r="L2501" t="str">
        <f t="shared" si="239"/>
        <v>2022-08</v>
      </c>
      <c r="M2501">
        <f t="shared" si="237"/>
        <v>2506.9500000000003</v>
      </c>
    </row>
    <row r="2502" spans="1:13" x14ac:dyDescent="0.25">
      <c r="A2502" s="1">
        <v>44645</v>
      </c>
      <c r="B2502" t="s">
        <v>12</v>
      </c>
      <c r="C2502" t="s">
        <v>8</v>
      </c>
      <c r="D2502" t="s">
        <v>9</v>
      </c>
      <c r="E2502">
        <v>29.33</v>
      </c>
      <c r="F2502">
        <v>19.21</v>
      </c>
      <c r="G2502">
        <v>8</v>
      </c>
      <c r="H2502">
        <f t="shared" si="234"/>
        <v>234.64</v>
      </c>
      <c r="I2502">
        <f t="shared" si="238"/>
        <v>153.68</v>
      </c>
      <c r="J2502">
        <f t="shared" si="235"/>
        <v>80.95999999999998</v>
      </c>
      <c r="K2502" s="8">
        <f t="shared" si="236"/>
        <v>0.34503920900102275</v>
      </c>
      <c r="L2502" t="str">
        <f t="shared" si="239"/>
        <v>2022-03</v>
      </c>
      <c r="M2502">
        <f t="shared" si="237"/>
        <v>80.95999999999998</v>
      </c>
    </row>
    <row r="2503" spans="1:13" x14ac:dyDescent="0.25">
      <c r="A2503" s="1">
        <v>44983</v>
      </c>
      <c r="B2503" t="s">
        <v>16</v>
      </c>
      <c r="C2503" t="s">
        <v>15</v>
      </c>
      <c r="D2503" t="s">
        <v>13</v>
      </c>
      <c r="E2503">
        <v>1928.41</v>
      </c>
      <c r="F2503">
        <v>1044.29</v>
      </c>
      <c r="G2503">
        <v>6</v>
      </c>
      <c r="H2503">
        <f t="shared" si="234"/>
        <v>11570.460000000001</v>
      </c>
      <c r="I2503">
        <f t="shared" si="238"/>
        <v>6265.74</v>
      </c>
      <c r="J2503">
        <f t="shared" si="235"/>
        <v>5304.7200000000012</v>
      </c>
      <c r="K2503" s="8">
        <f t="shared" si="236"/>
        <v>0.4584709683106809</v>
      </c>
      <c r="L2503" t="str">
        <f t="shared" si="239"/>
        <v>2023-02</v>
      </c>
      <c r="M2503">
        <f t="shared" si="237"/>
        <v>5304.7200000000012</v>
      </c>
    </row>
    <row r="2504" spans="1:13" x14ac:dyDescent="0.25">
      <c r="A2504" s="1">
        <v>45607</v>
      </c>
      <c r="B2504" t="s">
        <v>12</v>
      </c>
      <c r="C2504" t="s">
        <v>8</v>
      </c>
      <c r="D2504" t="s">
        <v>9</v>
      </c>
      <c r="E2504">
        <v>1137.1600000000001</v>
      </c>
      <c r="F2504">
        <v>650.16999999999996</v>
      </c>
      <c r="G2504">
        <v>8</v>
      </c>
      <c r="H2504">
        <f t="shared" si="234"/>
        <v>9097.2800000000007</v>
      </c>
      <c r="I2504">
        <f t="shared" si="238"/>
        <v>5201.3599999999997</v>
      </c>
      <c r="J2504">
        <f t="shared" si="235"/>
        <v>3895.920000000001</v>
      </c>
      <c r="K2504" s="8">
        <f t="shared" si="236"/>
        <v>0.42825108164198539</v>
      </c>
      <c r="L2504" t="str">
        <f t="shared" si="239"/>
        <v>2024-11</v>
      </c>
      <c r="M2504">
        <f t="shared" si="237"/>
        <v>3895.920000000001</v>
      </c>
    </row>
    <row r="2505" spans="1:13" x14ac:dyDescent="0.25">
      <c r="A2505" s="1">
        <v>44952</v>
      </c>
      <c r="B2505" t="s">
        <v>14</v>
      </c>
      <c r="C2505" t="s">
        <v>15</v>
      </c>
      <c r="D2505" t="s">
        <v>9</v>
      </c>
      <c r="E2505">
        <v>45.06</v>
      </c>
      <c r="F2505">
        <v>23.69</v>
      </c>
      <c r="G2505">
        <v>3</v>
      </c>
      <c r="H2505">
        <f t="shared" si="234"/>
        <v>135.18</v>
      </c>
      <c r="I2505">
        <f t="shared" si="238"/>
        <v>71.070000000000007</v>
      </c>
      <c r="J2505">
        <f t="shared" si="235"/>
        <v>64.11</v>
      </c>
      <c r="K2505" s="8">
        <f t="shared" si="236"/>
        <v>0.47425654682645357</v>
      </c>
      <c r="L2505" t="str">
        <f t="shared" si="239"/>
        <v>2023-01</v>
      </c>
      <c r="M2505">
        <f t="shared" si="237"/>
        <v>64.11</v>
      </c>
    </row>
    <row r="2506" spans="1:13" x14ac:dyDescent="0.25">
      <c r="A2506" s="1">
        <v>45489</v>
      </c>
      <c r="B2506" t="s">
        <v>10</v>
      </c>
      <c r="C2506" t="s">
        <v>11</v>
      </c>
      <c r="D2506" t="s">
        <v>13</v>
      </c>
      <c r="E2506">
        <v>663.02</v>
      </c>
      <c r="F2506">
        <v>365.15</v>
      </c>
      <c r="G2506">
        <v>10</v>
      </c>
      <c r="H2506">
        <f t="shared" si="234"/>
        <v>6630.2</v>
      </c>
      <c r="I2506">
        <f t="shared" si="238"/>
        <v>3651.5</v>
      </c>
      <c r="J2506">
        <f t="shared" si="235"/>
        <v>2978.7</v>
      </c>
      <c r="K2506" s="8">
        <f t="shared" si="236"/>
        <v>0.44926246568730954</v>
      </c>
      <c r="L2506" t="str">
        <f t="shared" si="239"/>
        <v>2024-07</v>
      </c>
      <c r="M2506">
        <f t="shared" si="237"/>
        <v>2978.7</v>
      </c>
    </row>
    <row r="2507" spans="1:13" x14ac:dyDescent="0.25">
      <c r="A2507" s="1">
        <v>44683</v>
      </c>
      <c r="B2507" t="s">
        <v>24</v>
      </c>
      <c r="C2507" t="s">
        <v>20</v>
      </c>
      <c r="D2507" t="s">
        <v>18</v>
      </c>
      <c r="E2507">
        <v>125.26</v>
      </c>
      <c r="F2507">
        <v>87.94</v>
      </c>
      <c r="G2507">
        <v>7</v>
      </c>
      <c r="H2507">
        <f t="shared" si="234"/>
        <v>876.82</v>
      </c>
      <c r="I2507">
        <f t="shared" si="238"/>
        <v>615.57999999999993</v>
      </c>
      <c r="J2507">
        <f t="shared" si="235"/>
        <v>261.24000000000012</v>
      </c>
      <c r="K2507" s="8">
        <f t="shared" si="236"/>
        <v>0.29794028420884572</v>
      </c>
      <c r="L2507" t="str">
        <f t="shared" si="239"/>
        <v>2022-05</v>
      </c>
      <c r="M2507">
        <f t="shared" si="237"/>
        <v>261.24000000000012</v>
      </c>
    </row>
    <row r="2508" spans="1:13" x14ac:dyDescent="0.25">
      <c r="A2508" s="1">
        <v>45473</v>
      </c>
      <c r="B2508" t="s">
        <v>10</v>
      </c>
      <c r="C2508" t="s">
        <v>11</v>
      </c>
      <c r="D2508" t="s">
        <v>18</v>
      </c>
      <c r="E2508">
        <v>1312.06</v>
      </c>
      <c r="F2508">
        <v>1125.58</v>
      </c>
      <c r="G2508">
        <v>7</v>
      </c>
      <c r="H2508">
        <f t="shared" si="234"/>
        <v>9184.42</v>
      </c>
      <c r="I2508">
        <f t="shared" si="238"/>
        <v>7879.0599999999995</v>
      </c>
      <c r="J2508">
        <f t="shared" si="235"/>
        <v>1305.3600000000006</v>
      </c>
      <c r="K2508" s="8">
        <f t="shared" si="236"/>
        <v>0.14212764660152744</v>
      </c>
      <c r="L2508" t="str">
        <f t="shared" si="239"/>
        <v>2024-06</v>
      </c>
      <c r="M2508">
        <f t="shared" si="237"/>
        <v>1305.3600000000006</v>
      </c>
    </row>
    <row r="2509" spans="1:13" x14ac:dyDescent="0.25">
      <c r="A2509" s="1">
        <v>45402</v>
      </c>
      <c r="B2509" t="s">
        <v>14</v>
      </c>
      <c r="C2509" t="s">
        <v>15</v>
      </c>
      <c r="D2509" t="s">
        <v>9</v>
      </c>
      <c r="E2509">
        <v>824.04</v>
      </c>
      <c r="F2509">
        <v>636.17999999999995</v>
      </c>
      <c r="G2509">
        <v>9</v>
      </c>
      <c r="H2509">
        <f t="shared" si="234"/>
        <v>7416.36</v>
      </c>
      <c r="I2509">
        <f t="shared" si="238"/>
        <v>5725.62</v>
      </c>
      <c r="J2509">
        <f t="shared" si="235"/>
        <v>1690.7399999999998</v>
      </c>
      <c r="K2509" s="8">
        <f t="shared" si="236"/>
        <v>0.22797437017620503</v>
      </c>
      <c r="L2509" t="str">
        <f t="shared" si="239"/>
        <v>2024-04</v>
      </c>
      <c r="M2509">
        <f t="shared" si="237"/>
        <v>1690.7399999999998</v>
      </c>
    </row>
    <row r="2510" spans="1:13" x14ac:dyDescent="0.25">
      <c r="A2510" s="1">
        <v>45032</v>
      </c>
      <c r="B2510" t="s">
        <v>19</v>
      </c>
      <c r="C2510" t="s">
        <v>20</v>
      </c>
      <c r="D2510" t="s">
        <v>17</v>
      </c>
      <c r="E2510">
        <v>207.7</v>
      </c>
      <c r="F2510">
        <v>129.53</v>
      </c>
      <c r="G2510">
        <v>6</v>
      </c>
      <c r="H2510">
        <f t="shared" si="234"/>
        <v>1246.1999999999998</v>
      </c>
      <c r="I2510">
        <f t="shared" si="238"/>
        <v>777.18000000000006</v>
      </c>
      <c r="J2510">
        <f t="shared" si="235"/>
        <v>469.01999999999975</v>
      </c>
      <c r="K2510" s="8">
        <f t="shared" si="236"/>
        <v>0.37636013480982172</v>
      </c>
      <c r="L2510" t="str">
        <f t="shared" si="239"/>
        <v>2023-04</v>
      </c>
      <c r="M2510">
        <f t="shared" si="237"/>
        <v>469.01999999999975</v>
      </c>
    </row>
    <row r="2511" spans="1:13" x14ac:dyDescent="0.25">
      <c r="A2511" s="1">
        <v>44983</v>
      </c>
      <c r="B2511" t="s">
        <v>21</v>
      </c>
      <c r="C2511" t="s">
        <v>20</v>
      </c>
      <c r="D2511" t="s">
        <v>17</v>
      </c>
      <c r="E2511">
        <v>1217.3900000000001</v>
      </c>
      <c r="F2511">
        <v>1003.74</v>
      </c>
      <c r="G2511">
        <v>1</v>
      </c>
      <c r="H2511">
        <f t="shared" si="234"/>
        <v>1217.3900000000001</v>
      </c>
      <c r="I2511">
        <f t="shared" si="238"/>
        <v>1003.74</v>
      </c>
      <c r="J2511">
        <f t="shared" si="235"/>
        <v>213.65000000000009</v>
      </c>
      <c r="K2511" s="8">
        <f t="shared" si="236"/>
        <v>0.17549840231971683</v>
      </c>
      <c r="L2511" t="str">
        <f t="shared" si="239"/>
        <v>2023-02</v>
      </c>
      <c r="M2511">
        <f t="shared" si="237"/>
        <v>213.65000000000009</v>
      </c>
    </row>
    <row r="2512" spans="1:13" x14ac:dyDescent="0.25">
      <c r="A2512" s="1">
        <v>44593</v>
      </c>
      <c r="B2512" t="s">
        <v>21</v>
      </c>
      <c r="C2512" t="s">
        <v>20</v>
      </c>
      <c r="D2512" t="s">
        <v>17</v>
      </c>
      <c r="E2512">
        <v>679.43</v>
      </c>
      <c r="F2512">
        <v>359.48</v>
      </c>
      <c r="G2512">
        <v>7</v>
      </c>
      <c r="H2512">
        <f t="shared" si="234"/>
        <v>4756.0099999999993</v>
      </c>
      <c r="I2512">
        <f t="shared" si="238"/>
        <v>2516.36</v>
      </c>
      <c r="J2512">
        <f t="shared" si="235"/>
        <v>2239.6499999999992</v>
      </c>
      <c r="K2512" s="8">
        <f t="shared" si="236"/>
        <v>0.47090943879428332</v>
      </c>
      <c r="L2512" t="str">
        <f t="shared" si="239"/>
        <v>2022-02</v>
      </c>
      <c r="M2512">
        <f t="shared" si="237"/>
        <v>2239.6499999999992</v>
      </c>
    </row>
    <row r="2513" spans="1:13" x14ac:dyDescent="0.25">
      <c r="A2513" s="1">
        <v>45322</v>
      </c>
      <c r="B2513" t="s">
        <v>23</v>
      </c>
      <c r="C2513" t="s">
        <v>11</v>
      </c>
      <c r="D2513" t="s">
        <v>9</v>
      </c>
      <c r="E2513">
        <v>526.47</v>
      </c>
      <c r="F2513">
        <v>438.47</v>
      </c>
      <c r="G2513">
        <v>9</v>
      </c>
      <c r="H2513">
        <f t="shared" si="234"/>
        <v>4738.2300000000005</v>
      </c>
      <c r="I2513">
        <f t="shared" si="238"/>
        <v>3946.2300000000005</v>
      </c>
      <c r="J2513">
        <f t="shared" si="235"/>
        <v>792</v>
      </c>
      <c r="K2513" s="8">
        <f t="shared" si="236"/>
        <v>0.1671510247497483</v>
      </c>
      <c r="L2513" t="str">
        <f t="shared" si="239"/>
        <v>2024-01</v>
      </c>
      <c r="M2513">
        <f t="shared" si="237"/>
        <v>792</v>
      </c>
    </row>
    <row r="2514" spans="1:13" x14ac:dyDescent="0.25">
      <c r="A2514" s="1">
        <v>45181</v>
      </c>
      <c r="B2514" t="s">
        <v>16</v>
      </c>
      <c r="C2514" t="s">
        <v>15</v>
      </c>
      <c r="D2514" t="s">
        <v>13</v>
      </c>
      <c r="E2514">
        <v>941.09</v>
      </c>
      <c r="F2514">
        <v>752.81</v>
      </c>
      <c r="G2514">
        <v>6</v>
      </c>
      <c r="H2514">
        <f t="shared" si="234"/>
        <v>5646.54</v>
      </c>
      <c r="I2514">
        <f t="shared" si="238"/>
        <v>4516.8599999999997</v>
      </c>
      <c r="J2514">
        <f t="shared" si="235"/>
        <v>1129.6800000000003</v>
      </c>
      <c r="K2514" s="8">
        <f t="shared" si="236"/>
        <v>0.20006588105282178</v>
      </c>
      <c r="L2514" t="str">
        <f t="shared" si="239"/>
        <v>2023-09</v>
      </c>
      <c r="M2514">
        <f t="shared" si="237"/>
        <v>1129.6800000000003</v>
      </c>
    </row>
    <row r="2515" spans="1:13" x14ac:dyDescent="0.25">
      <c r="A2515" s="1">
        <v>45048</v>
      </c>
      <c r="B2515" t="s">
        <v>24</v>
      </c>
      <c r="C2515" t="s">
        <v>20</v>
      </c>
      <c r="D2515" t="s">
        <v>13</v>
      </c>
      <c r="E2515">
        <v>1548.69</v>
      </c>
      <c r="F2515">
        <v>922.58</v>
      </c>
      <c r="G2515">
        <v>8</v>
      </c>
      <c r="H2515">
        <f t="shared" si="234"/>
        <v>12389.52</v>
      </c>
      <c r="I2515">
        <f t="shared" si="238"/>
        <v>7380.64</v>
      </c>
      <c r="J2515">
        <f t="shared" si="235"/>
        <v>5008.88</v>
      </c>
      <c r="K2515" s="8">
        <f t="shared" si="236"/>
        <v>0.40428362035010235</v>
      </c>
      <c r="L2515" t="str">
        <f t="shared" si="239"/>
        <v>2023-05</v>
      </c>
      <c r="M2515">
        <f t="shared" si="237"/>
        <v>5008.88</v>
      </c>
    </row>
    <row r="2516" spans="1:13" x14ac:dyDescent="0.25">
      <c r="A2516" s="1">
        <v>45531</v>
      </c>
      <c r="B2516" t="s">
        <v>25</v>
      </c>
      <c r="C2516" t="s">
        <v>15</v>
      </c>
      <c r="D2516" t="s">
        <v>13</v>
      </c>
      <c r="E2516">
        <v>627.45000000000005</v>
      </c>
      <c r="F2516">
        <v>324.19</v>
      </c>
      <c r="G2516">
        <v>10</v>
      </c>
      <c r="H2516">
        <f t="shared" si="234"/>
        <v>6274.5</v>
      </c>
      <c r="I2516">
        <f t="shared" si="238"/>
        <v>3241.9</v>
      </c>
      <c r="J2516">
        <f t="shared" si="235"/>
        <v>3032.6</v>
      </c>
      <c r="K2516" s="8">
        <f t="shared" si="236"/>
        <v>0.48332138018965654</v>
      </c>
      <c r="L2516" t="str">
        <f t="shared" si="239"/>
        <v>2024-08</v>
      </c>
      <c r="M2516">
        <f t="shared" si="237"/>
        <v>3032.6</v>
      </c>
    </row>
    <row r="2517" spans="1:13" x14ac:dyDescent="0.25">
      <c r="A2517" s="1">
        <v>45401</v>
      </c>
      <c r="B2517" t="s">
        <v>14</v>
      </c>
      <c r="C2517" t="s">
        <v>15</v>
      </c>
      <c r="D2517" t="s">
        <v>9</v>
      </c>
      <c r="E2517">
        <v>562.62</v>
      </c>
      <c r="F2517">
        <v>390.38</v>
      </c>
      <c r="G2517">
        <v>5</v>
      </c>
      <c r="H2517">
        <f t="shared" si="234"/>
        <v>2813.1</v>
      </c>
      <c r="I2517">
        <f t="shared" si="238"/>
        <v>1951.9</v>
      </c>
      <c r="J2517">
        <f t="shared" si="235"/>
        <v>861.19999999999982</v>
      </c>
      <c r="K2517" s="8">
        <f t="shared" si="236"/>
        <v>0.30613913476236176</v>
      </c>
      <c r="L2517" t="str">
        <f t="shared" si="239"/>
        <v>2024-04</v>
      </c>
      <c r="M2517">
        <f t="shared" si="237"/>
        <v>861.19999999999982</v>
      </c>
    </row>
    <row r="2518" spans="1:13" x14ac:dyDescent="0.25">
      <c r="A2518" s="1">
        <v>44628</v>
      </c>
      <c r="B2518" t="s">
        <v>7</v>
      </c>
      <c r="C2518" t="s">
        <v>8</v>
      </c>
      <c r="D2518" t="s">
        <v>17</v>
      </c>
      <c r="E2518">
        <v>1887.81</v>
      </c>
      <c r="F2518">
        <v>1394.58</v>
      </c>
      <c r="G2518">
        <v>10</v>
      </c>
      <c r="H2518">
        <f t="shared" si="234"/>
        <v>18878.099999999999</v>
      </c>
      <c r="I2518">
        <f t="shared" si="238"/>
        <v>13945.8</v>
      </c>
      <c r="J2518">
        <f t="shared" si="235"/>
        <v>4932.2999999999993</v>
      </c>
      <c r="K2518" s="8">
        <f t="shared" si="236"/>
        <v>0.26127099655155972</v>
      </c>
      <c r="L2518" t="str">
        <f t="shared" si="239"/>
        <v>2022-03</v>
      </c>
      <c r="M2518">
        <f t="shared" si="237"/>
        <v>4932.2999999999993</v>
      </c>
    </row>
    <row r="2519" spans="1:13" x14ac:dyDescent="0.25">
      <c r="A2519" s="1">
        <v>45445</v>
      </c>
      <c r="B2519" t="s">
        <v>24</v>
      </c>
      <c r="C2519" t="s">
        <v>20</v>
      </c>
      <c r="D2519" t="s">
        <v>9</v>
      </c>
      <c r="E2519">
        <v>235.9</v>
      </c>
      <c r="F2519">
        <v>138.83000000000001</v>
      </c>
      <c r="G2519">
        <v>9</v>
      </c>
      <c r="H2519">
        <f t="shared" si="234"/>
        <v>2123.1</v>
      </c>
      <c r="I2519">
        <f t="shared" si="238"/>
        <v>1249.47</v>
      </c>
      <c r="J2519">
        <f t="shared" si="235"/>
        <v>873.62999999999988</v>
      </c>
      <c r="K2519" s="8">
        <f t="shared" si="236"/>
        <v>0.41148791860958028</v>
      </c>
      <c r="L2519" t="str">
        <f t="shared" si="239"/>
        <v>2024-06</v>
      </c>
      <c r="M2519">
        <f t="shared" si="237"/>
        <v>873.62999999999988</v>
      </c>
    </row>
    <row r="2520" spans="1:13" x14ac:dyDescent="0.25">
      <c r="A2520" s="1">
        <v>45504</v>
      </c>
      <c r="B2520" t="s">
        <v>22</v>
      </c>
      <c r="C2520" t="s">
        <v>8</v>
      </c>
      <c r="D2520" t="s">
        <v>17</v>
      </c>
      <c r="E2520">
        <v>773.82</v>
      </c>
      <c r="F2520">
        <v>400.04</v>
      </c>
      <c r="G2520">
        <v>7</v>
      </c>
      <c r="H2520">
        <f t="shared" si="234"/>
        <v>5416.7400000000007</v>
      </c>
      <c r="I2520">
        <f t="shared" si="238"/>
        <v>2800.28</v>
      </c>
      <c r="J2520">
        <f t="shared" si="235"/>
        <v>2616.4600000000005</v>
      </c>
      <c r="K2520" s="8">
        <f t="shared" si="236"/>
        <v>0.48303222971750537</v>
      </c>
      <c r="L2520" t="str">
        <f t="shared" si="239"/>
        <v>2024-07</v>
      </c>
      <c r="M2520">
        <f t="shared" si="237"/>
        <v>2616.4600000000005</v>
      </c>
    </row>
    <row r="2521" spans="1:13" x14ac:dyDescent="0.25">
      <c r="A2521" s="1">
        <v>44918</v>
      </c>
      <c r="B2521" t="s">
        <v>16</v>
      </c>
      <c r="C2521" t="s">
        <v>15</v>
      </c>
      <c r="D2521" t="s">
        <v>17</v>
      </c>
      <c r="E2521">
        <v>694.89</v>
      </c>
      <c r="F2521">
        <v>380.9</v>
      </c>
      <c r="G2521">
        <v>3</v>
      </c>
      <c r="H2521">
        <f t="shared" si="234"/>
        <v>2084.67</v>
      </c>
      <c r="I2521">
        <f t="shared" si="238"/>
        <v>1142.6999999999998</v>
      </c>
      <c r="J2521">
        <f t="shared" si="235"/>
        <v>941.97000000000025</v>
      </c>
      <c r="K2521" s="8">
        <f t="shared" si="236"/>
        <v>0.45185568938968768</v>
      </c>
      <c r="L2521" t="str">
        <f t="shared" si="239"/>
        <v>2022-12</v>
      </c>
      <c r="M2521">
        <f t="shared" si="237"/>
        <v>941.97000000000025</v>
      </c>
    </row>
    <row r="2522" spans="1:13" x14ac:dyDescent="0.25">
      <c r="A2522" s="1">
        <v>45655</v>
      </c>
      <c r="B2522" t="s">
        <v>12</v>
      </c>
      <c r="C2522" t="s">
        <v>8</v>
      </c>
      <c r="D2522" t="s">
        <v>18</v>
      </c>
      <c r="E2522">
        <v>850.02</v>
      </c>
      <c r="F2522">
        <v>761.19</v>
      </c>
      <c r="G2522">
        <v>4</v>
      </c>
      <c r="H2522">
        <f t="shared" si="234"/>
        <v>3400.08</v>
      </c>
      <c r="I2522">
        <f t="shared" si="238"/>
        <v>3044.76</v>
      </c>
      <c r="J2522">
        <f t="shared" si="235"/>
        <v>355.31999999999971</v>
      </c>
      <c r="K2522" s="8">
        <f t="shared" si="236"/>
        <v>0.10450342344885995</v>
      </c>
      <c r="L2522" t="str">
        <f t="shared" si="239"/>
        <v>2024-12</v>
      </c>
      <c r="M2522">
        <f t="shared" si="237"/>
        <v>355.31999999999971</v>
      </c>
    </row>
    <row r="2523" spans="1:13" x14ac:dyDescent="0.25">
      <c r="A2523" s="1">
        <v>45375</v>
      </c>
      <c r="B2523" t="s">
        <v>23</v>
      </c>
      <c r="C2523" t="s">
        <v>11</v>
      </c>
      <c r="D2523" t="s">
        <v>18</v>
      </c>
      <c r="E2523">
        <v>1227.27</v>
      </c>
      <c r="F2523">
        <v>1069.6199999999999</v>
      </c>
      <c r="G2523">
        <v>1</v>
      </c>
      <c r="H2523">
        <f t="shared" si="234"/>
        <v>1227.27</v>
      </c>
      <c r="I2523">
        <f t="shared" si="238"/>
        <v>1069.6199999999999</v>
      </c>
      <c r="J2523">
        <f t="shared" si="235"/>
        <v>157.65000000000009</v>
      </c>
      <c r="K2523" s="8">
        <f t="shared" si="236"/>
        <v>0.1284558410129801</v>
      </c>
      <c r="L2523" t="str">
        <f t="shared" si="239"/>
        <v>2024-03</v>
      </c>
      <c r="M2523">
        <f t="shared" si="237"/>
        <v>157.65000000000009</v>
      </c>
    </row>
    <row r="2524" spans="1:13" x14ac:dyDescent="0.25">
      <c r="A2524" s="1">
        <v>45149</v>
      </c>
      <c r="B2524" t="s">
        <v>22</v>
      </c>
      <c r="C2524" t="s">
        <v>8</v>
      </c>
      <c r="D2524" t="s">
        <v>17</v>
      </c>
      <c r="E2524">
        <v>1849.22</v>
      </c>
      <c r="F2524">
        <v>1570.02</v>
      </c>
      <c r="G2524">
        <v>6</v>
      </c>
      <c r="H2524">
        <f t="shared" si="234"/>
        <v>11095.32</v>
      </c>
      <c r="I2524">
        <f t="shared" si="238"/>
        <v>9420.119999999999</v>
      </c>
      <c r="J2524">
        <f t="shared" si="235"/>
        <v>1675.2000000000007</v>
      </c>
      <c r="K2524" s="8">
        <f t="shared" si="236"/>
        <v>0.15098257643763324</v>
      </c>
      <c r="L2524" t="str">
        <f t="shared" si="239"/>
        <v>2023-08</v>
      </c>
      <c r="M2524">
        <f t="shared" si="237"/>
        <v>1675.2000000000007</v>
      </c>
    </row>
    <row r="2525" spans="1:13" x14ac:dyDescent="0.25">
      <c r="A2525" s="1">
        <v>44803</v>
      </c>
      <c r="B2525" t="s">
        <v>25</v>
      </c>
      <c r="C2525" t="s">
        <v>15</v>
      </c>
      <c r="D2525" t="s">
        <v>13</v>
      </c>
      <c r="E2525">
        <v>1924.4</v>
      </c>
      <c r="F2525">
        <v>1163.17</v>
      </c>
      <c r="G2525">
        <v>1</v>
      </c>
      <c r="H2525">
        <f t="shared" si="234"/>
        <v>1924.4</v>
      </c>
      <c r="I2525">
        <f t="shared" si="238"/>
        <v>1163.17</v>
      </c>
      <c r="J2525">
        <f t="shared" si="235"/>
        <v>761.23</v>
      </c>
      <c r="K2525" s="8">
        <f t="shared" si="236"/>
        <v>0.39556744959467888</v>
      </c>
      <c r="L2525" t="str">
        <f t="shared" si="239"/>
        <v>2022-08</v>
      </c>
      <c r="M2525">
        <f t="shared" si="237"/>
        <v>761.23</v>
      </c>
    </row>
    <row r="2526" spans="1:13" x14ac:dyDescent="0.25">
      <c r="A2526" s="1">
        <v>45429</v>
      </c>
      <c r="B2526" t="s">
        <v>16</v>
      </c>
      <c r="C2526" t="s">
        <v>15</v>
      </c>
      <c r="D2526" t="s">
        <v>9</v>
      </c>
      <c r="E2526">
        <v>1371.94</v>
      </c>
      <c r="F2526">
        <v>968.07</v>
      </c>
      <c r="G2526">
        <v>7</v>
      </c>
      <c r="H2526">
        <f t="shared" si="234"/>
        <v>9603.58</v>
      </c>
      <c r="I2526">
        <f t="shared" si="238"/>
        <v>6776.4900000000007</v>
      </c>
      <c r="J2526">
        <f t="shared" si="235"/>
        <v>2827.0899999999992</v>
      </c>
      <c r="K2526" s="8">
        <f t="shared" si="236"/>
        <v>0.29437876291966114</v>
      </c>
      <c r="L2526" t="str">
        <f t="shared" si="239"/>
        <v>2024-05</v>
      </c>
      <c r="M2526">
        <f t="shared" si="237"/>
        <v>2827.0899999999992</v>
      </c>
    </row>
    <row r="2527" spans="1:13" x14ac:dyDescent="0.25">
      <c r="A2527" s="1">
        <v>44957</v>
      </c>
      <c r="B2527" t="s">
        <v>12</v>
      </c>
      <c r="C2527" t="s">
        <v>8</v>
      </c>
      <c r="D2527" t="s">
        <v>9</v>
      </c>
      <c r="E2527">
        <v>1446.13</v>
      </c>
      <c r="F2527">
        <v>1124.5</v>
      </c>
      <c r="G2527">
        <v>7</v>
      </c>
      <c r="H2527">
        <f t="shared" si="234"/>
        <v>10122.91</v>
      </c>
      <c r="I2527">
        <f t="shared" si="238"/>
        <v>7871.5</v>
      </c>
      <c r="J2527">
        <f t="shared" si="235"/>
        <v>2251.41</v>
      </c>
      <c r="K2527" s="8">
        <f t="shared" si="236"/>
        <v>0.22240739076016677</v>
      </c>
      <c r="L2527" t="str">
        <f t="shared" si="239"/>
        <v>2023-01</v>
      </c>
      <c r="M2527">
        <f t="shared" si="237"/>
        <v>2251.41</v>
      </c>
    </row>
    <row r="2528" spans="1:13" x14ac:dyDescent="0.25">
      <c r="A2528" s="1">
        <v>45454</v>
      </c>
      <c r="B2528" t="s">
        <v>24</v>
      </c>
      <c r="C2528" t="s">
        <v>20</v>
      </c>
      <c r="D2528" t="s">
        <v>9</v>
      </c>
      <c r="E2528">
        <v>1476.33</v>
      </c>
      <c r="F2528">
        <v>962.41</v>
      </c>
      <c r="G2528">
        <v>7</v>
      </c>
      <c r="H2528">
        <f t="shared" si="234"/>
        <v>10334.31</v>
      </c>
      <c r="I2528">
        <f t="shared" si="238"/>
        <v>6736.87</v>
      </c>
      <c r="J2528">
        <f t="shared" si="235"/>
        <v>3597.4399999999996</v>
      </c>
      <c r="K2528" s="8">
        <f t="shared" si="236"/>
        <v>0.34810645316426542</v>
      </c>
      <c r="L2528" t="str">
        <f t="shared" si="239"/>
        <v>2024-06</v>
      </c>
      <c r="M2528">
        <f t="shared" si="237"/>
        <v>3597.4399999999996</v>
      </c>
    </row>
    <row r="2529" spans="1:13" x14ac:dyDescent="0.25">
      <c r="A2529" s="1">
        <v>45003</v>
      </c>
      <c r="B2529" t="s">
        <v>21</v>
      </c>
      <c r="C2529" t="s">
        <v>20</v>
      </c>
      <c r="D2529" t="s">
        <v>13</v>
      </c>
      <c r="E2529">
        <v>768.26</v>
      </c>
      <c r="F2529">
        <v>457.09</v>
      </c>
      <c r="G2529">
        <v>5</v>
      </c>
      <c r="H2529">
        <f t="shared" si="234"/>
        <v>3841.3</v>
      </c>
      <c r="I2529">
        <f t="shared" si="238"/>
        <v>2285.4499999999998</v>
      </c>
      <c r="J2529">
        <f t="shared" si="235"/>
        <v>1555.8500000000004</v>
      </c>
      <c r="K2529" s="8">
        <f t="shared" si="236"/>
        <v>0.40503215057402447</v>
      </c>
      <c r="L2529" t="str">
        <f t="shared" si="239"/>
        <v>2023-03</v>
      </c>
      <c r="M2529">
        <f t="shared" si="237"/>
        <v>1555.8500000000004</v>
      </c>
    </row>
    <row r="2530" spans="1:13" x14ac:dyDescent="0.25">
      <c r="A2530" s="1">
        <v>45332</v>
      </c>
      <c r="B2530" t="s">
        <v>7</v>
      </c>
      <c r="C2530" t="s">
        <v>8</v>
      </c>
      <c r="D2530" t="s">
        <v>17</v>
      </c>
      <c r="E2530">
        <v>185.9</v>
      </c>
      <c r="F2530">
        <v>127.61</v>
      </c>
      <c r="G2530">
        <v>4</v>
      </c>
      <c r="H2530">
        <f t="shared" si="234"/>
        <v>743.6</v>
      </c>
      <c r="I2530">
        <f t="shared" si="238"/>
        <v>510.44</v>
      </c>
      <c r="J2530">
        <f t="shared" si="235"/>
        <v>233.16000000000003</v>
      </c>
      <c r="K2530" s="8">
        <f t="shared" si="236"/>
        <v>0.31355567509413668</v>
      </c>
      <c r="L2530" t="str">
        <f t="shared" si="239"/>
        <v>2024-02</v>
      </c>
      <c r="M2530">
        <f t="shared" si="237"/>
        <v>233.16000000000003</v>
      </c>
    </row>
    <row r="2531" spans="1:13" x14ac:dyDescent="0.25">
      <c r="A2531" s="1">
        <v>44823</v>
      </c>
      <c r="B2531" t="s">
        <v>21</v>
      </c>
      <c r="C2531" t="s">
        <v>20</v>
      </c>
      <c r="D2531" t="s">
        <v>9</v>
      </c>
      <c r="E2531">
        <v>363.38</v>
      </c>
      <c r="F2531">
        <v>225.73</v>
      </c>
      <c r="G2531">
        <v>4</v>
      </c>
      <c r="H2531">
        <f t="shared" si="234"/>
        <v>1453.52</v>
      </c>
      <c r="I2531">
        <f t="shared" si="238"/>
        <v>902.92</v>
      </c>
      <c r="J2531">
        <f t="shared" si="235"/>
        <v>550.6</v>
      </c>
      <c r="K2531" s="8">
        <f t="shared" si="236"/>
        <v>0.37880455721283507</v>
      </c>
      <c r="L2531" t="str">
        <f t="shared" si="239"/>
        <v>2022-09</v>
      </c>
      <c r="M2531">
        <f t="shared" si="237"/>
        <v>550.6</v>
      </c>
    </row>
    <row r="2532" spans="1:13" x14ac:dyDescent="0.25">
      <c r="A2532" s="1">
        <v>44568</v>
      </c>
      <c r="B2532" t="s">
        <v>10</v>
      </c>
      <c r="C2532" t="s">
        <v>11</v>
      </c>
      <c r="D2532" t="s">
        <v>13</v>
      </c>
      <c r="E2532">
        <v>1548.48</v>
      </c>
      <c r="F2532">
        <v>921.48</v>
      </c>
      <c r="G2532">
        <v>3</v>
      </c>
      <c r="H2532">
        <f t="shared" si="234"/>
        <v>4645.4400000000005</v>
      </c>
      <c r="I2532">
        <f t="shared" si="238"/>
        <v>2764.44</v>
      </c>
      <c r="J2532">
        <f t="shared" si="235"/>
        <v>1881.0000000000005</v>
      </c>
      <c r="K2532" s="8">
        <f t="shared" si="236"/>
        <v>0.40491320520768759</v>
      </c>
      <c r="L2532" t="str">
        <f t="shared" si="239"/>
        <v>2022-01</v>
      </c>
      <c r="M2532">
        <f t="shared" si="237"/>
        <v>1881.0000000000005</v>
      </c>
    </row>
    <row r="2533" spans="1:13" x14ac:dyDescent="0.25">
      <c r="A2533" s="1">
        <v>45419</v>
      </c>
      <c r="B2533" t="s">
        <v>16</v>
      </c>
      <c r="C2533" t="s">
        <v>15</v>
      </c>
      <c r="D2533" t="s">
        <v>17</v>
      </c>
      <c r="E2533">
        <v>505.61</v>
      </c>
      <c r="F2533">
        <v>331.12</v>
      </c>
      <c r="G2533">
        <v>10</v>
      </c>
      <c r="H2533">
        <f t="shared" si="234"/>
        <v>5056.1000000000004</v>
      </c>
      <c r="I2533">
        <f t="shared" si="238"/>
        <v>3311.2</v>
      </c>
      <c r="J2533">
        <f t="shared" si="235"/>
        <v>1744.9000000000005</v>
      </c>
      <c r="K2533" s="8">
        <f t="shared" si="236"/>
        <v>0.34510788948003412</v>
      </c>
      <c r="L2533" t="str">
        <f t="shared" si="239"/>
        <v>2024-05</v>
      </c>
      <c r="M2533">
        <f t="shared" si="237"/>
        <v>1744.9000000000005</v>
      </c>
    </row>
    <row r="2534" spans="1:13" x14ac:dyDescent="0.25">
      <c r="A2534" s="1">
        <v>44938</v>
      </c>
      <c r="B2534" t="s">
        <v>7</v>
      </c>
      <c r="C2534" t="s">
        <v>8</v>
      </c>
      <c r="D2534" t="s">
        <v>18</v>
      </c>
      <c r="E2534">
        <v>1025.5899999999999</v>
      </c>
      <c r="F2534">
        <v>641.03</v>
      </c>
      <c r="G2534">
        <v>5</v>
      </c>
      <c r="H2534">
        <f t="shared" si="234"/>
        <v>5127.95</v>
      </c>
      <c r="I2534">
        <f t="shared" si="238"/>
        <v>3205.1499999999996</v>
      </c>
      <c r="J2534">
        <f t="shared" si="235"/>
        <v>1922.8000000000002</v>
      </c>
      <c r="K2534" s="8">
        <f t="shared" si="236"/>
        <v>0.37496465449156102</v>
      </c>
      <c r="L2534" t="str">
        <f t="shared" si="239"/>
        <v>2023-01</v>
      </c>
      <c r="M2534">
        <f t="shared" si="237"/>
        <v>1922.8000000000002</v>
      </c>
    </row>
    <row r="2535" spans="1:13" x14ac:dyDescent="0.25">
      <c r="A2535" s="1">
        <v>44606</v>
      </c>
      <c r="B2535" t="s">
        <v>23</v>
      </c>
      <c r="C2535" t="s">
        <v>11</v>
      </c>
      <c r="D2535" t="s">
        <v>13</v>
      </c>
      <c r="E2535">
        <v>386.52</v>
      </c>
      <c r="F2535">
        <v>294.12</v>
      </c>
      <c r="G2535">
        <v>10</v>
      </c>
      <c r="H2535">
        <f t="shared" si="234"/>
        <v>3865.2</v>
      </c>
      <c r="I2535">
        <f t="shared" si="238"/>
        <v>2941.2</v>
      </c>
      <c r="J2535">
        <f t="shared" si="235"/>
        <v>924</v>
      </c>
      <c r="K2535" s="8">
        <f t="shared" si="236"/>
        <v>0.23905619372865572</v>
      </c>
      <c r="L2535" t="str">
        <f t="shared" si="239"/>
        <v>2022-02</v>
      </c>
      <c r="M2535">
        <f t="shared" si="237"/>
        <v>924</v>
      </c>
    </row>
    <row r="2536" spans="1:13" x14ac:dyDescent="0.25">
      <c r="A2536" s="1">
        <v>44731</v>
      </c>
      <c r="B2536" t="s">
        <v>12</v>
      </c>
      <c r="C2536" t="s">
        <v>8</v>
      </c>
      <c r="D2536" t="s">
        <v>9</v>
      </c>
      <c r="E2536">
        <v>537.82000000000005</v>
      </c>
      <c r="F2536">
        <v>311.93</v>
      </c>
      <c r="G2536">
        <v>7</v>
      </c>
      <c r="H2536">
        <f t="shared" si="234"/>
        <v>3764.7400000000002</v>
      </c>
      <c r="I2536">
        <f t="shared" si="238"/>
        <v>2183.5100000000002</v>
      </c>
      <c r="J2536">
        <f t="shared" si="235"/>
        <v>1581.23</v>
      </c>
      <c r="K2536" s="8">
        <f t="shared" si="236"/>
        <v>0.42001041240563758</v>
      </c>
      <c r="L2536" t="str">
        <f t="shared" si="239"/>
        <v>2022-06</v>
      </c>
      <c r="M2536">
        <f t="shared" si="237"/>
        <v>1581.23</v>
      </c>
    </row>
    <row r="2537" spans="1:13" x14ac:dyDescent="0.25">
      <c r="A2537" s="1">
        <v>44671</v>
      </c>
      <c r="B2537" t="s">
        <v>19</v>
      </c>
      <c r="C2537" t="s">
        <v>20</v>
      </c>
      <c r="D2537" t="s">
        <v>13</v>
      </c>
      <c r="E2537">
        <v>1006.77</v>
      </c>
      <c r="F2537">
        <v>852.15</v>
      </c>
      <c r="G2537">
        <v>3</v>
      </c>
      <c r="H2537">
        <f t="shared" si="234"/>
        <v>3020.31</v>
      </c>
      <c r="I2537">
        <f t="shared" si="238"/>
        <v>2556.4499999999998</v>
      </c>
      <c r="J2537">
        <f t="shared" si="235"/>
        <v>463.86000000000013</v>
      </c>
      <c r="K2537" s="8">
        <f t="shared" si="236"/>
        <v>0.15358026162877325</v>
      </c>
      <c r="L2537" t="str">
        <f t="shared" si="239"/>
        <v>2022-04</v>
      </c>
      <c r="M2537">
        <f t="shared" si="237"/>
        <v>463.86000000000013</v>
      </c>
    </row>
    <row r="2538" spans="1:13" x14ac:dyDescent="0.25">
      <c r="A2538" s="1">
        <v>45374</v>
      </c>
      <c r="B2538" t="s">
        <v>14</v>
      </c>
      <c r="C2538" t="s">
        <v>15</v>
      </c>
      <c r="D2538" t="s">
        <v>18</v>
      </c>
      <c r="E2538">
        <v>1612.6</v>
      </c>
      <c r="F2538">
        <v>1357.74</v>
      </c>
      <c r="G2538">
        <v>4</v>
      </c>
      <c r="H2538">
        <f t="shared" si="234"/>
        <v>6450.4</v>
      </c>
      <c r="I2538">
        <f t="shared" si="238"/>
        <v>5430.96</v>
      </c>
      <c r="J2538">
        <f t="shared" si="235"/>
        <v>1019.4399999999996</v>
      </c>
      <c r="K2538" s="8">
        <f t="shared" si="236"/>
        <v>0.15804291206746862</v>
      </c>
      <c r="L2538" t="str">
        <f t="shared" si="239"/>
        <v>2024-03</v>
      </c>
      <c r="M2538">
        <f t="shared" si="237"/>
        <v>1019.4399999999996</v>
      </c>
    </row>
    <row r="2539" spans="1:13" x14ac:dyDescent="0.25">
      <c r="A2539" s="1">
        <v>45353</v>
      </c>
      <c r="B2539" t="s">
        <v>22</v>
      </c>
      <c r="C2539" t="s">
        <v>8</v>
      </c>
      <c r="D2539" t="s">
        <v>13</v>
      </c>
      <c r="E2539">
        <v>1450.45</v>
      </c>
      <c r="F2539">
        <v>1289.6099999999999</v>
      </c>
      <c r="G2539">
        <v>6</v>
      </c>
      <c r="H2539">
        <f t="shared" si="234"/>
        <v>8702.7000000000007</v>
      </c>
      <c r="I2539">
        <f t="shared" si="238"/>
        <v>7737.66</v>
      </c>
      <c r="J2539">
        <f t="shared" si="235"/>
        <v>965.04000000000087</v>
      </c>
      <c r="K2539" s="8">
        <f t="shared" si="236"/>
        <v>0.11088972387879632</v>
      </c>
      <c r="L2539" t="str">
        <f t="shared" si="239"/>
        <v>2024-03</v>
      </c>
      <c r="M2539">
        <f t="shared" si="237"/>
        <v>965.04000000000087</v>
      </c>
    </row>
    <row r="2540" spans="1:13" x14ac:dyDescent="0.25">
      <c r="A2540" s="1">
        <v>45216</v>
      </c>
      <c r="B2540" t="s">
        <v>10</v>
      </c>
      <c r="C2540" t="s">
        <v>11</v>
      </c>
      <c r="D2540" t="s">
        <v>13</v>
      </c>
      <c r="E2540">
        <v>860.22</v>
      </c>
      <c r="F2540">
        <v>467.76</v>
      </c>
      <c r="G2540">
        <v>3</v>
      </c>
      <c r="H2540">
        <f t="shared" si="234"/>
        <v>2580.66</v>
      </c>
      <c r="I2540">
        <f t="shared" si="238"/>
        <v>1403.28</v>
      </c>
      <c r="J2540">
        <f t="shared" si="235"/>
        <v>1177.3799999999999</v>
      </c>
      <c r="K2540" s="8">
        <f t="shared" si="236"/>
        <v>0.45623212666527163</v>
      </c>
      <c r="L2540" t="str">
        <f t="shared" si="239"/>
        <v>2023-10</v>
      </c>
      <c r="M2540">
        <f t="shared" si="237"/>
        <v>1177.3799999999999</v>
      </c>
    </row>
    <row r="2541" spans="1:13" x14ac:dyDescent="0.25">
      <c r="A2541" s="1">
        <v>44971</v>
      </c>
      <c r="B2541" t="s">
        <v>19</v>
      </c>
      <c r="C2541" t="s">
        <v>20</v>
      </c>
      <c r="D2541" t="s">
        <v>18</v>
      </c>
      <c r="E2541">
        <v>1123.27</v>
      </c>
      <c r="F2541">
        <v>788.13</v>
      </c>
      <c r="G2541">
        <v>10</v>
      </c>
      <c r="H2541">
        <f t="shared" si="234"/>
        <v>11232.7</v>
      </c>
      <c r="I2541">
        <f t="shared" si="238"/>
        <v>7881.3</v>
      </c>
      <c r="J2541">
        <f t="shared" si="235"/>
        <v>3351.4000000000005</v>
      </c>
      <c r="K2541" s="8">
        <f t="shared" si="236"/>
        <v>0.29836103519189511</v>
      </c>
      <c r="L2541" t="str">
        <f t="shared" si="239"/>
        <v>2023-02</v>
      </c>
      <c r="M2541">
        <f t="shared" si="237"/>
        <v>3351.4000000000005</v>
      </c>
    </row>
    <row r="2542" spans="1:13" x14ac:dyDescent="0.25">
      <c r="A2542" s="1">
        <v>45332</v>
      </c>
      <c r="B2542" t="s">
        <v>25</v>
      </c>
      <c r="C2542" t="s">
        <v>15</v>
      </c>
      <c r="D2542" t="s">
        <v>13</v>
      </c>
      <c r="E2542">
        <v>746.86</v>
      </c>
      <c r="F2542">
        <v>550.76</v>
      </c>
      <c r="G2542">
        <v>7</v>
      </c>
      <c r="H2542">
        <f t="shared" si="234"/>
        <v>5228.0200000000004</v>
      </c>
      <c r="I2542">
        <f t="shared" si="238"/>
        <v>3855.3199999999997</v>
      </c>
      <c r="J2542">
        <f t="shared" si="235"/>
        <v>1372.7000000000007</v>
      </c>
      <c r="K2542" s="8">
        <f t="shared" si="236"/>
        <v>0.26256594274696743</v>
      </c>
      <c r="L2542" t="str">
        <f t="shared" si="239"/>
        <v>2024-02</v>
      </c>
      <c r="M2542">
        <f t="shared" si="237"/>
        <v>1372.7000000000007</v>
      </c>
    </row>
    <row r="2543" spans="1:13" x14ac:dyDescent="0.25">
      <c r="A2543" s="1">
        <v>45207</v>
      </c>
      <c r="B2543" t="s">
        <v>21</v>
      </c>
      <c r="C2543" t="s">
        <v>20</v>
      </c>
      <c r="D2543" t="s">
        <v>9</v>
      </c>
      <c r="E2543">
        <v>735.4</v>
      </c>
      <c r="F2543">
        <v>441.05</v>
      </c>
      <c r="G2543">
        <v>2</v>
      </c>
      <c r="H2543">
        <f t="shared" si="234"/>
        <v>1470.8</v>
      </c>
      <c r="I2543">
        <f t="shared" si="238"/>
        <v>882.1</v>
      </c>
      <c r="J2543">
        <f t="shared" si="235"/>
        <v>588.69999999999993</v>
      </c>
      <c r="K2543" s="8">
        <f t="shared" si="236"/>
        <v>0.40025836279575738</v>
      </c>
      <c r="L2543" t="str">
        <f t="shared" si="239"/>
        <v>2023-10</v>
      </c>
      <c r="M2543">
        <f t="shared" si="237"/>
        <v>588.69999999999993</v>
      </c>
    </row>
    <row r="2544" spans="1:13" x14ac:dyDescent="0.25">
      <c r="A2544" s="1">
        <v>45558</v>
      </c>
      <c r="B2544" t="s">
        <v>22</v>
      </c>
      <c r="C2544" t="s">
        <v>8</v>
      </c>
      <c r="D2544" t="s">
        <v>13</v>
      </c>
      <c r="E2544">
        <v>1819.64</v>
      </c>
      <c r="F2544">
        <v>1442.38</v>
      </c>
      <c r="G2544">
        <v>7</v>
      </c>
      <c r="H2544">
        <f t="shared" si="234"/>
        <v>12737.480000000001</v>
      </c>
      <c r="I2544">
        <f t="shared" si="238"/>
        <v>10096.66</v>
      </c>
      <c r="J2544">
        <f t="shared" si="235"/>
        <v>2640.8200000000015</v>
      </c>
      <c r="K2544" s="8">
        <f t="shared" si="236"/>
        <v>0.20732672396737825</v>
      </c>
      <c r="L2544" t="str">
        <f t="shared" si="239"/>
        <v>2024-09</v>
      </c>
      <c r="M2544">
        <f t="shared" si="237"/>
        <v>2640.8200000000015</v>
      </c>
    </row>
    <row r="2545" spans="1:13" x14ac:dyDescent="0.25">
      <c r="A2545" s="1">
        <v>45594</v>
      </c>
      <c r="B2545" t="s">
        <v>16</v>
      </c>
      <c r="C2545" t="s">
        <v>15</v>
      </c>
      <c r="D2545" t="s">
        <v>18</v>
      </c>
      <c r="E2545">
        <v>316.05</v>
      </c>
      <c r="F2545">
        <v>222.69</v>
      </c>
      <c r="G2545">
        <v>4</v>
      </c>
      <c r="H2545">
        <f t="shared" si="234"/>
        <v>1264.2</v>
      </c>
      <c r="I2545">
        <f t="shared" si="238"/>
        <v>890.76</v>
      </c>
      <c r="J2545">
        <f t="shared" si="235"/>
        <v>373.44000000000005</v>
      </c>
      <c r="K2545" s="8">
        <f t="shared" si="236"/>
        <v>0.29539629805410539</v>
      </c>
      <c r="L2545" t="str">
        <f t="shared" si="239"/>
        <v>2024-10</v>
      </c>
      <c r="M2545">
        <f t="shared" si="237"/>
        <v>373.44000000000005</v>
      </c>
    </row>
    <row r="2546" spans="1:13" x14ac:dyDescent="0.25">
      <c r="A2546" s="1">
        <v>45396</v>
      </c>
      <c r="B2546" t="s">
        <v>23</v>
      </c>
      <c r="C2546" t="s">
        <v>11</v>
      </c>
      <c r="D2546" t="s">
        <v>9</v>
      </c>
      <c r="E2546">
        <v>1858.77</v>
      </c>
      <c r="F2546">
        <v>1047.8599999999999</v>
      </c>
      <c r="G2546">
        <v>2</v>
      </c>
      <c r="H2546">
        <f t="shared" si="234"/>
        <v>3717.54</v>
      </c>
      <c r="I2546">
        <f t="shared" si="238"/>
        <v>2095.7199999999998</v>
      </c>
      <c r="J2546">
        <f t="shared" si="235"/>
        <v>1621.8200000000002</v>
      </c>
      <c r="K2546" s="8">
        <f t="shared" si="236"/>
        <v>0.43626161386293089</v>
      </c>
      <c r="L2546" t="str">
        <f t="shared" si="239"/>
        <v>2024-04</v>
      </c>
      <c r="M2546">
        <f t="shared" si="237"/>
        <v>1621.8200000000002</v>
      </c>
    </row>
    <row r="2547" spans="1:13" x14ac:dyDescent="0.25">
      <c r="A2547" s="1">
        <v>45642</v>
      </c>
      <c r="B2547" t="s">
        <v>25</v>
      </c>
      <c r="C2547" t="s">
        <v>15</v>
      </c>
      <c r="D2547" t="s">
        <v>9</v>
      </c>
      <c r="E2547">
        <v>526.17999999999995</v>
      </c>
      <c r="F2547">
        <v>385.35</v>
      </c>
      <c r="G2547">
        <v>2</v>
      </c>
      <c r="H2547">
        <f t="shared" si="234"/>
        <v>1052.3599999999999</v>
      </c>
      <c r="I2547">
        <f t="shared" si="238"/>
        <v>770.7</v>
      </c>
      <c r="J2547">
        <f t="shared" si="235"/>
        <v>281.65999999999985</v>
      </c>
      <c r="K2547" s="8">
        <f t="shared" si="236"/>
        <v>0.26764605268159175</v>
      </c>
      <c r="L2547" t="str">
        <f t="shared" si="239"/>
        <v>2024-12</v>
      </c>
      <c r="M2547">
        <f t="shared" si="237"/>
        <v>281.65999999999985</v>
      </c>
    </row>
    <row r="2548" spans="1:13" x14ac:dyDescent="0.25">
      <c r="A2548" s="1">
        <v>45245</v>
      </c>
      <c r="B2548" t="s">
        <v>10</v>
      </c>
      <c r="C2548" t="s">
        <v>11</v>
      </c>
      <c r="D2548" t="s">
        <v>13</v>
      </c>
      <c r="E2548">
        <v>1449.91</v>
      </c>
      <c r="F2548">
        <v>1304.31</v>
      </c>
      <c r="G2548">
        <v>6</v>
      </c>
      <c r="H2548">
        <f t="shared" si="234"/>
        <v>8699.4600000000009</v>
      </c>
      <c r="I2548">
        <f t="shared" si="238"/>
        <v>7825.86</v>
      </c>
      <c r="J2548">
        <f t="shared" si="235"/>
        <v>873.60000000000127</v>
      </c>
      <c r="K2548" s="8">
        <f t="shared" si="236"/>
        <v>0.10042002607058383</v>
      </c>
      <c r="L2548" t="str">
        <f t="shared" si="239"/>
        <v>2023-11</v>
      </c>
      <c r="M2548">
        <f t="shared" si="237"/>
        <v>873.60000000000127</v>
      </c>
    </row>
    <row r="2549" spans="1:13" x14ac:dyDescent="0.25">
      <c r="A2549" s="1">
        <v>45626</v>
      </c>
      <c r="B2549" t="s">
        <v>14</v>
      </c>
      <c r="C2549" t="s">
        <v>15</v>
      </c>
      <c r="D2549" t="s">
        <v>18</v>
      </c>
      <c r="E2549">
        <v>1957.27</v>
      </c>
      <c r="F2549">
        <v>1571.26</v>
      </c>
      <c r="G2549">
        <v>7</v>
      </c>
      <c r="H2549">
        <f t="shared" si="234"/>
        <v>13700.89</v>
      </c>
      <c r="I2549">
        <f t="shared" si="238"/>
        <v>10998.82</v>
      </c>
      <c r="J2549">
        <f t="shared" si="235"/>
        <v>2702.0699999999997</v>
      </c>
      <c r="K2549" s="8">
        <f t="shared" si="236"/>
        <v>0.19721857485170671</v>
      </c>
      <c r="L2549" t="str">
        <f t="shared" si="239"/>
        <v>2024-11</v>
      </c>
      <c r="M2549">
        <f t="shared" si="237"/>
        <v>2702.0699999999997</v>
      </c>
    </row>
    <row r="2550" spans="1:13" x14ac:dyDescent="0.25">
      <c r="A2550" s="1">
        <v>45400</v>
      </c>
      <c r="B2550" t="s">
        <v>21</v>
      </c>
      <c r="C2550" t="s">
        <v>20</v>
      </c>
      <c r="D2550" t="s">
        <v>18</v>
      </c>
      <c r="E2550">
        <v>1323.91</v>
      </c>
      <c r="F2550">
        <v>773.19</v>
      </c>
      <c r="G2550">
        <v>3</v>
      </c>
      <c r="H2550">
        <f t="shared" si="234"/>
        <v>3971.7300000000005</v>
      </c>
      <c r="I2550">
        <f t="shared" si="238"/>
        <v>2319.5700000000002</v>
      </c>
      <c r="J2550">
        <f t="shared" si="235"/>
        <v>1652.1600000000003</v>
      </c>
      <c r="K2550" s="8">
        <f t="shared" si="236"/>
        <v>0.41597993821332269</v>
      </c>
      <c r="L2550" t="str">
        <f t="shared" si="239"/>
        <v>2024-04</v>
      </c>
      <c r="M2550">
        <f t="shared" si="237"/>
        <v>1652.1600000000003</v>
      </c>
    </row>
    <row r="2551" spans="1:13" x14ac:dyDescent="0.25">
      <c r="A2551" s="1">
        <v>45131</v>
      </c>
      <c r="B2551" t="s">
        <v>19</v>
      </c>
      <c r="C2551" t="s">
        <v>20</v>
      </c>
      <c r="D2551" t="s">
        <v>9</v>
      </c>
      <c r="E2551">
        <v>659</v>
      </c>
      <c r="F2551">
        <v>556.94000000000005</v>
      </c>
      <c r="G2551">
        <v>3</v>
      </c>
      <c r="H2551">
        <f t="shared" si="234"/>
        <v>1977</v>
      </c>
      <c r="I2551">
        <f t="shared" si="238"/>
        <v>1670.8200000000002</v>
      </c>
      <c r="J2551">
        <f t="shared" si="235"/>
        <v>306.17999999999984</v>
      </c>
      <c r="K2551" s="8">
        <f t="shared" si="236"/>
        <v>0.15487101669195744</v>
      </c>
      <c r="L2551" t="str">
        <f t="shared" si="239"/>
        <v>2023-07</v>
      </c>
      <c r="M2551">
        <f t="shared" si="237"/>
        <v>306.17999999999984</v>
      </c>
    </row>
    <row r="2552" spans="1:13" x14ac:dyDescent="0.25">
      <c r="A2552" s="1">
        <v>45032</v>
      </c>
      <c r="B2552" t="s">
        <v>12</v>
      </c>
      <c r="C2552" t="s">
        <v>8</v>
      </c>
      <c r="D2552" t="s">
        <v>18</v>
      </c>
      <c r="E2552">
        <v>1856</v>
      </c>
      <c r="F2552">
        <v>1387.99</v>
      </c>
      <c r="G2552">
        <v>6</v>
      </c>
      <c r="H2552">
        <f t="shared" si="234"/>
        <v>11136</v>
      </c>
      <c r="I2552">
        <f t="shared" si="238"/>
        <v>8327.94</v>
      </c>
      <c r="J2552">
        <f t="shared" si="235"/>
        <v>2808.0599999999995</v>
      </c>
      <c r="K2552" s="8">
        <f t="shared" si="236"/>
        <v>0.25216056034482753</v>
      </c>
      <c r="L2552" t="str">
        <f t="shared" si="239"/>
        <v>2023-04</v>
      </c>
      <c r="M2552">
        <f t="shared" si="237"/>
        <v>2808.0599999999995</v>
      </c>
    </row>
    <row r="2553" spans="1:13" x14ac:dyDescent="0.25">
      <c r="A2553" s="1">
        <v>45567</v>
      </c>
      <c r="B2553" t="s">
        <v>25</v>
      </c>
      <c r="C2553" t="s">
        <v>15</v>
      </c>
      <c r="D2553" t="s">
        <v>18</v>
      </c>
      <c r="E2553">
        <v>1768.23</v>
      </c>
      <c r="F2553">
        <v>1228.04</v>
      </c>
      <c r="G2553">
        <v>3</v>
      </c>
      <c r="H2553">
        <f t="shared" si="234"/>
        <v>5304.6900000000005</v>
      </c>
      <c r="I2553">
        <f t="shared" si="238"/>
        <v>3684.12</v>
      </c>
      <c r="J2553">
        <f t="shared" si="235"/>
        <v>1620.5700000000006</v>
      </c>
      <c r="K2553" s="8">
        <f t="shared" si="236"/>
        <v>0.30549758798346377</v>
      </c>
      <c r="L2553" t="str">
        <f t="shared" si="239"/>
        <v>2024-10</v>
      </c>
      <c r="M2553">
        <f t="shared" si="237"/>
        <v>1620.5700000000006</v>
      </c>
    </row>
    <row r="2554" spans="1:13" x14ac:dyDescent="0.25">
      <c r="A2554" s="1">
        <v>44738</v>
      </c>
      <c r="B2554" t="s">
        <v>7</v>
      </c>
      <c r="C2554" t="s">
        <v>8</v>
      </c>
      <c r="D2554" t="s">
        <v>17</v>
      </c>
      <c r="E2554">
        <v>983.55</v>
      </c>
      <c r="F2554">
        <v>856.17</v>
      </c>
      <c r="G2554">
        <v>5</v>
      </c>
      <c r="H2554">
        <f t="shared" si="234"/>
        <v>4917.75</v>
      </c>
      <c r="I2554">
        <f t="shared" si="238"/>
        <v>4280.8499999999995</v>
      </c>
      <c r="J2554">
        <f t="shared" si="235"/>
        <v>636.90000000000055</v>
      </c>
      <c r="K2554" s="8">
        <f t="shared" si="236"/>
        <v>0.12951044685069402</v>
      </c>
      <c r="L2554" t="str">
        <f t="shared" si="239"/>
        <v>2022-06</v>
      </c>
      <c r="M2554">
        <f t="shared" si="237"/>
        <v>636.90000000000055</v>
      </c>
    </row>
    <row r="2555" spans="1:13" x14ac:dyDescent="0.25">
      <c r="A2555" s="1">
        <v>45084</v>
      </c>
      <c r="B2555" t="s">
        <v>24</v>
      </c>
      <c r="C2555" t="s">
        <v>20</v>
      </c>
      <c r="D2555" t="s">
        <v>18</v>
      </c>
      <c r="E2555">
        <v>1622.07</v>
      </c>
      <c r="F2555">
        <v>1109.79</v>
      </c>
      <c r="G2555">
        <v>5</v>
      </c>
      <c r="H2555">
        <f t="shared" si="234"/>
        <v>8110.3499999999995</v>
      </c>
      <c r="I2555">
        <f t="shared" si="238"/>
        <v>5548.95</v>
      </c>
      <c r="J2555">
        <f t="shared" si="235"/>
        <v>2561.3999999999996</v>
      </c>
      <c r="K2555" s="8">
        <f t="shared" si="236"/>
        <v>0.31581867613604836</v>
      </c>
      <c r="L2555" t="str">
        <f t="shared" si="239"/>
        <v>2023-06</v>
      </c>
      <c r="M2555">
        <f t="shared" si="237"/>
        <v>2561.3999999999996</v>
      </c>
    </row>
    <row r="2556" spans="1:13" x14ac:dyDescent="0.25">
      <c r="A2556" s="1">
        <v>44995</v>
      </c>
      <c r="B2556" t="s">
        <v>7</v>
      </c>
      <c r="C2556" t="s">
        <v>8</v>
      </c>
      <c r="D2556" t="s">
        <v>18</v>
      </c>
      <c r="E2556">
        <v>78.66</v>
      </c>
      <c r="F2556">
        <v>68.48</v>
      </c>
      <c r="G2556">
        <v>4</v>
      </c>
      <c r="H2556">
        <f t="shared" si="234"/>
        <v>314.64</v>
      </c>
      <c r="I2556">
        <f t="shared" si="238"/>
        <v>273.92</v>
      </c>
      <c r="J2556">
        <f t="shared" si="235"/>
        <v>40.71999999999997</v>
      </c>
      <c r="K2556" s="8">
        <f t="shared" si="236"/>
        <v>0.12941774726671743</v>
      </c>
      <c r="L2556" t="str">
        <f t="shared" si="239"/>
        <v>2023-03</v>
      </c>
      <c r="M2556">
        <f t="shared" si="237"/>
        <v>40.71999999999997</v>
      </c>
    </row>
    <row r="2557" spans="1:13" x14ac:dyDescent="0.25">
      <c r="A2557" s="1">
        <v>45346</v>
      </c>
      <c r="B2557" t="s">
        <v>14</v>
      </c>
      <c r="C2557" t="s">
        <v>15</v>
      </c>
      <c r="D2557" t="s">
        <v>9</v>
      </c>
      <c r="E2557">
        <v>265.38</v>
      </c>
      <c r="F2557">
        <v>199.59</v>
      </c>
      <c r="G2557">
        <v>6</v>
      </c>
      <c r="H2557">
        <f t="shared" si="234"/>
        <v>1592.28</v>
      </c>
      <c r="I2557">
        <f t="shared" si="238"/>
        <v>1197.54</v>
      </c>
      <c r="J2557">
        <f t="shared" si="235"/>
        <v>394.74</v>
      </c>
      <c r="K2557" s="8">
        <f t="shared" si="236"/>
        <v>0.24790865928103098</v>
      </c>
      <c r="L2557" t="str">
        <f t="shared" si="239"/>
        <v>2024-02</v>
      </c>
      <c r="M2557">
        <f t="shared" si="237"/>
        <v>394.74</v>
      </c>
    </row>
    <row r="2558" spans="1:13" x14ac:dyDescent="0.25">
      <c r="A2558" s="1">
        <v>45462</v>
      </c>
      <c r="B2558" t="s">
        <v>19</v>
      </c>
      <c r="C2558" t="s">
        <v>20</v>
      </c>
      <c r="D2558" t="s">
        <v>17</v>
      </c>
      <c r="E2558">
        <v>1769.46</v>
      </c>
      <c r="F2558">
        <v>1366.53</v>
      </c>
      <c r="G2558">
        <v>2</v>
      </c>
      <c r="H2558">
        <f t="shared" si="234"/>
        <v>3538.92</v>
      </c>
      <c r="I2558">
        <f t="shared" si="238"/>
        <v>2733.06</v>
      </c>
      <c r="J2558">
        <f t="shared" si="235"/>
        <v>805.86000000000013</v>
      </c>
      <c r="K2558" s="8">
        <f t="shared" si="236"/>
        <v>0.22771353972398362</v>
      </c>
      <c r="L2558" t="str">
        <f t="shared" si="239"/>
        <v>2024-06</v>
      </c>
      <c r="M2558">
        <f t="shared" si="237"/>
        <v>805.86000000000013</v>
      </c>
    </row>
    <row r="2559" spans="1:13" x14ac:dyDescent="0.25">
      <c r="A2559" s="1">
        <v>45239</v>
      </c>
      <c r="B2559" t="s">
        <v>21</v>
      </c>
      <c r="C2559" t="s">
        <v>20</v>
      </c>
      <c r="D2559" t="s">
        <v>18</v>
      </c>
      <c r="E2559">
        <v>405.31</v>
      </c>
      <c r="F2559">
        <v>221.1</v>
      </c>
      <c r="G2559">
        <v>9</v>
      </c>
      <c r="H2559">
        <f t="shared" si="234"/>
        <v>3647.79</v>
      </c>
      <c r="I2559">
        <f t="shared" si="238"/>
        <v>1989.8999999999999</v>
      </c>
      <c r="J2559">
        <f t="shared" si="235"/>
        <v>1657.89</v>
      </c>
      <c r="K2559" s="8">
        <f t="shared" si="236"/>
        <v>0.45449162369544305</v>
      </c>
      <c r="L2559" t="str">
        <f t="shared" si="239"/>
        <v>2023-11</v>
      </c>
      <c r="M2559">
        <f t="shared" si="237"/>
        <v>1657.89</v>
      </c>
    </row>
    <row r="2560" spans="1:13" x14ac:dyDescent="0.25">
      <c r="A2560" s="1">
        <v>45324</v>
      </c>
      <c r="B2560" t="s">
        <v>14</v>
      </c>
      <c r="C2560" t="s">
        <v>15</v>
      </c>
      <c r="D2560" t="s">
        <v>9</v>
      </c>
      <c r="E2560">
        <v>1577.87</v>
      </c>
      <c r="F2560">
        <v>949.77</v>
      </c>
      <c r="G2560">
        <v>2</v>
      </c>
      <c r="H2560">
        <f t="shared" si="234"/>
        <v>3155.74</v>
      </c>
      <c r="I2560">
        <f t="shared" si="238"/>
        <v>1899.54</v>
      </c>
      <c r="J2560">
        <f t="shared" si="235"/>
        <v>1256.1999999999998</v>
      </c>
      <c r="K2560" s="8">
        <f t="shared" si="236"/>
        <v>0.39806828192436639</v>
      </c>
      <c r="L2560" t="str">
        <f t="shared" si="239"/>
        <v>2024-02</v>
      </c>
      <c r="M2560">
        <f t="shared" si="237"/>
        <v>1256.1999999999998</v>
      </c>
    </row>
    <row r="2561" spans="1:13" x14ac:dyDescent="0.25">
      <c r="A2561" s="1">
        <v>44974</v>
      </c>
      <c r="B2561" t="s">
        <v>7</v>
      </c>
      <c r="C2561" t="s">
        <v>8</v>
      </c>
      <c r="D2561" t="s">
        <v>17</v>
      </c>
      <c r="E2561">
        <v>1282.0899999999999</v>
      </c>
      <c r="F2561">
        <v>707.89</v>
      </c>
      <c r="G2561">
        <v>1</v>
      </c>
      <c r="H2561">
        <f t="shared" si="234"/>
        <v>1282.0899999999999</v>
      </c>
      <c r="I2561">
        <f t="shared" si="238"/>
        <v>707.89</v>
      </c>
      <c r="J2561">
        <f t="shared" si="235"/>
        <v>574.19999999999993</v>
      </c>
      <c r="K2561" s="8">
        <f t="shared" si="236"/>
        <v>0.44786247455326844</v>
      </c>
      <c r="L2561" t="str">
        <f t="shared" si="239"/>
        <v>2023-02</v>
      </c>
      <c r="M2561">
        <f t="shared" si="237"/>
        <v>574.19999999999993</v>
      </c>
    </row>
    <row r="2562" spans="1:13" x14ac:dyDescent="0.25">
      <c r="A2562" s="1">
        <v>45408</v>
      </c>
      <c r="B2562" t="s">
        <v>22</v>
      </c>
      <c r="C2562" t="s">
        <v>8</v>
      </c>
      <c r="D2562" t="s">
        <v>13</v>
      </c>
      <c r="E2562">
        <v>582.41</v>
      </c>
      <c r="F2562">
        <v>513.29</v>
      </c>
      <c r="G2562">
        <v>4</v>
      </c>
      <c r="H2562">
        <f t="shared" si="234"/>
        <v>2329.64</v>
      </c>
      <c r="I2562">
        <f t="shared" si="238"/>
        <v>2053.16</v>
      </c>
      <c r="J2562">
        <f t="shared" si="235"/>
        <v>276.48</v>
      </c>
      <c r="K2562" s="8">
        <f t="shared" si="236"/>
        <v>0.11867928091894028</v>
      </c>
      <c r="L2562" t="str">
        <f t="shared" si="239"/>
        <v>2024-04</v>
      </c>
      <c r="M2562">
        <f t="shared" si="237"/>
        <v>276.48</v>
      </c>
    </row>
    <row r="2563" spans="1:13" x14ac:dyDescent="0.25">
      <c r="A2563" s="1">
        <v>44859</v>
      </c>
      <c r="B2563" t="s">
        <v>22</v>
      </c>
      <c r="C2563" t="s">
        <v>8</v>
      </c>
      <c r="D2563" t="s">
        <v>9</v>
      </c>
      <c r="E2563">
        <v>402.54</v>
      </c>
      <c r="F2563">
        <v>338.39</v>
      </c>
      <c r="G2563">
        <v>6</v>
      </c>
      <c r="H2563">
        <f t="shared" ref="H2563:H2626" si="240">E2563*G2563</f>
        <v>2415.2400000000002</v>
      </c>
      <c r="I2563">
        <f t="shared" si="238"/>
        <v>2030.34</v>
      </c>
      <c r="J2563">
        <f t="shared" ref="J2563:J2626" si="241">H2563-I2563</f>
        <v>384.90000000000032</v>
      </c>
      <c r="K2563" s="8">
        <f t="shared" ref="K2563:K2626" si="242">(H2563-I2563)/H2563</f>
        <v>0.15936304466636866</v>
      </c>
      <c r="L2563" t="str">
        <f t="shared" si="239"/>
        <v>2022-10</v>
      </c>
      <c r="M2563">
        <f t="shared" ref="M2563:M2626" si="243">H2563-I2563</f>
        <v>384.90000000000032</v>
      </c>
    </row>
    <row r="2564" spans="1:13" x14ac:dyDescent="0.25">
      <c r="A2564" s="1">
        <v>44697</v>
      </c>
      <c r="B2564" t="s">
        <v>19</v>
      </c>
      <c r="C2564" t="s">
        <v>20</v>
      </c>
      <c r="D2564" t="s">
        <v>18</v>
      </c>
      <c r="E2564">
        <v>1646.38</v>
      </c>
      <c r="F2564">
        <v>1089.6600000000001</v>
      </c>
      <c r="G2564">
        <v>6</v>
      </c>
      <c r="H2564">
        <f t="shared" si="240"/>
        <v>9878.2800000000007</v>
      </c>
      <c r="I2564">
        <f t="shared" ref="I2564:I2627" si="244">F2564*G2564</f>
        <v>6537.9600000000009</v>
      </c>
      <c r="J2564">
        <f t="shared" si="241"/>
        <v>3340.3199999999997</v>
      </c>
      <c r="K2564" s="8">
        <f t="shared" si="242"/>
        <v>0.33814793668533383</v>
      </c>
      <c r="L2564" t="str">
        <f t="shared" ref="L2564:L2627" si="245">TEXT(A2564,"rrrr-mm")</f>
        <v>2022-05</v>
      </c>
      <c r="M2564">
        <f t="shared" si="243"/>
        <v>3340.3199999999997</v>
      </c>
    </row>
    <row r="2565" spans="1:13" x14ac:dyDescent="0.25">
      <c r="A2565" s="1">
        <v>45080</v>
      </c>
      <c r="B2565" t="s">
        <v>21</v>
      </c>
      <c r="C2565" t="s">
        <v>20</v>
      </c>
      <c r="D2565" t="s">
        <v>17</v>
      </c>
      <c r="E2565">
        <v>1906.41</v>
      </c>
      <c r="F2565">
        <v>1300.94</v>
      </c>
      <c r="G2565">
        <v>4</v>
      </c>
      <c r="H2565">
        <f t="shared" si="240"/>
        <v>7625.64</v>
      </c>
      <c r="I2565">
        <f t="shared" si="244"/>
        <v>5203.76</v>
      </c>
      <c r="J2565">
        <f t="shared" si="241"/>
        <v>2421.88</v>
      </c>
      <c r="K2565" s="8">
        <f t="shared" si="242"/>
        <v>0.31759694923967036</v>
      </c>
      <c r="L2565" t="str">
        <f t="shared" si="245"/>
        <v>2023-06</v>
      </c>
      <c r="M2565">
        <f t="shared" si="243"/>
        <v>2421.88</v>
      </c>
    </row>
    <row r="2566" spans="1:13" x14ac:dyDescent="0.25">
      <c r="A2566" s="1">
        <v>45217</v>
      </c>
      <c r="B2566" t="s">
        <v>24</v>
      </c>
      <c r="C2566" t="s">
        <v>20</v>
      </c>
      <c r="D2566" t="s">
        <v>18</v>
      </c>
      <c r="E2566">
        <v>132.66999999999999</v>
      </c>
      <c r="F2566">
        <v>90.21</v>
      </c>
      <c r="G2566">
        <v>8</v>
      </c>
      <c r="H2566">
        <f t="shared" si="240"/>
        <v>1061.3599999999999</v>
      </c>
      <c r="I2566">
        <f t="shared" si="244"/>
        <v>721.68</v>
      </c>
      <c r="J2566">
        <f t="shared" si="241"/>
        <v>339.67999999999995</v>
      </c>
      <c r="K2566" s="8">
        <f t="shared" si="242"/>
        <v>0.32004220999472371</v>
      </c>
      <c r="L2566" t="str">
        <f t="shared" si="245"/>
        <v>2023-10</v>
      </c>
      <c r="M2566">
        <f t="shared" si="243"/>
        <v>339.67999999999995</v>
      </c>
    </row>
    <row r="2567" spans="1:13" x14ac:dyDescent="0.25">
      <c r="A2567" s="1">
        <v>44674</v>
      </c>
      <c r="B2567" t="s">
        <v>7</v>
      </c>
      <c r="C2567" t="s">
        <v>8</v>
      </c>
      <c r="D2567" t="s">
        <v>18</v>
      </c>
      <c r="E2567">
        <v>35.15</v>
      </c>
      <c r="F2567">
        <v>28.92</v>
      </c>
      <c r="G2567">
        <v>3</v>
      </c>
      <c r="H2567">
        <f t="shared" si="240"/>
        <v>105.44999999999999</v>
      </c>
      <c r="I2567">
        <f t="shared" si="244"/>
        <v>86.76</v>
      </c>
      <c r="J2567">
        <f t="shared" si="241"/>
        <v>18.689999999999984</v>
      </c>
      <c r="K2567" s="8">
        <f t="shared" si="242"/>
        <v>0.17724039829302973</v>
      </c>
      <c r="L2567" t="str">
        <f t="shared" si="245"/>
        <v>2022-04</v>
      </c>
      <c r="M2567">
        <f t="shared" si="243"/>
        <v>18.689999999999984</v>
      </c>
    </row>
    <row r="2568" spans="1:13" x14ac:dyDescent="0.25">
      <c r="A2568" s="1">
        <v>44890</v>
      </c>
      <c r="B2568" t="s">
        <v>10</v>
      </c>
      <c r="C2568" t="s">
        <v>11</v>
      </c>
      <c r="D2568" t="s">
        <v>18</v>
      </c>
      <c r="E2568">
        <v>798.66</v>
      </c>
      <c r="F2568">
        <v>541</v>
      </c>
      <c r="G2568">
        <v>2</v>
      </c>
      <c r="H2568">
        <f t="shared" si="240"/>
        <v>1597.32</v>
      </c>
      <c r="I2568">
        <f t="shared" si="244"/>
        <v>1082</v>
      </c>
      <c r="J2568">
        <f t="shared" si="241"/>
        <v>515.31999999999994</v>
      </c>
      <c r="K2568" s="8">
        <f t="shared" si="242"/>
        <v>0.32261538076277763</v>
      </c>
      <c r="L2568" t="str">
        <f t="shared" si="245"/>
        <v>2022-11</v>
      </c>
      <c r="M2568">
        <f t="shared" si="243"/>
        <v>515.31999999999994</v>
      </c>
    </row>
    <row r="2569" spans="1:13" x14ac:dyDescent="0.25">
      <c r="A2569" s="1">
        <v>45382</v>
      </c>
      <c r="B2569" t="s">
        <v>24</v>
      </c>
      <c r="C2569" t="s">
        <v>20</v>
      </c>
      <c r="D2569" t="s">
        <v>13</v>
      </c>
      <c r="E2569">
        <v>1675.85</v>
      </c>
      <c r="F2569">
        <v>932.14</v>
      </c>
      <c r="G2569">
        <v>3</v>
      </c>
      <c r="H2569">
        <f t="shared" si="240"/>
        <v>5027.5499999999993</v>
      </c>
      <c r="I2569">
        <f t="shared" si="244"/>
        <v>2796.42</v>
      </c>
      <c r="J2569">
        <f t="shared" si="241"/>
        <v>2231.1299999999992</v>
      </c>
      <c r="K2569" s="8">
        <f t="shared" si="242"/>
        <v>0.44378076796849353</v>
      </c>
      <c r="L2569" t="str">
        <f t="shared" si="245"/>
        <v>2024-03</v>
      </c>
      <c r="M2569">
        <f t="shared" si="243"/>
        <v>2231.1299999999992</v>
      </c>
    </row>
    <row r="2570" spans="1:13" x14ac:dyDescent="0.25">
      <c r="A2570" s="1">
        <v>45467</v>
      </c>
      <c r="B2570" t="s">
        <v>22</v>
      </c>
      <c r="C2570" t="s">
        <v>8</v>
      </c>
      <c r="D2570" t="s">
        <v>17</v>
      </c>
      <c r="E2570">
        <v>1951.99</v>
      </c>
      <c r="F2570">
        <v>1169.8800000000001</v>
      </c>
      <c r="G2570">
        <v>8</v>
      </c>
      <c r="H2570">
        <f t="shared" si="240"/>
        <v>15615.92</v>
      </c>
      <c r="I2570">
        <f t="shared" si="244"/>
        <v>9359.0400000000009</v>
      </c>
      <c r="J2570">
        <f t="shared" si="241"/>
        <v>6256.8799999999992</v>
      </c>
      <c r="K2570" s="8">
        <f t="shared" si="242"/>
        <v>0.40067315918626628</v>
      </c>
      <c r="L2570" t="str">
        <f t="shared" si="245"/>
        <v>2024-06</v>
      </c>
      <c r="M2570">
        <f t="shared" si="243"/>
        <v>6256.8799999999992</v>
      </c>
    </row>
    <row r="2571" spans="1:13" x14ac:dyDescent="0.25">
      <c r="A2571" s="1">
        <v>45476</v>
      </c>
      <c r="B2571" t="s">
        <v>12</v>
      </c>
      <c r="C2571" t="s">
        <v>8</v>
      </c>
      <c r="D2571" t="s">
        <v>18</v>
      </c>
      <c r="E2571">
        <v>608.02</v>
      </c>
      <c r="F2571">
        <v>372.71</v>
      </c>
      <c r="G2571">
        <v>4</v>
      </c>
      <c r="H2571">
        <f t="shared" si="240"/>
        <v>2432.08</v>
      </c>
      <c r="I2571">
        <f t="shared" si="244"/>
        <v>1490.84</v>
      </c>
      <c r="J2571">
        <f t="shared" si="241"/>
        <v>941.24</v>
      </c>
      <c r="K2571" s="8">
        <f t="shared" si="242"/>
        <v>0.38701029571395679</v>
      </c>
      <c r="L2571" t="str">
        <f t="shared" si="245"/>
        <v>2024-07</v>
      </c>
      <c r="M2571">
        <f t="shared" si="243"/>
        <v>941.24</v>
      </c>
    </row>
    <row r="2572" spans="1:13" x14ac:dyDescent="0.25">
      <c r="A2572" s="1">
        <v>45631</v>
      </c>
      <c r="B2572" t="s">
        <v>25</v>
      </c>
      <c r="C2572" t="s">
        <v>15</v>
      </c>
      <c r="D2572" t="s">
        <v>17</v>
      </c>
      <c r="E2572">
        <v>661.52</v>
      </c>
      <c r="F2572">
        <v>445.01</v>
      </c>
      <c r="G2572">
        <v>3</v>
      </c>
      <c r="H2572">
        <f t="shared" si="240"/>
        <v>1984.56</v>
      </c>
      <c r="I2572">
        <f t="shared" si="244"/>
        <v>1335.03</v>
      </c>
      <c r="J2572">
        <f t="shared" si="241"/>
        <v>649.53</v>
      </c>
      <c r="K2572" s="8">
        <f t="shared" si="242"/>
        <v>0.32729169186116819</v>
      </c>
      <c r="L2572" t="str">
        <f t="shared" si="245"/>
        <v>2024-12</v>
      </c>
      <c r="M2572">
        <f t="shared" si="243"/>
        <v>649.53</v>
      </c>
    </row>
    <row r="2573" spans="1:13" x14ac:dyDescent="0.25">
      <c r="A2573" s="1">
        <v>44764</v>
      </c>
      <c r="B2573" t="s">
        <v>22</v>
      </c>
      <c r="C2573" t="s">
        <v>8</v>
      </c>
      <c r="D2573" t="s">
        <v>9</v>
      </c>
      <c r="E2573">
        <v>1193.76</v>
      </c>
      <c r="F2573">
        <v>772.45</v>
      </c>
      <c r="G2573">
        <v>5</v>
      </c>
      <c r="H2573">
        <f t="shared" si="240"/>
        <v>5968.8</v>
      </c>
      <c r="I2573">
        <f t="shared" si="244"/>
        <v>3862.25</v>
      </c>
      <c r="J2573">
        <f t="shared" si="241"/>
        <v>2106.5500000000002</v>
      </c>
      <c r="K2573" s="8">
        <f t="shared" si="242"/>
        <v>0.35292688647634368</v>
      </c>
      <c r="L2573" t="str">
        <f t="shared" si="245"/>
        <v>2022-07</v>
      </c>
      <c r="M2573">
        <f t="shared" si="243"/>
        <v>2106.5500000000002</v>
      </c>
    </row>
    <row r="2574" spans="1:13" x14ac:dyDescent="0.25">
      <c r="A2574" s="1">
        <v>44921</v>
      </c>
      <c r="B2574" t="s">
        <v>16</v>
      </c>
      <c r="C2574" t="s">
        <v>15</v>
      </c>
      <c r="D2574" t="s">
        <v>9</v>
      </c>
      <c r="E2574">
        <v>1520.81</v>
      </c>
      <c r="F2574">
        <v>1139.48</v>
      </c>
      <c r="G2574">
        <v>1</v>
      </c>
      <c r="H2574">
        <f t="shared" si="240"/>
        <v>1520.81</v>
      </c>
      <c r="I2574">
        <f t="shared" si="244"/>
        <v>1139.48</v>
      </c>
      <c r="J2574">
        <f t="shared" si="241"/>
        <v>381.32999999999993</v>
      </c>
      <c r="K2574" s="8">
        <f t="shared" si="242"/>
        <v>0.2507413812376299</v>
      </c>
      <c r="L2574" t="str">
        <f t="shared" si="245"/>
        <v>2022-12</v>
      </c>
      <c r="M2574">
        <f t="shared" si="243"/>
        <v>381.32999999999993</v>
      </c>
    </row>
    <row r="2575" spans="1:13" x14ac:dyDescent="0.25">
      <c r="A2575" s="1">
        <v>44898</v>
      </c>
      <c r="B2575" t="s">
        <v>24</v>
      </c>
      <c r="C2575" t="s">
        <v>20</v>
      </c>
      <c r="D2575" t="s">
        <v>13</v>
      </c>
      <c r="E2575">
        <v>1808.84</v>
      </c>
      <c r="F2575">
        <v>985.41</v>
      </c>
      <c r="G2575">
        <v>4</v>
      </c>
      <c r="H2575">
        <f t="shared" si="240"/>
        <v>7235.36</v>
      </c>
      <c r="I2575">
        <f t="shared" si="244"/>
        <v>3941.64</v>
      </c>
      <c r="J2575">
        <f t="shared" si="241"/>
        <v>3293.72</v>
      </c>
      <c r="K2575" s="8">
        <f t="shared" si="242"/>
        <v>0.45522544835364098</v>
      </c>
      <c r="L2575" t="str">
        <f t="shared" si="245"/>
        <v>2022-12</v>
      </c>
      <c r="M2575">
        <f t="shared" si="243"/>
        <v>3293.72</v>
      </c>
    </row>
    <row r="2576" spans="1:13" x14ac:dyDescent="0.25">
      <c r="A2576" s="1">
        <v>44591</v>
      </c>
      <c r="B2576" t="s">
        <v>10</v>
      </c>
      <c r="C2576" t="s">
        <v>11</v>
      </c>
      <c r="D2576" t="s">
        <v>17</v>
      </c>
      <c r="E2576">
        <v>1832.05</v>
      </c>
      <c r="F2576">
        <v>926.25</v>
      </c>
      <c r="G2576">
        <v>10</v>
      </c>
      <c r="H2576">
        <f t="shared" si="240"/>
        <v>18320.5</v>
      </c>
      <c r="I2576">
        <f t="shared" si="244"/>
        <v>9262.5</v>
      </c>
      <c r="J2576">
        <f t="shared" si="241"/>
        <v>9058</v>
      </c>
      <c r="K2576" s="8">
        <f t="shared" si="242"/>
        <v>0.49441882044704022</v>
      </c>
      <c r="L2576" t="str">
        <f t="shared" si="245"/>
        <v>2022-01</v>
      </c>
      <c r="M2576">
        <f t="shared" si="243"/>
        <v>9058</v>
      </c>
    </row>
    <row r="2577" spans="1:13" x14ac:dyDescent="0.25">
      <c r="A2577" s="1">
        <v>45002</v>
      </c>
      <c r="B2577" t="s">
        <v>12</v>
      </c>
      <c r="C2577" t="s">
        <v>8</v>
      </c>
      <c r="D2577" t="s">
        <v>9</v>
      </c>
      <c r="E2577">
        <v>1527.25</v>
      </c>
      <c r="F2577">
        <v>772.68</v>
      </c>
      <c r="G2577">
        <v>5</v>
      </c>
      <c r="H2577">
        <f t="shared" si="240"/>
        <v>7636.25</v>
      </c>
      <c r="I2577">
        <f t="shared" si="244"/>
        <v>3863.3999999999996</v>
      </c>
      <c r="J2577">
        <f t="shared" si="241"/>
        <v>3772.8500000000004</v>
      </c>
      <c r="K2577" s="8">
        <f t="shared" si="242"/>
        <v>0.49407104272385011</v>
      </c>
      <c r="L2577" t="str">
        <f t="shared" si="245"/>
        <v>2023-03</v>
      </c>
      <c r="M2577">
        <f t="shared" si="243"/>
        <v>3772.8500000000004</v>
      </c>
    </row>
    <row r="2578" spans="1:13" x14ac:dyDescent="0.25">
      <c r="A2578" s="1">
        <v>44664</v>
      </c>
      <c r="B2578" t="s">
        <v>16</v>
      </c>
      <c r="C2578" t="s">
        <v>15</v>
      </c>
      <c r="D2578" t="s">
        <v>9</v>
      </c>
      <c r="E2578">
        <v>1902.08</v>
      </c>
      <c r="F2578">
        <v>1217.47</v>
      </c>
      <c r="G2578">
        <v>7</v>
      </c>
      <c r="H2578">
        <f t="shared" si="240"/>
        <v>13314.56</v>
      </c>
      <c r="I2578">
        <f t="shared" si="244"/>
        <v>8522.2900000000009</v>
      </c>
      <c r="J2578">
        <f t="shared" si="241"/>
        <v>4792.2699999999986</v>
      </c>
      <c r="K2578" s="8">
        <f t="shared" si="242"/>
        <v>0.35992702725437409</v>
      </c>
      <c r="L2578" t="str">
        <f t="shared" si="245"/>
        <v>2022-04</v>
      </c>
      <c r="M2578">
        <f t="shared" si="243"/>
        <v>4792.2699999999986</v>
      </c>
    </row>
    <row r="2579" spans="1:13" x14ac:dyDescent="0.25">
      <c r="A2579" s="1">
        <v>44638</v>
      </c>
      <c r="B2579" t="s">
        <v>21</v>
      </c>
      <c r="C2579" t="s">
        <v>20</v>
      </c>
      <c r="D2579" t="s">
        <v>13</v>
      </c>
      <c r="E2579">
        <v>1580.46</v>
      </c>
      <c r="F2579">
        <v>1229.52</v>
      </c>
      <c r="G2579">
        <v>2</v>
      </c>
      <c r="H2579">
        <f t="shared" si="240"/>
        <v>3160.92</v>
      </c>
      <c r="I2579">
        <f t="shared" si="244"/>
        <v>2459.04</v>
      </c>
      <c r="J2579">
        <f t="shared" si="241"/>
        <v>701.88000000000011</v>
      </c>
      <c r="K2579" s="8">
        <f t="shared" si="242"/>
        <v>0.22204927679283248</v>
      </c>
      <c r="L2579" t="str">
        <f t="shared" si="245"/>
        <v>2022-03</v>
      </c>
      <c r="M2579">
        <f t="shared" si="243"/>
        <v>701.88000000000011</v>
      </c>
    </row>
    <row r="2580" spans="1:13" x14ac:dyDescent="0.25">
      <c r="A2580" s="1">
        <v>44655</v>
      </c>
      <c r="B2580" t="s">
        <v>19</v>
      </c>
      <c r="C2580" t="s">
        <v>20</v>
      </c>
      <c r="D2580" t="s">
        <v>9</v>
      </c>
      <c r="E2580">
        <v>149.32</v>
      </c>
      <c r="F2580">
        <v>113.81</v>
      </c>
      <c r="G2580">
        <v>10</v>
      </c>
      <c r="H2580">
        <f t="shared" si="240"/>
        <v>1493.1999999999998</v>
      </c>
      <c r="I2580">
        <f t="shared" si="244"/>
        <v>1138.0999999999999</v>
      </c>
      <c r="J2580">
        <f t="shared" si="241"/>
        <v>355.09999999999991</v>
      </c>
      <c r="K2580" s="8">
        <f t="shared" si="242"/>
        <v>0.23781141173319043</v>
      </c>
      <c r="L2580" t="str">
        <f t="shared" si="245"/>
        <v>2022-04</v>
      </c>
      <c r="M2580">
        <f t="shared" si="243"/>
        <v>355.09999999999991</v>
      </c>
    </row>
    <row r="2581" spans="1:13" x14ac:dyDescent="0.25">
      <c r="A2581" s="1">
        <v>45618</v>
      </c>
      <c r="B2581" t="s">
        <v>10</v>
      </c>
      <c r="C2581" t="s">
        <v>11</v>
      </c>
      <c r="D2581" t="s">
        <v>18</v>
      </c>
      <c r="E2581">
        <v>1774.53</v>
      </c>
      <c r="F2581">
        <v>1491.39</v>
      </c>
      <c r="G2581">
        <v>2</v>
      </c>
      <c r="H2581">
        <f t="shared" si="240"/>
        <v>3549.06</v>
      </c>
      <c r="I2581">
        <f t="shared" si="244"/>
        <v>2982.78</v>
      </c>
      <c r="J2581">
        <f t="shared" si="241"/>
        <v>566.27999999999975</v>
      </c>
      <c r="K2581" s="8">
        <f t="shared" si="242"/>
        <v>0.15955774205000753</v>
      </c>
      <c r="L2581" t="str">
        <f t="shared" si="245"/>
        <v>2024-11</v>
      </c>
      <c r="M2581">
        <f t="shared" si="243"/>
        <v>566.27999999999975</v>
      </c>
    </row>
    <row r="2582" spans="1:13" x14ac:dyDescent="0.25">
      <c r="A2582" s="1">
        <v>45195</v>
      </c>
      <c r="B2582" t="s">
        <v>16</v>
      </c>
      <c r="C2582" t="s">
        <v>15</v>
      </c>
      <c r="D2582" t="s">
        <v>9</v>
      </c>
      <c r="E2582">
        <v>1828.27</v>
      </c>
      <c r="F2582">
        <v>1202.83</v>
      </c>
      <c r="G2582">
        <v>4</v>
      </c>
      <c r="H2582">
        <f t="shared" si="240"/>
        <v>7313.08</v>
      </c>
      <c r="I2582">
        <f t="shared" si="244"/>
        <v>4811.32</v>
      </c>
      <c r="J2582">
        <f t="shared" si="241"/>
        <v>2501.7600000000002</v>
      </c>
      <c r="K2582" s="8">
        <f t="shared" si="242"/>
        <v>0.342093892040016</v>
      </c>
      <c r="L2582" t="str">
        <f t="shared" si="245"/>
        <v>2023-09</v>
      </c>
      <c r="M2582">
        <f t="shared" si="243"/>
        <v>2501.7600000000002</v>
      </c>
    </row>
    <row r="2583" spans="1:13" x14ac:dyDescent="0.25">
      <c r="A2583" s="1">
        <v>45284</v>
      </c>
      <c r="B2583" t="s">
        <v>23</v>
      </c>
      <c r="C2583" t="s">
        <v>11</v>
      </c>
      <c r="D2583" t="s">
        <v>18</v>
      </c>
      <c r="E2583">
        <v>1052.1400000000001</v>
      </c>
      <c r="F2583">
        <v>745.91</v>
      </c>
      <c r="G2583">
        <v>4</v>
      </c>
      <c r="H2583">
        <f t="shared" si="240"/>
        <v>4208.5600000000004</v>
      </c>
      <c r="I2583">
        <f t="shared" si="244"/>
        <v>2983.64</v>
      </c>
      <c r="J2583">
        <f t="shared" si="241"/>
        <v>1224.9200000000005</v>
      </c>
      <c r="K2583" s="8">
        <f t="shared" si="242"/>
        <v>0.29105442241526802</v>
      </c>
      <c r="L2583" t="str">
        <f t="shared" si="245"/>
        <v>2023-12</v>
      </c>
      <c r="M2583">
        <f t="shared" si="243"/>
        <v>1224.9200000000005</v>
      </c>
    </row>
    <row r="2584" spans="1:13" x14ac:dyDescent="0.25">
      <c r="A2584" s="1">
        <v>45240</v>
      </c>
      <c r="B2584" t="s">
        <v>19</v>
      </c>
      <c r="C2584" t="s">
        <v>20</v>
      </c>
      <c r="D2584" t="s">
        <v>13</v>
      </c>
      <c r="E2584">
        <v>1372.82</v>
      </c>
      <c r="F2584">
        <v>1018.84</v>
      </c>
      <c r="G2584">
        <v>4</v>
      </c>
      <c r="H2584">
        <f t="shared" si="240"/>
        <v>5491.28</v>
      </c>
      <c r="I2584">
        <f t="shared" si="244"/>
        <v>4075.36</v>
      </c>
      <c r="J2584">
        <f t="shared" si="241"/>
        <v>1415.9199999999996</v>
      </c>
      <c r="K2584" s="8">
        <f t="shared" si="242"/>
        <v>0.25784880756399231</v>
      </c>
      <c r="L2584" t="str">
        <f t="shared" si="245"/>
        <v>2023-11</v>
      </c>
      <c r="M2584">
        <f t="shared" si="243"/>
        <v>1415.9199999999996</v>
      </c>
    </row>
    <row r="2585" spans="1:13" x14ac:dyDescent="0.25">
      <c r="A2585" s="1">
        <v>45142</v>
      </c>
      <c r="B2585" t="s">
        <v>23</v>
      </c>
      <c r="C2585" t="s">
        <v>11</v>
      </c>
      <c r="D2585" t="s">
        <v>17</v>
      </c>
      <c r="E2585">
        <v>891.53</v>
      </c>
      <c r="F2585">
        <v>705.58</v>
      </c>
      <c r="G2585">
        <v>4</v>
      </c>
      <c r="H2585">
        <f t="shared" si="240"/>
        <v>3566.12</v>
      </c>
      <c r="I2585">
        <f t="shared" si="244"/>
        <v>2822.32</v>
      </c>
      <c r="J2585">
        <f t="shared" si="241"/>
        <v>743.79999999999973</v>
      </c>
      <c r="K2585" s="8">
        <f t="shared" si="242"/>
        <v>0.20857402442991255</v>
      </c>
      <c r="L2585" t="str">
        <f t="shared" si="245"/>
        <v>2023-08</v>
      </c>
      <c r="M2585">
        <f t="shared" si="243"/>
        <v>743.79999999999973</v>
      </c>
    </row>
    <row r="2586" spans="1:13" x14ac:dyDescent="0.25">
      <c r="A2586" s="1">
        <v>44862</v>
      </c>
      <c r="B2586" t="s">
        <v>21</v>
      </c>
      <c r="C2586" t="s">
        <v>20</v>
      </c>
      <c r="D2586" t="s">
        <v>13</v>
      </c>
      <c r="E2586">
        <v>1329.51</v>
      </c>
      <c r="F2586">
        <v>671.01</v>
      </c>
      <c r="G2586">
        <v>8</v>
      </c>
      <c r="H2586">
        <f t="shared" si="240"/>
        <v>10636.08</v>
      </c>
      <c r="I2586">
        <f t="shared" si="244"/>
        <v>5368.08</v>
      </c>
      <c r="J2586">
        <f t="shared" si="241"/>
        <v>5268</v>
      </c>
      <c r="K2586" s="8">
        <f t="shared" si="242"/>
        <v>0.49529525915562878</v>
      </c>
      <c r="L2586" t="str">
        <f t="shared" si="245"/>
        <v>2022-10</v>
      </c>
      <c r="M2586">
        <f t="shared" si="243"/>
        <v>5268</v>
      </c>
    </row>
    <row r="2587" spans="1:13" x14ac:dyDescent="0.25">
      <c r="A2587" s="1">
        <v>45309</v>
      </c>
      <c r="B2587" t="s">
        <v>25</v>
      </c>
      <c r="C2587" t="s">
        <v>15</v>
      </c>
      <c r="D2587" t="s">
        <v>9</v>
      </c>
      <c r="E2587">
        <v>240.53</v>
      </c>
      <c r="F2587">
        <v>144.27000000000001</v>
      </c>
      <c r="G2587">
        <v>5</v>
      </c>
      <c r="H2587">
        <f t="shared" si="240"/>
        <v>1202.6500000000001</v>
      </c>
      <c r="I2587">
        <f t="shared" si="244"/>
        <v>721.35</v>
      </c>
      <c r="J2587">
        <f t="shared" si="241"/>
        <v>481.30000000000007</v>
      </c>
      <c r="K2587" s="8">
        <f t="shared" si="242"/>
        <v>0.40019955930653145</v>
      </c>
      <c r="L2587" t="str">
        <f t="shared" si="245"/>
        <v>2024-01</v>
      </c>
      <c r="M2587">
        <f t="shared" si="243"/>
        <v>481.30000000000007</v>
      </c>
    </row>
    <row r="2588" spans="1:13" x14ac:dyDescent="0.25">
      <c r="A2588" s="1">
        <v>45489</v>
      </c>
      <c r="B2588" t="s">
        <v>12</v>
      </c>
      <c r="C2588" t="s">
        <v>8</v>
      </c>
      <c r="D2588" t="s">
        <v>18</v>
      </c>
      <c r="E2588">
        <v>1035.57</v>
      </c>
      <c r="F2588">
        <v>653.99</v>
      </c>
      <c r="G2588">
        <v>10</v>
      </c>
      <c r="H2588">
        <f t="shared" si="240"/>
        <v>10355.699999999999</v>
      </c>
      <c r="I2588">
        <f t="shared" si="244"/>
        <v>6539.9</v>
      </c>
      <c r="J2588">
        <f t="shared" si="241"/>
        <v>3815.7999999999993</v>
      </c>
      <c r="K2588" s="8">
        <f t="shared" si="242"/>
        <v>0.36847340112208732</v>
      </c>
      <c r="L2588" t="str">
        <f t="shared" si="245"/>
        <v>2024-07</v>
      </c>
      <c r="M2588">
        <f t="shared" si="243"/>
        <v>3815.7999999999993</v>
      </c>
    </row>
    <row r="2589" spans="1:13" x14ac:dyDescent="0.25">
      <c r="A2589" s="1">
        <v>44913</v>
      </c>
      <c r="B2589" t="s">
        <v>7</v>
      </c>
      <c r="C2589" t="s">
        <v>8</v>
      </c>
      <c r="D2589" t="s">
        <v>13</v>
      </c>
      <c r="E2589">
        <v>334.54</v>
      </c>
      <c r="F2589">
        <v>277.91000000000003</v>
      </c>
      <c r="G2589">
        <v>2</v>
      </c>
      <c r="H2589">
        <f t="shared" si="240"/>
        <v>669.08</v>
      </c>
      <c r="I2589">
        <f t="shared" si="244"/>
        <v>555.82000000000005</v>
      </c>
      <c r="J2589">
        <f t="shared" si="241"/>
        <v>113.25999999999999</v>
      </c>
      <c r="K2589" s="8">
        <f t="shared" si="242"/>
        <v>0.16927721647635557</v>
      </c>
      <c r="L2589" t="str">
        <f t="shared" si="245"/>
        <v>2022-12</v>
      </c>
      <c r="M2589">
        <f t="shared" si="243"/>
        <v>113.25999999999999</v>
      </c>
    </row>
    <row r="2590" spans="1:13" x14ac:dyDescent="0.25">
      <c r="A2590" s="1">
        <v>44737</v>
      </c>
      <c r="B2590" t="s">
        <v>24</v>
      </c>
      <c r="C2590" t="s">
        <v>20</v>
      </c>
      <c r="D2590" t="s">
        <v>13</v>
      </c>
      <c r="E2590">
        <v>368.78</v>
      </c>
      <c r="F2590">
        <v>252.45</v>
      </c>
      <c r="G2590">
        <v>1</v>
      </c>
      <c r="H2590">
        <f t="shared" si="240"/>
        <v>368.78</v>
      </c>
      <c r="I2590">
        <f t="shared" si="244"/>
        <v>252.45</v>
      </c>
      <c r="J2590">
        <f t="shared" si="241"/>
        <v>116.32999999999998</v>
      </c>
      <c r="K2590" s="8">
        <f t="shared" si="242"/>
        <v>0.3154455230760887</v>
      </c>
      <c r="L2590" t="str">
        <f t="shared" si="245"/>
        <v>2022-06</v>
      </c>
      <c r="M2590">
        <f t="shared" si="243"/>
        <v>116.32999999999998</v>
      </c>
    </row>
    <row r="2591" spans="1:13" x14ac:dyDescent="0.25">
      <c r="A2591" s="1">
        <v>44749</v>
      </c>
      <c r="B2591" t="s">
        <v>21</v>
      </c>
      <c r="C2591" t="s">
        <v>20</v>
      </c>
      <c r="D2591" t="s">
        <v>13</v>
      </c>
      <c r="E2591">
        <v>1532.83</v>
      </c>
      <c r="F2591">
        <v>1116.3900000000001</v>
      </c>
      <c r="G2591">
        <v>8</v>
      </c>
      <c r="H2591">
        <f t="shared" si="240"/>
        <v>12262.64</v>
      </c>
      <c r="I2591">
        <f t="shared" si="244"/>
        <v>8931.1200000000008</v>
      </c>
      <c r="J2591">
        <f t="shared" si="241"/>
        <v>3331.5199999999986</v>
      </c>
      <c r="K2591" s="8">
        <f t="shared" si="242"/>
        <v>0.27168048642054232</v>
      </c>
      <c r="L2591" t="str">
        <f t="shared" si="245"/>
        <v>2022-07</v>
      </c>
      <c r="M2591">
        <f t="shared" si="243"/>
        <v>3331.5199999999986</v>
      </c>
    </row>
    <row r="2592" spans="1:13" x14ac:dyDescent="0.25">
      <c r="A2592" s="1">
        <v>45301</v>
      </c>
      <c r="B2592" t="s">
        <v>12</v>
      </c>
      <c r="C2592" t="s">
        <v>8</v>
      </c>
      <c r="D2592" t="s">
        <v>9</v>
      </c>
      <c r="E2592">
        <v>614.91</v>
      </c>
      <c r="F2592">
        <v>395.4</v>
      </c>
      <c r="G2592">
        <v>6</v>
      </c>
      <c r="H2592">
        <f t="shared" si="240"/>
        <v>3689.46</v>
      </c>
      <c r="I2592">
        <f t="shared" si="244"/>
        <v>2372.3999999999996</v>
      </c>
      <c r="J2592">
        <f t="shared" si="241"/>
        <v>1317.0600000000004</v>
      </c>
      <c r="K2592" s="8">
        <f t="shared" si="242"/>
        <v>0.35697907010782076</v>
      </c>
      <c r="L2592" t="str">
        <f t="shared" si="245"/>
        <v>2024-01</v>
      </c>
      <c r="M2592">
        <f t="shared" si="243"/>
        <v>1317.0600000000004</v>
      </c>
    </row>
    <row r="2593" spans="1:13" x14ac:dyDescent="0.25">
      <c r="A2593" s="1">
        <v>45047</v>
      </c>
      <c r="B2593" t="s">
        <v>21</v>
      </c>
      <c r="C2593" t="s">
        <v>20</v>
      </c>
      <c r="D2593" t="s">
        <v>13</v>
      </c>
      <c r="E2593">
        <v>1527.87</v>
      </c>
      <c r="F2593">
        <v>879.46</v>
      </c>
      <c r="G2593">
        <v>5</v>
      </c>
      <c r="H2593">
        <f t="shared" si="240"/>
        <v>7639.3499999999995</v>
      </c>
      <c r="I2593">
        <f t="shared" si="244"/>
        <v>4397.3</v>
      </c>
      <c r="J2593">
        <f t="shared" si="241"/>
        <v>3242.0499999999993</v>
      </c>
      <c r="K2593" s="8">
        <f t="shared" si="242"/>
        <v>0.4243882005668021</v>
      </c>
      <c r="L2593" t="str">
        <f t="shared" si="245"/>
        <v>2023-05</v>
      </c>
      <c r="M2593">
        <f t="shared" si="243"/>
        <v>3242.0499999999993</v>
      </c>
    </row>
    <row r="2594" spans="1:13" x14ac:dyDescent="0.25">
      <c r="A2594" s="1">
        <v>45024</v>
      </c>
      <c r="B2594" t="s">
        <v>14</v>
      </c>
      <c r="C2594" t="s">
        <v>15</v>
      </c>
      <c r="D2594" t="s">
        <v>13</v>
      </c>
      <c r="E2594">
        <v>664.54</v>
      </c>
      <c r="F2594">
        <v>371.18</v>
      </c>
      <c r="G2594">
        <v>10</v>
      </c>
      <c r="H2594">
        <f t="shared" si="240"/>
        <v>6645.4</v>
      </c>
      <c r="I2594">
        <f t="shared" si="244"/>
        <v>3711.8</v>
      </c>
      <c r="J2594">
        <f t="shared" si="241"/>
        <v>2933.5999999999995</v>
      </c>
      <c r="K2594" s="8">
        <f t="shared" si="242"/>
        <v>0.44144821982122967</v>
      </c>
      <c r="L2594" t="str">
        <f t="shared" si="245"/>
        <v>2023-04</v>
      </c>
      <c r="M2594">
        <f t="shared" si="243"/>
        <v>2933.5999999999995</v>
      </c>
    </row>
    <row r="2595" spans="1:13" x14ac:dyDescent="0.25">
      <c r="A2595" s="1">
        <v>44864</v>
      </c>
      <c r="B2595" t="s">
        <v>12</v>
      </c>
      <c r="C2595" t="s">
        <v>8</v>
      </c>
      <c r="D2595" t="s">
        <v>13</v>
      </c>
      <c r="E2595">
        <v>780.9</v>
      </c>
      <c r="F2595">
        <v>620.73</v>
      </c>
      <c r="G2595">
        <v>5</v>
      </c>
      <c r="H2595">
        <f t="shared" si="240"/>
        <v>3904.5</v>
      </c>
      <c r="I2595">
        <f t="shared" si="244"/>
        <v>3103.65</v>
      </c>
      <c r="J2595">
        <f t="shared" si="241"/>
        <v>800.84999999999991</v>
      </c>
      <c r="K2595" s="8">
        <f t="shared" si="242"/>
        <v>0.20510948905109486</v>
      </c>
      <c r="L2595" t="str">
        <f t="shared" si="245"/>
        <v>2022-10</v>
      </c>
      <c r="M2595">
        <f t="shared" si="243"/>
        <v>800.84999999999991</v>
      </c>
    </row>
    <row r="2596" spans="1:13" x14ac:dyDescent="0.25">
      <c r="A2596" s="1">
        <v>45357</v>
      </c>
      <c r="B2596" t="s">
        <v>22</v>
      </c>
      <c r="C2596" t="s">
        <v>8</v>
      </c>
      <c r="D2596" t="s">
        <v>13</v>
      </c>
      <c r="E2596">
        <v>235.24</v>
      </c>
      <c r="F2596">
        <v>130.49</v>
      </c>
      <c r="G2596">
        <v>7</v>
      </c>
      <c r="H2596">
        <f t="shared" si="240"/>
        <v>1646.68</v>
      </c>
      <c r="I2596">
        <f t="shared" si="244"/>
        <v>913.43000000000006</v>
      </c>
      <c r="J2596">
        <f t="shared" si="241"/>
        <v>733.25</v>
      </c>
      <c r="K2596" s="8">
        <f t="shared" si="242"/>
        <v>0.44528991668083656</v>
      </c>
      <c r="L2596" t="str">
        <f t="shared" si="245"/>
        <v>2024-03</v>
      </c>
      <c r="M2596">
        <f t="shared" si="243"/>
        <v>733.25</v>
      </c>
    </row>
    <row r="2597" spans="1:13" x14ac:dyDescent="0.25">
      <c r="A2597" s="1">
        <v>44627</v>
      </c>
      <c r="B2597" t="s">
        <v>24</v>
      </c>
      <c r="C2597" t="s">
        <v>20</v>
      </c>
      <c r="D2597" t="s">
        <v>9</v>
      </c>
      <c r="E2597">
        <v>1625.61</v>
      </c>
      <c r="F2597">
        <v>1263.82</v>
      </c>
      <c r="G2597">
        <v>7</v>
      </c>
      <c r="H2597">
        <f t="shared" si="240"/>
        <v>11379.269999999999</v>
      </c>
      <c r="I2597">
        <f t="shared" si="244"/>
        <v>8846.74</v>
      </c>
      <c r="J2597">
        <f t="shared" si="241"/>
        <v>2532.5299999999988</v>
      </c>
      <c r="K2597" s="8">
        <f t="shared" si="242"/>
        <v>0.22255645573046418</v>
      </c>
      <c r="L2597" t="str">
        <f t="shared" si="245"/>
        <v>2022-03</v>
      </c>
      <c r="M2597">
        <f t="shared" si="243"/>
        <v>2532.5299999999988</v>
      </c>
    </row>
    <row r="2598" spans="1:13" x14ac:dyDescent="0.25">
      <c r="A2598" s="1">
        <v>45386</v>
      </c>
      <c r="B2598" t="s">
        <v>23</v>
      </c>
      <c r="C2598" t="s">
        <v>11</v>
      </c>
      <c r="D2598" t="s">
        <v>18</v>
      </c>
      <c r="E2598">
        <v>626.51</v>
      </c>
      <c r="F2598">
        <v>362.69</v>
      </c>
      <c r="G2598">
        <v>1</v>
      </c>
      <c r="H2598">
        <f t="shared" si="240"/>
        <v>626.51</v>
      </c>
      <c r="I2598">
        <f t="shared" si="244"/>
        <v>362.69</v>
      </c>
      <c r="J2598">
        <f t="shared" si="241"/>
        <v>263.82</v>
      </c>
      <c r="K2598" s="8">
        <f t="shared" si="242"/>
        <v>0.42109463536096792</v>
      </c>
      <c r="L2598" t="str">
        <f t="shared" si="245"/>
        <v>2024-04</v>
      </c>
      <c r="M2598">
        <f t="shared" si="243"/>
        <v>263.82</v>
      </c>
    </row>
    <row r="2599" spans="1:13" x14ac:dyDescent="0.25">
      <c r="A2599" s="1">
        <v>44817</v>
      </c>
      <c r="B2599" t="s">
        <v>16</v>
      </c>
      <c r="C2599" t="s">
        <v>15</v>
      </c>
      <c r="D2599" t="s">
        <v>18</v>
      </c>
      <c r="E2599">
        <v>215.41</v>
      </c>
      <c r="F2599">
        <v>148.58000000000001</v>
      </c>
      <c r="G2599">
        <v>6</v>
      </c>
      <c r="H2599">
        <f t="shared" si="240"/>
        <v>1292.46</v>
      </c>
      <c r="I2599">
        <f t="shared" si="244"/>
        <v>891.48</v>
      </c>
      <c r="J2599">
        <f t="shared" si="241"/>
        <v>400.98</v>
      </c>
      <c r="K2599" s="8">
        <f t="shared" si="242"/>
        <v>0.31024557819971216</v>
      </c>
      <c r="L2599" t="str">
        <f t="shared" si="245"/>
        <v>2022-09</v>
      </c>
      <c r="M2599">
        <f t="shared" si="243"/>
        <v>400.98</v>
      </c>
    </row>
    <row r="2600" spans="1:13" x14ac:dyDescent="0.25">
      <c r="A2600" s="1">
        <v>44916</v>
      </c>
      <c r="B2600" t="s">
        <v>16</v>
      </c>
      <c r="C2600" t="s">
        <v>15</v>
      </c>
      <c r="D2600" t="s">
        <v>17</v>
      </c>
      <c r="E2600">
        <v>339.67</v>
      </c>
      <c r="F2600">
        <v>303.33999999999997</v>
      </c>
      <c r="G2600">
        <v>3</v>
      </c>
      <c r="H2600">
        <f t="shared" si="240"/>
        <v>1019.01</v>
      </c>
      <c r="I2600">
        <f t="shared" si="244"/>
        <v>910.02</v>
      </c>
      <c r="J2600">
        <f t="shared" si="241"/>
        <v>108.99000000000001</v>
      </c>
      <c r="K2600" s="8">
        <f t="shared" si="242"/>
        <v>0.10695675214178468</v>
      </c>
      <c r="L2600" t="str">
        <f t="shared" si="245"/>
        <v>2022-12</v>
      </c>
      <c r="M2600">
        <f t="shared" si="243"/>
        <v>108.99000000000001</v>
      </c>
    </row>
    <row r="2601" spans="1:13" x14ac:dyDescent="0.25">
      <c r="A2601" s="1">
        <v>45099</v>
      </c>
      <c r="B2601" t="s">
        <v>12</v>
      </c>
      <c r="C2601" t="s">
        <v>8</v>
      </c>
      <c r="D2601" t="s">
        <v>9</v>
      </c>
      <c r="E2601">
        <v>43.23</v>
      </c>
      <c r="F2601">
        <v>24.68</v>
      </c>
      <c r="G2601">
        <v>8</v>
      </c>
      <c r="H2601">
        <f t="shared" si="240"/>
        <v>345.84</v>
      </c>
      <c r="I2601">
        <f t="shared" si="244"/>
        <v>197.44</v>
      </c>
      <c r="J2601">
        <f t="shared" si="241"/>
        <v>148.39999999999998</v>
      </c>
      <c r="K2601" s="8">
        <f t="shared" si="242"/>
        <v>0.42910016192458938</v>
      </c>
      <c r="L2601" t="str">
        <f t="shared" si="245"/>
        <v>2023-06</v>
      </c>
      <c r="M2601">
        <f t="shared" si="243"/>
        <v>148.39999999999998</v>
      </c>
    </row>
    <row r="2602" spans="1:13" x14ac:dyDescent="0.25">
      <c r="A2602" s="1">
        <v>45043</v>
      </c>
      <c r="B2602" t="s">
        <v>25</v>
      </c>
      <c r="C2602" t="s">
        <v>15</v>
      </c>
      <c r="D2602" t="s">
        <v>17</v>
      </c>
      <c r="E2602">
        <v>720.43</v>
      </c>
      <c r="F2602">
        <v>468.59</v>
      </c>
      <c r="G2602">
        <v>8</v>
      </c>
      <c r="H2602">
        <f t="shared" si="240"/>
        <v>5763.44</v>
      </c>
      <c r="I2602">
        <f t="shared" si="244"/>
        <v>3748.72</v>
      </c>
      <c r="J2602">
        <f t="shared" si="241"/>
        <v>2014.7199999999998</v>
      </c>
      <c r="K2602" s="8">
        <f t="shared" si="242"/>
        <v>0.34956900739835928</v>
      </c>
      <c r="L2602" t="str">
        <f t="shared" si="245"/>
        <v>2023-04</v>
      </c>
      <c r="M2602">
        <f t="shared" si="243"/>
        <v>2014.7199999999998</v>
      </c>
    </row>
    <row r="2603" spans="1:13" x14ac:dyDescent="0.25">
      <c r="A2603" s="1">
        <v>45444</v>
      </c>
      <c r="B2603" t="s">
        <v>25</v>
      </c>
      <c r="C2603" t="s">
        <v>15</v>
      </c>
      <c r="D2603" t="s">
        <v>9</v>
      </c>
      <c r="E2603">
        <v>565.41</v>
      </c>
      <c r="F2603">
        <v>460.96</v>
      </c>
      <c r="G2603">
        <v>5</v>
      </c>
      <c r="H2603">
        <f t="shared" si="240"/>
        <v>2827.0499999999997</v>
      </c>
      <c r="I2603">
        <f t="shared" si="244"/>
        <v>2304.7999999999997</v>
      </c>
      <c r="J2603">
        <f t="shared" si="241"/>
        <v>522.25</v>
      </c>
      <c r="K2603" s="8">
        <f t="shared" si="242"/>
        <v>0.18473320245485578</v>
      </c>
      <c r="L2603" t="str">
        <f t="shared" si="245"/>
        <v>2024-06</v>
      </c>
      <c r="M2603">
        <f t="shared" si="243"/>
        <v>522.25</v>
      </c>
    </row>
    <row r="2604" spans="1:13" x14ac:dyDescent="0.25">
      <c r="A2604" s="1">
        <v>45147</v>
      </c>
      <c r="B2604" t="s">
        <v>25</v>
      </c>
      <c r="C2604" t="s">
        <v>15</v>
      </c>
      <c r="D2604" t="s">
        <v>13</v>
      </c>
      <c r="E2604">
        <v>926.02</v>
      </c>
      <c r="F2604">
        <v>643.23</v>
      </c>
      <c r="G2604">
        <v>4</v>
      </c>
      <c r="H2604">
        <f t="shared" si="240"/>
        <v>3704.08</v>
      </c>
      <c r="I2604">
        <f t="shared" si="244"/>
        <v>2572.92</v>
      </c>
      <c r="J2604">
        <f t="shared" si="241"/>
        <v>1131.1599999999999</v>
      </c>
      <c r="K2604" s="8">
        <f t="shared" si="242"/>
        <v>0.30538217317120575</v>
      </c>
      <c r="L2604" t="str">
        <f t="shared" si="245"/>
        <v>2023-08</v>
      </c>
      <c r="M2604">
        <f t="shared" si="243"/>
        <v>1131.1599999999999</v>
      </c>
    </row>
    <row r="2605" spans="1:13" x14ac:dyDescent="0.25">
      <c r="A2605" s="1">
        <v>45516</v>
      </c>
      <c r="B2605" t="s">
        <v>22</v>
      </c>
      <c r="C2605" t="s">
        <v>8</v>
      </c>
      <c r="D2605" t="s">
        <v>17</v>
      </c>
      <c r="E2605">
        <v>608.71</v>
      </c>
      <c r="F2605">
        <v>477.6</v>
      </c>
      <c r="G2605">
        <v>6</v>
      </c>
      <c r="H2605">
        <f t="shared" si="240"/>
        <v>3652.26</v>
      </c>
      <c r="I2605">
        <f t="shared" si="244"/>
        <v>2865.6000000000004</v>
      </c>
      <c r="J2605">
        <f t="shared" si="241"/>
        <v>786.65999999999985</v>
      </c>
      <c r="K2605" s="8">
        <f t="shared" si="242"/>
        <v>0.21538992295181608</v>
      </c>
      <c r="L2605" t="str">
        <f t="shared" si="245"/>
        <v>2024-08</v>
      </c>
      <c r="M2605">
        <f t="shared" si="243"/>
        <v>786.65999999999985</v>
      </c>
    </row>
    <row r="2606" spans="1:13" x14ac:dyDescent="0.25">
      <c r="A2606" s="1">
        <v>44946</v>
      </c>
      <c r="B2606" t="s">
        <v>25</v>
      </c>
      <c r="C2606" t="s">
        <v>15</v>
      </c>
      <c r="D2606" t="s">
        <v>17</v>
      </c>
      <c r="E2606">
        <v>254.42</v>
      </c>
      <c r="F2606">
        <v>193.32</v>
      </c>
      <c r="G2606">
        <v>2</v>
      </c>
      <c r="H2606">
        <f t="shared" si="240"/>
        <v>508.84</v>
      </c>
      <c r="I2606">
        <f t="shared" si="244"/>
        <v>386.64</v>
      </c>
      <c r="J2606">
        <f t="shared" si="241"/>
        <v>122.19999999999999</v>
      </c>
      <c r="K2606" s="8">
        <f t="shared" si="242"/>
        <v>0.2401540759374263</v>
      </c>
      <c r="L2606" t="str">
        <f t="shared" si="245"/>
        <v>2023-01</v>
      </c>
      <c r="M2606">
        <f t="shared" si="243"/>
        <v>122.19999999999999</v>
      </c>
    </row>
    <row r="2607" spans="1:13" x14ac:dyDescent="0.25">
      <c r="A2607" s="1">
        <v>44659</v>
      </c>
      <c r="B2607" t="s">
        <v>16</v>
      </c>
      <c r="C2607" t="s">
        <v>15</v>
      </c>
      <c r="D2607" t="s">
        <v>17</v>
      </c>
      <c r="E2607">
        <v>752</v>
      </c>
      <c r="F2607">
        <v>442.65</v>
      </c>
      <c r="G2607">
        <v>3</v>
      </c>
      <c r="H2607">
        <f t="shared" si="240"/>
        <v>2256</v>
      </c>
      <c r="I2607">
        <f t="shared" si="244"/>
        <v>1327.9499999999998</v>
      </c>
      <c r="J2607">
        <f t="shared" si="241"/>
        <v>928.05000000000018</v>
      </c>
      <c r="K2607" s="8">
        <f t="shared" si="242"/>
        <v>0.4113696808510639</v>
      </c>
      <c r="L2607" t="str">
        <f t="shared" si="245"/>
        <v>2022-04</v>
      </c>
      <c r="M2607">
        <f t="shared" si="243"/>
        <v>928.05000000000018</v>
      </c>
    </row>
    <row r="2608" spans="1:13" x14ac:dyDescent="0.25">
      <c r="A2608" s="1">
        <v>45423</v>
      </c>
      <c r="B2608" t="s">
        <v>23</v>
      </c>
      <c r="C2608" t="s">
        <v>11</v>
      </c>
      <c r="D2608" t="s">
        <v>18</v>
      </c>
      <c r="E2608">
        <v>1785.19</v>
      </c>
      <c r="F2608">
        <v>1441.5</v>
      </c>
      <c r="G2608">
        <v>1</v>
      </c>
      <c r="H2608">
        <f t="shared" si="240"/>
        <v>1785.19</v>
      </c>
      <c r="I2608">
        <f t="shared" si="244"/>
        <v>1441.5</v>
      </c>
      <c r="J2608">
        <f t="shared" si="241"/>
        <v>343.69000000000005</v>
      </c>
      <c r="K2608" s="8">
        <f t="shared" si="242"/>
        <v>0.19252292473070096</v>
      </c>
      <c r="L2608" t="str">
        <f t="shared" si="245"/>
        <v>2024-05</v>
      </c>
      <c r="M2608">
        <f t="shared" si="243"/>
        <v>343.69000000000005</v>
      </c>
    </row>
    <row r="2609" spans="1:13" x14ac:dyDescent="0.25">
      <c r="A2609" s="1">
        <v>45498</v>
      </c>
      <c r="B2609" t="s">
        <v>16</v>
      </c>
      <c r="C2609" t="s">
        <v>15</v>
      </c>
      <c r="D2609" t="s">
        <v>13</v>
      </c>
      <c r="E2609">
        <v>1670.49</v>
      </c>
      <c r="F2609">
        <v>1250.8</v>
      </c>
      <c r="G2609">
        <v>4</v>
      </c>
      <c r="H2609">
        <f t="shared" si="240"/>
        <v>6681.96</v>
      </c>
      <c r="I2609">
        <f t="shared" si="244"/>
        <v>5003.2</v>
      </c>
      <c r="J2609">
        <f t="shared" si="241"/>
        <v>1678.7600000000002</v>
      </c>
      <c r="K2609" s="8">
        <f t="shared" si="242"/>
        <v>0.25123766080611082</v>
      </c>
      <c r="L2609" t="str">
        <f t="shared" si="245"/>
        <v>2024-07</v>
      </c>
      <c r="M2609">
        <f t="shared" si="243"/>
        <v>1678.7600000000002</v>
      </c>
    </row>
    <row r="2610" spans="1:13" x14ac:dyDescent="0.25">
      <c r="A2610" s="1">
        <v>45378</v>
      </c>
      <c r="B2610" t="s">
        <v>21</v>
      </c>
      <c r="C2610" t="s">
        <v>20</v>
      </c>
      <c r="D2610" t="s">
        <v>17</v>
      </c>
      <c r="E2610">
        <v>1426.44</v>
      </c>
      <c r="F2610">
        <v>1016.93</v>
      </c>
      <c r="G2610">
        <v>6</v>
      </c>
      <c r="H2610">
        <f t="shared" si="240"/>
        <v>8558.64</v>
      </c>
      <c r="I2610">
        <f t="shared" si="244"/>
        <v>6101.58</v>
      </c>
      <c r="J2610">
        <f t="shared" si="241"/>
        <v>2457.0599999999995</v>
      </c>
      <c r="K2610" s="8">
        <f t="shared" si="242"/>
        <v>0.2870853313143209</v>
      </c>
      <c r="L2610" t="str">
        <f t="shared" si="245"/>
        <v>2024-03</v>
      </c>
      <c r="M2610">
        <f t="shared" si="243"/>
        <v>2457.0599999999995</v>
      </c>
    </row>
    <row r="2611" spans="1:13" x14ac:dyDescent="0.25">
      <c r="A2611" s="1">
        <v>45225</v>
      </c>
      <c r="B2611" t="s">
        <v>21</v>
      </c>
      <c r="C2611" t="s">
        <v>20</v>
      </c>
      <c r="D2611" t="s">
        <v>17</v>
      </c>
      <c r="E2611">
        <v>1273.74</v>
      </c>
      <c r="F2611">
        <v>836.13</v>
      </c>
      <c r="G2611">
        <v>9</v>
      </c>
      <c r="H2611">
        <f t="shared" si="240"/>
        <v>11463.66</v>
      </c>
      <c r="I2611">
        <f t="shared" si="244"/>
        <v>7525.17</v>
      </c>
      <c r="J2611">
        <f t="shared" si="241"/>
        <v>3938.49</v>
      </c>
      <c r="K2611" s="8">
        <f t="shared" si="242"/>
        <v>0.34356305054406705</v>
      </c>
      <c r="L2611" t="str">
        <f t="shared" si="245"/>
        <v>2023-10</v>
      </c>
      <c r="M2611">
        <f t="shared" si="243"/>
        <v>3938.49</v>
      </c>
    </row>
    <row r="2612" spans="1:13" x14ac:dyDescent="0.25">
      <c r="A2612" s="1">
        <v>45163</v>
      </c>
      <c r="B2612" t="s">
        <v>7</v>
      </c>
      <c r="C2612" t="s">
        <v>8</v>
      </c>
      <c r="D2612" t="s">
        <v>17</v>
      </c>
      <c r="E2612">
        <v>1453.66</v>
      </c>
      <c r="F2612">
        <v>1010.38</v>
      </c>
      <c r="G2612">
        <v>10</v>
      </c>
      <c r="H2612">
        <f t="shared" si="240"/>
        <v>14536.6</v>
      </c>
      <c r="I2612">
        <f t="shared" si="244"/>
        <v>10103.799999999999</v>
      </c>
      <c r="J2612">
        <f t="shared" si="241"/>
        <v>4432.8000000000011</v>
      </c>
      <c r="K2612" s="8">
        <f t="shared" si="242"/>
        <v>0.30494063261010146</v>
      </c>
      <c r="L2612" t="str">
        <f t="shared" si="245"/>
        <v>2023-08</v>
      </c>
      <c r="M2612">
        <f t="shared" si="243"/>
        <v>4432.8000000000011</v>
      </c>
    </row>
    <row r="2613" spans="1:13" x14ac:dyDescent="0.25">
      <c r="A2613" s="1">
        <v>44918</v>
      </c>
      <c r="B2613" t="s">
        <v>19</v>
      </c>
      <c r="C2613" t="s">
        <v>20</v>
      </c>
      <c r="D2613" t="s">
        <v>18</v>
      </c>
      <c r="E2613">
        <v>42.7</v>
      </c>
      <c r="F2613">
        <v>37.770000000000003</v>
      </c>
      <c r="G2613">
        <v>5</v>
      </c>
      <c r="H2613">
        <f t="shared" si="240"/>
        <v>213.5</v>
      </c>
      <c r="I2613">
        <f t="shared" si="244"/>
        <v>188.85000000000002</v>
      </c>
      <c r="J2613">
        <f t="shared" si="241"/>
        <v>24.649999999999977</v>
      </c>
      <c r="K2613" s="8">
        <f t="shared" si="242"/>
        <v>0.1154566744730678</v>
      </c>
      <c r="L2613" t="str">
        <f t="shared" si="245"/>
        <v>2022-12</v>
      </c>
      <c r="M2613">
        <f t="shared" si="243"/>
        <v>24.649999999999977</v>
      </c>
    </row>
    <row r="2614" spans="1:13" x14ac:dyDescent="0.25">
      <c r="A2614" s="1">
        <v>45403</v>
      </c>
      <c r="B2614" t="s">
        <v>14</v>
      </c>
      <c r="C2614" t="s">
        <v>15</v>
      </c>
      <c r="D2614" t="s">
        <v>17</v>
      </c>
      <c r="E2614">
        <v>1458.51</v>
      </c>
      <c r="F2614">
        <v>1078.31</v>
      </c>
      <c r="G2614">
        <v>10</v>
      </c>
      <c r="H2614">
        <f t="shared" si="240"/>
        <v>14585.1</v>
      </c>
      <c r="I2614">
        <f t="shared" si="244"/>
        <v>10783.099999999999</v>
      </c>
      <c r="J2614">
        <f t="shared" si="241"/>
        <v>3802.0000000000018</v>
      </c>
      <c r="K2614" s="8">
        <f t="shared" si="242"/>
        <v>0.26067699227293617</v>
      </c>
      <c r="L2614" t="str">
        <f t="shared" si="245"/>
        <v>2024-04</v>
      </c>
      <c r="M2614">
        <f t="shared" si="243"/>
        <v>3802.0000000000018</v>
      </c>
    </row>
    <row r="2615" spans="1:13" x14ac:dyDescent="0.25">
      <c r="A2615" s="1">
        <v>45101</v>
      </c>
      <c r="B2615" t="s">
        <v>10</v>
      </c>
      <c r="C2615" t="s">
        <v>11</v>
      </c>
      <c r="D2615" t="s">
        <v>13</v>
      </c>
      <c r="E2615">
        <v>99.15</v>
      </c>
      <c r="F2615">
        <v>55.85</v>
      </c>
      <c r="G2615">
        <v>5</v>
      </c>
      <c r="H2615">
        <f t="shared" si="240"/>
        <v>495.75</v>
      </c>
      <c r="I2615">
        <f t="shared" si="244"/>
        <v>279.25</v>
      </c>
      <c r="J2615">
        <f t="shared" si="241"/>
        <v>216.5</v>
      </c>
      <c r="K2615" s="8">
        <f t="shared" si="242"/>
        <v>0.4367120524457892</v>
      </c>
      <c r="L2615" t="str">
        <f t="shared" si="245"/>
        <v>2023-06</v>
      </c>
      <c r="M2615">
        <f t="shared" si="243"/>
        <v>216.5</v>
      </c>
    </row>
    <row r="2616" spans="1:13" x14ac:dyDescent="0.25">
      <c r="A2616" s="1">
        <v>45629</v>
      </c>
      <c r="B2616" t="s">
        <v>14</v>
      </c>
      <c r="C2616" t="s">
        <v>15</v>
      </c>
      <c r="D2616" t="s">
        <v>17</v>
      </c>
      <c r="E2616">
        <v>1884.18</v>
      </c>
      <c r="F2616">
        <v>1594</v>
      </c>
      <c r="G2616">
        <v>2</v>
      </c>
      <c r="H2616">
        <f t="shared" si="240"/>
        <v>3768.36</v>
      </c>
      <c r="I2616">
        <f t="shared" si="244"/>
        <v>3188</v>
      </c>
      <c r="J2616">
        <f t="shared" si="241"/>
        <v>580.36000000000013</v>
      </c>
      <c r="K2616" s="8">
        <f t="shared" si="242"/>
        <v>0.15400864036344725</v>
      </c>
      <c r="L2616" t="str">
        <f t="shared" si="245"/>
        <v>2024-12</v>
      </c>
      <c r="M2616">
        <f t="shared" si="243"/>
        <v>580.36000000000013</v>
      </c>
    </row>
    <row r="2617" spans="1:13" x14ac:dyDescent="0.25">
      <c r="A2617" s="1">
        <v>44613</v>
      </c>
      <c r="B2617" t="s">
        <v>19</v>
      </c>
      <c r="C2617" t="s">
        <v>20</v>
      </c>
      <c r="D2617" t="s">
        <v>13</v>
      </c>
      <c r="E2617">
        <v>1625.25</v>
      </c>
      <c r="F2617">
        <v>1015.52</v>
      </c>
      <c r="G2617">
        <v>7</v>
      </c>
      <c r="H2617">
        <f t="shared" si="240"/>
        <v>11376.75</v>
      </c>
      <c r="I2617">
        <f t="shared" si="244"/>
        <v>7108.6399999999994</v>
      </c>
      <c r="J2617">
        <f t="shared" si="241"/>
        <v>4268.1100000000006</v>
      </c>
      <c r="K2617" s="8">
        <f t="shared" si="242"/>
        <v>0.37516074450084608</v>
      </c>
      <c r="L2617" t="str">
        <f t="shared" si="245"/>
        <v>2022-02</v>
      </c>
      <c r="M2617">
        <f t="shared" si="243"/>
        <v>4268.1100000000006</v>
      </c>
    </row>
    <row r="2618" spans="1:13" x14ac:dyDescent="0.25">
      <c r="A2618" s="1">
        <v>45562</v>
      </c>
      <c r="B2618" t="s">
        <v>10</v>
      </c>
      <c r="C2618" t="s">
        <v>11</v>
      </c>
      <c r="D2618" t="s">
        <v>18</v>
      </c>
      <c r="E2618">
        <v>315.06</v>
      </c>
      <c r="F2618">
        <v>195.54</v>
      </c>
      <c r="G2618">
        <v>10</v>
      </c>
      <c r="H2618">
        <f t="shared" si="240"/>
        <v>3150.6</v>
      </c>
      <c r="I2618">
        <f t="shared" si="244"/>
        <v>1955.3999999999999</v>
      </c>
      <c r="J2618">
        <f t="shared" si="241"/>
        <v>1195.2</v>
      </c>
      <c r="K2618" s="8">
        <f t="shared" si="242"/>
        <v>0.37935631308322226</v>
      </c>
      <c r="L2618" t="str">
        <f t="shared" si="245"/>
        <v>2024-09</v>
      </c>
      <c r="M2618">
        <f t="shared" si="243"/>
        <v>1195.2</v>
      </c>
    </row>
    <row r="2619" spans="1:13" x14ac:dyDescent="0.25">
      <c r="A2619" s="1">
        <v>45241</v>
      </c>
      <c r="B2619" t="s">
        <v>10</v>
      </c>
      <c r="C2619" t="s">
        <v>11</v>
      </c>
      <c r="D2619" t="s">
        <v>13</v>
      </c>
      <c r="E2619">
        <v>71.36</v>
      </c>
      <c r="F2619">
        <v>51.28</v>
      </c>
      <c r="G2619">
        <v>10</v>
      </c>
      <c r="H2619">
        <f t="shared" si="240"/>
        <v>713.6</v>
      </c>
      <c r="I2619">
        <f t="shared" si="244"/>
        <v>512.79999999999995</v>
      </c>
      <c r="J2619">
        <f t="shared" si="241"/>
        <v>200.80000000000007</v>
      </c>
      <c r="K2619" s="8">
        <f t="shared" si="242"/>
        <v>0.28139013452914807</v>
      </c>
      <c r="L2619" t="str">
        <f t="shared" si="245"/>
        <v>2023-11</v>
      </c>
      <c r="M2619">
        <f t="shared" si="243"/>
        <v>200.80000000000007</v>
      </c>
    </row>
    <row r="2620" spans="1:13" x14ac:dyDescent="0.25">
      <c r="A2620" s="1">
        <v>45009</v>
      </c>
      <c r="B2620" t="s">
        <v>22</v>
      </c>
      <c r="C2620" t="s">
        <v>8</v>
      </c>
      <c r="D2620" t="s">
        <v>13</v>
      </c>
      <c r="E2620">
        <v>541.54999999999995</v>
      </c>
      <c r="F2620">
        <v>422</v>
      </c>
      <c r="G2620">
        <v>1</v>
      </c>
      <c r="H2620">
        <f t="shared" si="240"/>
        <v>541.54999999999995</v>
      </c>
      <c r="I2620">
        <f t="shared" si="244"/>
        <v>422</v>
      </c>
      <c r="J2620">
        <f t="shared" si="241"/>
        <v>119.54999999999995</v>
      </c>
      <c r="K2620" s="8">
        <f t="shared" si="242"/>
        <v>0.22075523959006549</v>
      </c>
      <c r="L2620" t="str">
        <f t="shared" si="245"/>
        <v>2023-03</v>
      </c>
      <c r="M2620">
        <f t="shared" si="243"/>
        <v>119.54999999999995</v>
      </c>
    </row>
    <row r="2621" spans="1:13" x14ac:dyDescent="0.25">
      <c r="A2621" s="1">
        <v>45281</v>
      </c>
      <c r="B2621" t="s">
        <v>14</v>
      </c>
      <c r="C2621" t="s">
        <v>15</v>
      </c>
      <c r="D2621" t="s">
        <v>17</v>
      </c>
      <c r="E2621">
        <v>980.71</v>
      </c>
      <c r="F2621">
        <v>794.77</v>
      </c>
      <c r="G2621">
        <v>3</v>
      </c>
      <c r="H2621">
        <f t="shared" si="240"/>
        <v>2942.13</v>
      </c>
      <c r="I2621">
        <f t="shared" si="244"/>
        <v>2384.31</v>
      </c>
      <c r="J2621">
        <f t="shared" si="241"/>
        <v>557.82000000000016</v>
      </c>
      <c r="K2621" s="8">
        <f t="shared" si="242"/>
        <v>0.18959733254478903</v>
      </c>
      <c r="L2621" t="str">
        <f t="shared" si="245"/>
        <v>2023-12</v>
      </c>
      <c r="M2621">
        <f t="shared" si="243"/>
        <v>557.82000000000016</v>
      </c>
    </row>
    <row r="2622" spans="1:13" x14ac:dyDescent="0.25">
      <c r="A2622" s="1">
        <v>45441</v>
      </c>
      <c r="B2622" t="s">
        <v>19</v>
      </c>
      <c r="C2622" t="s">
        <v>20</v>
      </c>
      <c r="D2622" t="s">
        <v>13</v>
      </c>
      <c r="E2622">
        <v>257.97000000000003</v>
      </c>
      <c r="F2622">
        <v>160.13</v>
      </c>
      <c r="G2622">
        <v>5</v>
      </c>
      <c r="H2622">
        <f t="shared" si="240"/>
        <v>1289.8500000000001</v>
      </c>
      <c r="I2622">
        <f t="shared" si="244"/>
        <v>800.65</v>
      </c>
      <c r="J2622">
        <f t="shared" si="241"/>
        <v>489.20000000000016</v>
      </c>
      <c r="K2622" s="8">
        <f t="shared" si="242"/>
        <v>0.37926890723727574</v>
      </c>
      <c r="L2622" t="str">
        <f t="shared" si="245"/>
        <v>2024-05</v>
      </c>
      <c r="M2622">
        <f t="shared" si="243"/>
        <v>489.20000000000016</v>
      </c>
    </row>
    <row r="2623" spans="1:13" x14ac:dyDescent="0.25">
      <c r="A2623" s="1">
        <v>45415</v>
      </c>
      <c r="B2623" t="s">
        <v>21</v>
      </c>
      <c r="C2623" t="s">
        <v>20</v>
      </c>
      <c r="D2623" t="s">
        <v>18</v>
      </c>
      <c r="E2623">
        <v>1893.59</v>
      </c>
      <c r="F2623">
        <v>1644.72</v>
      </c>
      <c r="G2623">
        <v>10</v>
      </c>
      <c r="H2623">
        <f t="shared" si="240"/>
        <v>18935.899999999998</v>
      </c>
      <c r="I2623">
        <f t="shared" si="244"/>
        <v>16447.2</v>
      </c>
      <c r="J2623">
        <f t="shared" si="241"/>
        <v>2488.6999999999971</v>
      </c>
      <c r="K2623" s="8">
        <f t="shared" si="242"/>
        <v>0.13142760576471132</v>
      </c>
      <c r="L2623" t="str">
        <f t="shared" si="245"/>
        <v>2024-05</v>
      </c>
      <c r="M2623">
        <f t="shared" si="243"/>
        <v>2488.6999999999971</v>
      </c>
    </row>
    <row r="2624" spans="1:13" x14ac:dyDescent="0.25">
      <c r="A2624" s="1">
        <v>44692</v>
      </c>
      <c r="B2624" t="s">
        <v>14</v>
      </c>
      <c r="C2624" t="s">
        <v>15</v>
      </c>
      <c r="D2624" t="s">
        <v>9</v>
      </c>
      <c r="E2624">
        <v>261.3</v>
      </c>
      <c r="F2624">
        <v>211.03</v>
      </c>
      <c r="G2624">
        <v>9</v>
      </c>
      <c r="H2624">
        <f t="shared" si="240"/>
        <v>2351.7000000000003</v>
      </c>
      <c r="I2624">
        <f t="shared" si="244"/>
        <v>1899.27</v>
      </c>
      <c r="J2624">
        <f t="shared" si="241"/>
        <v>452.43000000000029</v>
      </c>
      <c r="K2624" s="8">
        <f t="shared" si="242"/>
        <v>0.19238423268274024</v>
      </c>
      <c r="L2624" t="str">
        <f t="shared" si="245"/>
        <v>2022-05</v>
      </c>
      <c r="M2624">
        <f t="shared" si="243"/>
        <v>452.43000000000029</v>
      </c>
    </row>
    <row r="2625" spans="1:13" x14ac:dyDescent="0.25">
      <c r="A2625" s="1">
        <v>45280</v>
      </c>
      <c r="B2625" t="s">
        <v>21</v>
      </c>
      <c r="C2625" t="s">
        <v>20</v>
      </c>
      <c r="D2625" t="s">
        <v>17</v>
      </c>
      <c r="E2625">
        <v>1360.1</v>
      </c>
      <c r="F2625">
        <v>728.01</v>
      </c>
      <c r="G2625">
        <v>7</v>
      </c>
      <c r="H2625">
        <f t="shared" si="240"/>
        <v>9520.6999999999989</v>
      </c>
      <c r="I2625">
        <f t="shared" si="244"/>
        <v>5096.07</v>
      </c>
      <c r="J2625">
        <f t="shared" si="241"/>
        <v>4424.6299999999992</v>
      </c>
      <c r="K2625" s="8">
        <f t="shared" si="242"/>
        <v>0.46473788692007939</v>
      </c>
      <c r="L2625" t="str">
        <f t="shared" si="245"/>
        <v>2023-12</v>
      </c>
      <c r="M2625">
        <f t="shared" si="243"/>
        <v>4424.6299999999992</v>
      </c>
    </row>
    <row r="2626" spans="1:13" x14ac:dyDescent="0.25">
      <c r="A2626" s="1">
        <v>44594</v>
      </c>
      <c r="B2626" t="s">
        <v>12</v>
      </c>
      <c r="C2626" t="s">
        <v>8</v>
      </c>
      <c r="D2626" t="s">
        <v>13</v>
      </c>
      <c r="E2626">
        <v>612.46</v>
      </c>
      <c r="F2626">
        <v>396.24</v>
      </c>
      <c r="G2626">
        <v>7</v>
      </c>
      <c r="H2626">
        <f t="shared" si="240"/>
        <v>4287.22</v>
      </c>
      <c r="I2626">
        <f t="shared" si="244"/>
        <v>2773.6800000000003</v>
      </c>
      <c r="J2626">
        <f t="shared" si="241"/>
        <v>1513.54</v>
      </c>
      <c r="K2626" s="8">
        <f t="shared" si="242"/>
        <v>0.35303530026450702</v>
      </c>
      <c r="L2626" t="str">
        <f t="shared" si="245"/>
        <v>2022-02</v>
      </c>
      <c r="M2626">
        <f t="shared" si="243"/>
        <v>1513.54</v>
      </c>
    </row>
    <row r="2627" spans="1:13" x14ac:dyDescent="0.25">
      <c r="A2627" s="1">
        <v>44779</v>
      </c>
      <c r="B2627" t="s">
        <v>19</v>
      </c>
      <c r="C2627" t="s">
        <v>20</v>
      </c>
      <c r="D2627" t="s">
        <v>17</v>
      </c>
      <c r="E2627">
        <v>860.07</v>
      </c>
      <c r="F2627">
        <v>717.89</v>
      </c>
      <c r="G2627">
        <v>9</v>
      </c>
      <c r="H2627">
        <f t="shared" ref="H2627:H2690" si="246">E2627*G2627</f>
        <v>7740.63</v>
      </c>
      <c r="I2627">
        <f t="shared" si="244"/>
        <v>6461.01</v>
      </c>
      <c r="J2627">
        <f t="shared" ref="J2627:J2690" si="247">H2627-I2627</f>
        <v>1279.6199999999999</v>
      </c>
      <c r="K2627" s="8">
        <f t="shared" ref="K2627:K2690" si="248">(H2627-I2627)/H2627</f>
        <v>0.1653121257572058</v>
      </c>
      <c r="L2627" t="str">
        <f t="shared" si="245"/>
        <v>2022-08</v>
      </c>
      <c r="M2627">
        <f t="shared" ref="M2627:M2690" si="249">H2627-I2627</f>
        <v>1279.6199999999999</v>
      </c>
    </row>
    <row r="2628" spans="1:13" x14ac:dyDescent="0.25">
      <c r="A2628" s="1">
        <v>44762</v>
      </c>
      <c r="B2628" t="s">
        <v>21</v>
      </c>
      <c r="C2628" t="s">
        <v>20</v>
      </c>
      <c r="D2628" t="s">
        <v>18</v>
      </c>
      <c r="E2628">
        <v>60.22</v>
      </c>
      <c r="F2628">
        <v>35.200000000000003</v>
      </c>
      <c r="G2628">
        <v>5</v>
      </c>
      <c r="H2628">
        <f t="shared" si="246"/>
        <v>301.10000000000002</v>
      </c>
      <c r="I2628">
        <f t="shared" ref="I2628:I2691" si="250">F2628*G2628</f>
        <v>176</v>
      </c>
      <c r="J2628">
        <f t="shared" si="247"/>
        <v>125.10000000000002</v>
      </c>
      <c r="K2628" s="8">
        <f t="shared" si="248"/>
        <v>0.41547658585187652</v>
      </c>
      <c r="L2628" t="str">
        <f t="shared" ref="L2628:L2691" si="251">TEXT(A2628,"rrrr-mm")</f>
        <v>2022-07</v>
      </c>
      <c r="M2628">
        <f t="shared" si="249"/>
        <v>125.10000000000002</v>
      </c>
    </row>
    <row r="2629" spans="1:13" x14ac:dyDescent="0.25">
      <c r="A2629" s="1">
        <v>45236</v>
      </c>
      <c r="B2629" t="s">
        <v>25</v>
      </c>
      <c r="C2629" t="s">
        <v>15</v>
      </c>
      <c r="D2629" t="s">
        <v>18</v>
      </c>
      <c r="E2629">
        <v>826.91</v>
      </c>
      <c r="F2629">
        <v>649.30999999999995</v>
      </c>
      <c r="G2629">
        <v>5</v>
      </c>
      <c r="H2629">
        <f t="shared" si="246"/>
        <v>4134.55</v>
      </c>
      <c r="I2629">
        <f t="shared" si="250"/>
        <v>3246.5499999999997</v>
      </c>
      <c r="J2629">
        <f t="shared" si="247"/>
        <v>888.00000000000045</v>
      </c>
      <c r="K2629" s="8">
        <f t="shared" si="248"/>
        <v>0.21477548947285688</v>
      </c>
      <c r="L2629" t="str">
        <f t="shared" si="251"/>
        <v>2023-11</v>
      </c>
      <c r="M2629">
        <f t="shared" si="249"/>
        <v>888.00000000000045</v>
      </c>
    </row>
    <row r="2630" spans="1:13" x14ac:dyDescent="0.25">
      <c r="A2630" s="1">
        <v>45057</v>
      </c>
      <c r="B2630" t="s">
        <v>21</v>
      </c>
      <c r="C2630" t="s">
        <v>20</v>
      </c>
      <c r="D2630" t="s">
        <v>17</v>
      </c>
      <c r="E2630">
        <v>1568.31</v>
      </c>
      <c r="F2630">
        <v>982.42</v>
      </c>
      <c r="G2630">
        <v>4</v>
      </c>
      <c r="H2630">
        <f t="shared" si="246"/>
        <v>6273.24</v>
      </c>
      <c r="I2630">
        <f t="shared" si="250"/>
        <v>3929.68</v>
      </c>
      <c r="J2630">
        <f t="shared" si="247"/>
        <v>2343.56</v>
      </c>
      <c r="K2630" s="8">
        <f t="shared" si="248"/>
        <v>0.37358047834930597</v>
      </c>
      <c r="L2630" t="str">
        <f t="shared" si="251"/>
        <v>2023-05</v>
      </c>
      <c r="M2630">
        <f t="shared" si="249"/>
        <v>2343.56</v>
      </c>
    </row>
    <row r="2631" spans="1:13" x14ac:dyDescent="0.25">
      <c r="A2631" s="1">
        <v>45636</v>
      </c>
      <c r="B2631" t="s">
        <v>21</v>
      </c>
      <c r="C2631" t="s">
        <v>20</v>
      </c>
      <c r="D2631" t="s">
        <v>13</v>
      </c>
      <c r="E2631">
        <v>74.11</v>
      </c>
      <c r="F2631">
        <v>47.52</v>
      </c>
      <c r="G2631">
        <v>5</v>
      </c>
      <c r="H2631">
        <f t="shared" si="246"/>
        <v>370.55</v>
      </c>
      <c r="I2631">
        <f t="shared" si="250"/>
        <v>237.60000000000002</v>
      </c>
      <c r="J2631">
        <f t="shared" si="247"/>
        <v>132.94999999999999</v>
      </c>
      <c r="K2631" s="8">
        <f t="shared" si="248"/>
        <v>0.35879098637160972</v>
      </c>
      <c r="L2631" t="str">
        <f t="shared" si="251"/>
        <v>2024-12</v>
      </c>
      <c r="M2631">
        <f t="shared" si="249"/>
        <v>132.94999999999999</v>
      </c>
    </row>
    <row r="2632" spans="1:13" x14ac:dyDescent="0.25">
      <c r="A2632" s="1">
        <v>44967</v>
      </c>
      <c r="B2632" t="s">
        <v>22</v>
      </c>
      <c r="C2632" t="s">
        <v>8</v>
      </c>
      <c r="D2632" t="s">
        <v>18</v>
      </c>
      <c r="E2632">
        <v>717.52</v>
      </c>
      <c r="F2632">
        <v>401.63</v>
      </c>
      <c r="G2632">
        <v>10</v>
      </c>
      <c r="H2632">
        <f t="shared" si="246"/>
        <v>7175.2</v>
      </c>
      <c r="I2632">
        <f t="shared" si="250"/>
        <v>4016.3</v>
      </c>
      <c r="J2632">
        <f t="shared" si="247"/>
        <v>3158.8999999999996</v>
      </c>
      <c r="K2632" s="8">
        <f t="shared" si="248"/>
        <v>0.44025253651466156</v>
      </c>
      <c r="L2632" t="str">
        <f t="shared" si="251"/>
        <v>2023-02</v>
      </c>
      <c r="M2632">
        <f t="shared" si="249"/>
        <v>3158.8999999999996</v>
      </c>
    </row>
    <row r="2633" spans="1:13" x14ac:dyDescent="0.25">
      <c r="A2633" s="1">
        <v>45403</v>
      </c>
      <c r="B2633" t="s">
        <v>22</v>
      </c>
      <c r="C2633" t="s">
        <v>8</v>
      </c>
      <c r="D2633" t="s">
        <v>9</v>
      </c>
      <c r="E2633">
        <v>535.98</v>
      </c>
      <c r="F2633">
        <v>357.18</v>
      </c>
      <c r="G2633">
        <v>5</v>
      </c>
      <c r="H2633">
        <f t="shared" si="246"/>
        <v>2679.9</v>
      </c>
      <c r="I2633">
        <f t="shared" si="250"/>
        <v>1785.9</v>
      </c>
      <c r="J2633">
        <f t="shared" si="247"/>
        <v>894</v>
      </c>
      <c r="K2633" s="8">
        <f t="shared" si="248"/>
        <v>0.33359453710959364</v>
      </c>
      <c r="L2633" t="str">
        <f t="shared" si="251"/>
        <v>2024-04</v>
      </c>
      <c r="M2633">
        <f t="shared" si="249"/>
        <v>894</v>
      </c>
    </row>
    <row r="2634" spans="1:13" x14ac:dyDescent="0.25">
      <c r="A2634" s="1">
        <v>45453</v>
      </c>
      <c r="B2634" t="s">
        <v>12</v>
      </c>
      <c r="C2634" t="s">
        <v>8</v>
      </c>
      <c r="D2634" t="s">
        <v>9</v>
      </c>
      <c r="E2634">
        <v>1436.84</v>
      </c>
      <c r="F2634">
        <v>1099.76</v>
      </c>
      <c r="G2634">
        <v>7</v>
      </c>
      <c r="H2634">
        <f t="shared" si="246"/>
        <v>10057.879999999999</v>
      </c>
      <c r="I2634">
        <f t="shared" si="250"/>
        <v>7698.32</v>
      </c>
      <c r="J2634">
        <f t="shared" si="247"/>
        <v>2359.5599999999995</v>
      </c>
      <c r="K2634" s="8">
        <f t="shared" si="248"/>
        <v>0.23459814593134931</v>
      </c>
      <c r="L2634" t="str">
        <f t="shared" si="251"/>
        <v>2024-06</v>
      </c>
      <c r="M2634">
        <f t="shared" si="249"/>
        <v>2359.5599999999995</v>
      </c>
    </row>
    <row r="2635" spans="1:13" x14ac:dyDescent="0.25">
      <c r="A2635" s="1">
        <v>45044</v>
      </c>
      <c r="B2635" t="s">
        <v>10</v>
      </c>
      <c r="C2635" t="s">
        <v>11</v>
      </c>
      <c r="D2635" t="s">
        <v>18</v>
      </c>
      <c r="E2635">
        <v>1671.9</v>
      </c>
      <c r="F2635">
        <v>1083.9000000000001</v>
      </c>
      <c r="G2635">
        <v>10</v>
      </c>
      <c r="H2635">
        <f t="shared" si="246"/>
        <v>16719</v>
      </c>
      <c r="I2635">
        <f t="shared" si="250"/>
        <v>10839</v>
      </c>
      <c r="J2635">
        <f t="shared" si="247"/>
        <v>5880</v>
      </c>
      <c r="K2635" s="8">
        <f t="shared" si="248"/>
        <v>0.35169567557868292</v>
      </c>
      <c r="L2635" t="str">
        <f t="shared" si="251"/>
        <v>2023-04</v>
      </c>
      <c r="M2635">
        <f t="shared" si="249"/>
        <v>5880</v>
      </c>
    </row>
    <row r="2636" spans="1:13" x14ac:dyDescent="0.25">
      <c r="A2636" s="1">
        <v>45513</v>
      </c>
      <c r="B2636" t="s">
        <v>7</v>
      </c>
      <c r="C2636" t="s">
        <v>8</v>
      </c>
      <c r="D2636" t="s">
        <v>9</v>
      </c>
      <c r="E2636">
        <v>1612.94</v>
      </c>
      <c r="F2636">
        <v>1138.02</v>
      </c>
      <c r="G2636">
        <v>5</v>
      </c>
      <c r="H2636">
        <f t="shared" si="246"/>
        <v>8064.7000000000007</v>
      </c>
      <c r="I2636">
        <f t="shared" si="250"/>
        <v>5690.1</v>
      </c>
      <c r="J2636">
        <f t="shared" si="247"/>
        <v>2374.6000000000004</v>
      </c>
      <c r="K2636" s="8">
        <f t="shared" si="248"/>
        <v>0.29444368668394361</v>
      </c>
      <c r="L2636" t="str">
        <f t="shared" si="251"/>
        <v>2024-08</v>
      </c>
      <c r="M2636">
        <f t="shared" si="249"/>
        <v>2374.6000000000004</v>
      </c>
    </row>
    <row r="2637" spans="1:13" x14ac:dyDescent="0.25">
      <c r="A2637" s="1">
        <v>44588</v>
      </c>
      <c r="B2637" t="s">
        <v>23</v>
      </c>
      <c r="C2637" t="s">
        <v>11</v>
      </c>
      <c r="D2637" t="s">
        <v>17</v>
      </c>
      <c r="E2637">
        <v>1258.77</v>
      </c>
      <c r="F2637">
        <v>880.93</v>
      </c>
      <c r="G2637">
        <v>4</v>
      </c>
      <c r="H2637">
        <f t="shared" si="246"/>
        <v>5035.08</v>
      </c>
      <c r="I2637">
        <f t="shared" si="250"/>
        <v>3523.72</v>
      </c>
      <c r="J2637">
        <f t="shared" si="247"/>
        <v>1511.3600000000001</v>
      </c>
      <c r="K2637" s="8">
        <f t="shared" si="248"/>
        <v>0.30016603509775419</v>
      </c>
      <c r="L2637" t="str">
        <f t="shared" si="251"/>
        <v>2022-01</v>
      </c>
      <c r="M2637">
        <f t="shared" si="249"/>
        <v>1511.3600000000001</v>
      </c>
    </row>
    <row r="2638" spans="1:13" x14ac:dyDescent="0.25">
      <c r="A2638" s="1">
        <v>45202</v>
      </c>
      <c r="B2638" t="s">
        <v>19</v>
      </c>
      <c r="C2638" t="s">
        <v>20</v>
      </c>
      <c r="D2638" t="s">
        <v>17</v>
      </c>
      <c r="E2638">
        <v>1814.53</v>
      </c>
      <c r="F2638">
        <v>1128.3499999999999</v>
      </c>
      <c r="G2638">
        <v>3</v>
      </c>
      <c r="H2638">
        <f t="shared" si="246"/>
        <v>5443.59</v>
      </c>
      <c r="I2638">
        <f t="shared" si="250"/>
        <v>3385.0499999999997</v>
      </c>
      <c r="J2638">
        <f t="shared" si="247"/>
        <v>2058.5400000000004</v>
      </c>
      <c r="K2638" s="8">
        <f t="shared" si="248"/>
        <v>0.37815853141033773</v>
      </c>
      <c r="L2638" t="str">
        <f t="shared" si="251"/>
        <v>2023-10</v>
      </c>
      <c r="M2638">
        <f t="shared" si="249"/>
        <v>2058.5400000000004</v>
      </c>
    </row>
    <row r="2639" spans="1:13" x14ac:dyDescent="0.25">
      <c r="A2639" s="1">
        <v>45163</v>
      </c>
      <c r="B2639" t="s">
        <v>10</v>
      </c>
      <c r="C2639" t="s">
        <v>11</v>
      </c>
      <c r="D2639" t="s">
        <v>18</v>
      </c>
      <c r="E2639">
        <v>669.52</v>
      </c>
      <c r="F2639">
        <v>596.59</v>
      </c>
      <c r="G2639">
        <v>7</v>
      </c>
      <c r="H2639">
        <f t="shared" si="246"/>
        <v>4686.6399999999994</v>
      </c>
      <c r="I2639">
        <f t="shared" si="250"/>
        <v>4176.13</v>
      </c>
      <c r="J2639">
        <f t="shared" si="247"/>
        <v>510.50999999999931</v>
      </c>
      <c r="K2639" s="8">
        <f t="shared" si="248"/>
        <v>0.10892878480105136</v>
      </c>
      <c r="L2639" t="str">
        <f t="shared" si="251"/>
        <v>2023-08</v>
      </c>
      <c r="M2639">
        <f t="shared" si="249"/>
        <v>510.50999999999931</v>
      </c>
    </row>
    <row r="2640" spans="1:13" x14ac:dyDescent="0.25">
      <c r="A2640" s="1">
        <v>44724</v>
      </c>
      <c r="B2640" t="s">
        <v>19</v>
      </c>
      <c r="C2640" t="s">
        <v>20</v>
      </c>
      <c r="D2640" t="s">
        <v>18</v>
      </c>
      <c r="E2640">
        <v>1289.3900000000001</v>
      </c>
      <c r="F2640">
        <v>863.14</v>
      </c>
      <c r="G2640">
        <v>2</v>
      </c>
      <c r="H2640">
        <f t="shared" si="246"/>
        <v>2578.7800000000002</v>
      </c>
      <c r="I2640">
        <f t="shared" si="250"/>
        <v>1726.28</v>
      </c>
      <c r="J2640">
        <f t="shared" si="247"/>
        <v>852.50000000000023</v>
      </c>
      <c r="K2640" s="8">
        <f t="shared" si="248"/>
        <v>0.33058267863098062</v>
      </c>
      <c r="L2640" t="str">
        <f t="shared" si="251"/>
        <v>2022-06</v>
      </c>
      <c r="M2640">
        <f t="shared" si="249"/>
        <v>852.50000000000023</v>
      </c>
    </row>
    <row r="2641" spans="1:13" x14ac:dyDescent="0.25">
      <c r="A2641" s="1">
        <v>45532</v>
      </c>
      <c r="B2641" t="s">
        <v>19</v>
      </c>
      <c r="C2641" t="s">
        <v>20</v>
      </c>
      <c r="D2641" t="s">
        <v>9</v>
      </c>
      <c r="E2641">
        <v>1578.54</v>
      </c>
      <c r="F2641">
        <v>877.17</v>
      </c>
      <c r="G2641">
        <v>10</v>
      </c>
      <c r="H2641">
        <f t="shared" si="246"/>
        <v>15785.4</v>
      </c>
      <c r="I2641">
        <f t="shared" si="250"/>
        <v>8771.6999999999989</v>
      </c>
      <c r="J2641">
        <f t="shared" si="247"/>
        <v>7013.7000000000007</v>
      </c>
      <c r="K2641" s="8">
        <f t="shared" si="248"/>
        <v>0.44431563343342589</v>
      </c>
      <c r="L2641" t="str">
        <f t="shared" si="251"/>
        <v>2024-08</v>
      </c>
      <c r="M2641">
        <f t="shared" si="249"/>
        <v>7013.7000000000007</v>
      </c>
    </row>
    <row r="2642" spans="1:13" x14ac:dyDescent="0.25">
      <c r="A2642" s="1">
        <v>45356</v>
      </c>
      <c r="B2642" t="s">
        <v>21</v>
      </c>
      <c r="C2642" t="s">
        <v>20</v>
      </c>
      <c r="D2642" t="s">
        <v>18</v>
      </c>
      <c r="E2642">
        <v>1744.56</v>
      </c>
      <c r="F2642">
        <v>989.63</v>
      </c>
      <c r="G2642">
        <v>3</v>
      </c>
      <c r="H2642">
        <f t="shared" si="246"/>
        <v>5233.68</v>
      </c>
      <c r="I2642">
        <f t="shared" si="250"/>
        <v>2968.89</v>
      </c>
      <c r="J2642">
        <f t="shared" si="247"/>
        <v>2264.7900000000004</v>
      </c>
      <c r="K2642" s="8">
        <f t="shared" si="248"/>
        <v>0.43273375521621504</v>
      </c>
      <c r="L2642" t="str">
        <f t="shared" si="251"/>
        <v>2024-03</v>
      </c>
      <c r="M2642">
        <f t="shared" si="249"/>
        <v>2264.7900000000004</v>
      </c>
    </row>
    <row r="2643" spans="1:13" x14ac:dyDescent="0.25">
      <c r="A2643" s="1">
        <v>44787</v>
      </c>
      <c r="B2643" t="s">
        <v>14</v>
      </c>
      <c r="C2643" t="s">
        <v>15</v>
      </c>
      <c r="D2643" t="s">
        <v>18</v>
      </c>
      <c r="E2643">
        <v>624.79</v>
      </c>
      <c r="F2643">
        <v>454.3</v>
      </c>
      <c r="G2643">
        <v>8</v>
      </c>
      <c r="H2643">
        <f t="shared" si="246"/>
        <v>4998.32</v>
      </c>
      <c r="I2643">
        <f t="shared" si="250"/>
        <v>3634.4</v>
      </c>
      <c r="J2643">
        <f t="shared" si="247"/>
        <v>1363.9199999999996</v>
      </c>
      <c r="K2643" s="8">
        <f t="shared" si="248"/>
        <v>0.2728756862305734</v>
      </c>
      <c r="L2643" t="str">
        <f t="shared" si="251"/>
        <v>2022-08</v>
      </c>
      <c r="M2643">
        <f t="shared" si="249"/>
        <v>1363.9199999999996</v>
      </c>
    </row>
    <row r="2644" spans="1:13" x14ac:dyDescent="0.25">
      <c r="A2644" s="1">
        <v>45407</v>
      </c>
      <c r="B2644" t="s">
        <v>19</v>
      </c>
      <c r="C2644" t="s">
        <v>20</v>
      </c>
      <c r="D2644" t="s">
        <v>9</v>
      </c>
      <c r="E2644">
        <v>1206.8800000000001</v>
      </c>
      <c r="F2644">
        <v>690.65</v>
      </c>
      <c r="G2644">
        <v>8</v>
      </c>
      <c r="H2644">
        <f t="shared" si="246"/>
        <v>9655.0400000000009</v>
      </c>
      <c r="I2644">
        <f t="shared" si="250"/>
        <v>5525.2</v>
      </c>
      <c r="J2644">
        <f t="shared" si="247"/>
        <v>4129.8400000000011</v>
      </c>
      <c r="K2644" s="8">
        <f t="shared" si="248"/>
        <v>0.42773929471032751</v>
      </c>
      <c r="L2644" t="str">
        <f t="shared" si="251"/>
        <v>2024-04</v>
      </c>
      <c r="M2644">
        <f t="shared" si="249"/>
        <v>4129.8400000000011</v>
      </c>
    </row>
    <row r="2645" spans="1:13" x14ac:dyDescent="0.25">
      <c r="A2645" s="1">
        <v>45169</v>
      </c>
      <c r="B2645" t="s">
        <v>16</v>
      </c>
      <c r="C2645" t="s">
        <v>15</v>
      </c>
      <c r="D2645" t="s">
        <v>18</v>
      </c>
      <c r="E2645">
        <v>547.26</v>
      </c>
      <c r="F2645">
        <v>302.07</v>
      </c>
      <c r="G2645">
        <v>9</v>
      </c>
      <c r="H2645">
        <f t="shared" si="246"/>
        <v>4925.34</v>
      </c>
      <c r="I2645">
        <f t="shared" si="250"/>
        <v>2718.63</v>
      </c>
      <c r="J2645">
        <f t="shared" si="247"/>
        <v>2206.71</v>
      </c>
      <c r="K2645" s="8">
        <f t="shared" si="248"/>
        <v>0.44803201403354892</v>
      </c>
      <c r="L2645" t="str">
        <f t="shared" si="251"/>
        <v>2023-08</v>
      </c>
      <c r="M2645">
        <f t="shared" si="249"/>
        <v>2206.71</v>
      </c>
    </row>
    <row r="2646" spans="1:13" x14ac:dyDescent="0.25">
      <c r="A2646" s="1">
        <v>44890</v>
      </c>
      <c r="B2646" t="s">
        <v>24</v>
      </c>
      <c r="C2646" t="s">
        <v>20</v>
      </c>
      <c r="D2646" t="s">
        <v>9</v>
      </c>
      <c r="E2646">
        <v>1291.73</v>
      </c>
      <c r="F2646">
        <v>1109.56</v>
      </c>
      <c r="G2646">
        <v>9</v>
      </c>
      <c r="H2646">
        <f t="shared" si="246"/>
        <v>11625.57</v>
      </c>
      <c r="I2646">
        <f t="shared" si="250"/>
        <v>9986.0399999999991</v>
      </c>
      <c r="J2646">
        <f t="shared" si="247"/>
        <v>1639.5300000000007</v>
      </c>
      <c r="K2646" s="8">
        <f t="shared" si="248"/>
        <v>0.14102792379212381</v>
      </c>
      <c r="L2646" t="str">
        <f t="shared" si="251"/>
        <v>2022-11</v>
      </c>
      <c r="M2646">
        <f t="shared" si="249"/>
        <v>1639.5300000000007</v>
      </c>
    </row>
    <row r="2647" spans="1:13" x14ac:dyDescent="0.25">
      <c r="A2647" s="1">
        <v>44761</v>
      </c>
      <c r="B2647" t="s">
        <v>25</v>
      </c>
      <c r="C2647" t="s">
        <v>15</v>
      </c>
      <c r="D2647" t="s">
        <v>9</v>
      </c>
      <c r="E2647">
        <v>1838.67</v>
      </c>
      <c r="F2647">
        <v>1443.28</v>
      </c>
      <c r="G2647">
        <v>8</v>
      </c>
      <c r="H2647">
        <f t="shared" si="246"/>
        <v>14709.36</v>
      </c>
      <c r="I2647">
        <f t="shared" si="250"/>
        <v>11546.24</v>
      </c>
      <c r="J2647">
        <f t="shared" si="247"/>
        <v>3163.1200000000008</v>
      </c>
      <c r="K2647" s="8">
        <f t="shared" si="248"/>
        <v>0.21504130703171317</v>
      </c>
      <c r="L2647" t="str">
        <f t="shared" si="251"/>
        <v>2022-07</v>
      </c>
      <c r="M2647">
        <f t="shared" si="249"/>
        <v>3163.1200000000008</v>
      </c>
    </row>
    <row r="2648" spans="1:13" x14ac:dyDescent="0.25">
      <c r="A2648" s="1">
        <v>44615</v>
      </c>
      <c r="B2648" t="s">
        <v>25</v>
      </c>
      <c r="C2648" t="s">
        <v>15</v>
      </c>
      <c r="D2648" t="s">
        <v>17</v>
      </c>
      <c r="E2648">
        <v>1480.05</v>
      </c>
      <c r="F2648">
        <v>755.08</v>
      </c>
      <c r="G2648">
        <v>1</v>
      </c>
      <c r="H2648">
        <f t="shared" si="246"/>
        <v>1480.05</v>
      </c>
      <c r="I2648">
        <f t="shared" si="250"/>
        <v>755.08</v>
      </c>
      <c r="J2648">
        <f t="shared" si="247"/>
        <v>724.96999999999991</v>
      </c>
      <c r="K2648" s="8">
        <f t="shared" si="248"/>
        <v>0.48982804634978544</v>
      </c>
      <c r="L2648" t="str">
        <f t="shared" si="251"/>
        <v>2022-02</v>
      </c>
      <c r="M2648">
        <f t="shared" si="249"/>
        <v>724.96999999999991</v>
      </c>
    </row>
    <row r="2649" spans="1:13" x14ac:dyDescent="0.25">
      <c r="A2649" s="1">
        <v>45620</v>
      </c>
      <c r="B2649" t="s">
        <v>22</v>
      </c>
      <c r="C2649" t="s">
        <v>8</v>
      </c>
      <c r="D2649" t="s">
        <v>18</v>
      </c>
      <c r="E2649">
        <v>557.17999999999995</v>
      </c>
      <c r="F2649">
        <v>401.8</v>
      </c>
      <c r="G2649">
        <v>2</v>
      </c>
      <c r="H2649">
        <f t="shared" si="246"/>
        <v>1114.3599999999999</v>
      </c>
      <c r="I2649">
        <f t="shared" si="250"/>
        <v>803.6</v>
      </c>
      <c r="J2649">
        <f t="shared" si="247"/>
        <v>310.75999999999988</v>
      </c>
      <c r="K2649" s="8">
        <f t="shared" si="248"/>
        <v>0.27886858824796285</v>
      </c>
      <c r="L2649" t="str">
        <f t="shared" si="251"/>
        <v>2024-11</v>
      </c>
      <c r="M2649">
        <f t="shared" si="249"/>
        <v>310.75999999999988</v>
      </c>
    </row>
    <row r="2650" spans="1:13" x14ac:dyDescent="0.25">
      <c r="A2650" s="1">
        <v>45295</v>
      </c>
      <c r="B2650" t="s">
        <v>10</v>
      </c>
      <c r="C2650" t="s">
        <v>11</v>
      </c>
      <c r="D2650" t="s">
        <v>13</v>
      </c>
      <c r="E2650">
        <v>1199.32</v>
      </c>
      <c r="F2650">
        <v>718.96</v>
      </c>
      <c r="G2650">
        <v>9</v>
      </c>
      <c r="H2650">
        <f t="shared" si="246"/>
        <v>10793.88</v>
      </c>
      <c r="I2650">
        <f t="shared" si="250"/>
        <v>6470.64</v>
      </c>
      <c r="J2650">
        <f t="shared" si="247"/>
        <v>4323.2399999999989</v>
      </c>
      <c r="K2650" s="8">
        <f t="shared" si="248"/>
        <v>0.40052696528032544</v>
      </c>
      <c r="L2650" t="str">
        <f t="shared" si="251"/>
        <v>2024-01</v>
      </c>
      <c r="M2650">
        <f t="shared" si="249"/>
        <v>4323.2399999999989</v>
      </c>
    </row>
    <row r="2651" spans="1:13" x14ac:dyDescent="0.25">
      <c r="A2651" s="1">
        <v>45485</v>
      </c>
      <c r="B2651" t="s">
        <v>22</v>
      </c>
      <c r="C2651" t="s">
        <v>8</v>
      </c>
      <c r="D2651" t="s">
        <v>18</v>
      </c>
      <c r="E2651">
        <v>1876.14</v>
      </c>
      <c r="F2651">
        <v>1163.55</v>
      </c>
      <c r="G2651">
        <v>6</v>
      </c>
      <c r="H2651">
        <f t="shared" si="246"/>
        <v>11256.84</v>
      </c>
      <c r="I2651">
        <f t="shared" si="250"/>
        <v>6981.2999999999993</v>
      </c>
      <c r="J2651">
        <f t="shared" si="247"/>
        <v>4275.5400000000009</v>
      </c>
      <c r="K2651" s="8">
        <f t="shared" si="248"/>
        <v>0.37981707122069791</v>
      </c>
      <c r="L2651" t="str">
        <f t="shared" si="251"/>
        <v>2024-07</v>
      </c>
      <c r="M2651">
        <f t="shared" si="249"/>
        <v>4275.5400000000009</v>
      </c>
    </row>
    <row r="2652" spans="1:13" x14ac:dyDescent="0.25">
      <c r="A2652" s="1">
        <v>45258</v>
      </c>
      <c r="B2652" t="s">
        <v>7</v>
      </c>
      <c r="C2652" t="s">
        <v>8</v>
      </c>
      <c r="D2652" t="s">
        <v>9</v>
      </c>
      <c r="E2652">
        <v>629.46</v>
      </c>
      <c r="F2652">
        <v>516.69000000000005</v>
      </c>
      <c r="G2652">
        <v>10</v>
      </c>
      <c r="H2652">
        <f t="shared" si="246"/>
        <v>6294.6</v>
      </c>
      <c r="I2652">
        <f t="shared" si="250"/>
        <v>5166.9000000000005</v>
      </c>
      <c r="J2652">
        <f t="shared" si="247"/>
        <v>1127.6999999999998</v>
      </c>
      <c r="K2652" s="8">
        <f t="shared" si="248"/>
        <v>0.17915356019445236</v>
      </c>
      <c r="L2652" t="str">
        <f t="shared" si="251"/>
        <v>2023-11</v>
      </c>
      <c r="M2652">
        <f t="shared" si="249"/>
        <v>1127.6999999999998</v>
      </c>
    </row>
    <row r="2653" spans="1:13" x14ac:dyDescent="0.25">
      <c r="A2653" s="1">
        <v>44610</v>
      </c>
      <c r="B2653" t="s">
        <v>14</v>
      </c>
      <c r="C2653" t="s">
        <v>15</v>
      </c>
      <c r="D2653" t="s">
        <v>13</v>
      </c>
      <c r="E2653">
        <v>1993.51</v>
      </c>
      <c r="F2653">
        <v>1426.48</v>
      </c>
      <c r="G2653">
        <v>5</v>
      </c>
      <c r="H2653">
        <f t="shared" si="246"/>
        <v>9967.5499999999993</v>
      </c>
      <c r="I2653">
        <f t="shared" si="250"/>
        <v>7132.4</v>
      </c>
      <c r="J2653">
        <f t="shared" si="247"/>
        <v>2835.1499999999996</v>
      </c>
      <c r="K2653" s="8">
        <f t="shared" si="248"/>
        <v>0.28443800131426478</v>
      </c>
      <c r="L2653" t="str">
        <f t="shared" si="251"/>
        <v>2022-02</v>
      </c>
      <c r="M2653">
        <f t="shared" si="249"/>
        <v>2835.1499999999996</v>
      </c>
    </row>
    <row r="2654" spans="1:13" x14ac:dyDescent="0.25">
      <c r="A2654" s="1">
        <v>45402</v>
      </c>
      <c r="B2654" t="s">
        <v>10</v>
      </c>
      <c r="C2654" t="s">
        <v>11</v>
      </c>
      <c r="D2654" t="s">
        <v>18</v>
      </c>
      <c r="E2654">
        <v>514.76</v>
      </c>
      <c r="F2654">
        <v>443.44</v>
      </c>
      <c r="G2654">
        <v>5</v>
      </c>
      <c r="H2654">
        <f t="shared" si="246"/>
        <v>2573.8000000000002</v>
      </c>
      <c r="I2654">
        <f t="shared" si="250"/>
        <v>2217.1999999999998</v>
      </c>
      <c r="J2654">
        <f t="shared" si="247"/>
        <v>356.60000000000036</v>
      </c>
      <c r="K2654" s="8">
        <f t="shared" si="248"/>
        <v>0.13855000388530592</v>
      </c>
      <c r="L2654" t="str">
        <f t="shared" si="251"/>
        <v>2024-04</v>
      </c>
      <c r="M2654">
        <f t="shared" si="249"/>
        <v>356.60000000000036</v>
      </c>
    </row>
    <row r="2655" spans="1:13" x14ac:dyDescent="0.25">
      <c r="A2655" s="1">
        <v>45385</v>
      </c>
      <c r="B2655" t="s">
        <v>16</v>
      </c>
      <c r="C2655" t="s">
        <v>15</v>
      </c>
      <c r="D2655" t="s">
        <v>17</v>
      </c>
      <c r="E2655">
        <v>938.65</v>
      </c>
      <c r="F2655">
        <v>547.75</v>
      </c>
      <c r="G2655">
        <v>2</v>
      </c>
      <c r="H2655">
        <f t="shared" si="246"/>
        <v>1877.3</v>
      </c>
      <c r="I2655">
        <f t="shared" si="250"/>
        <v>1095.5</v>
      </c>
      <c r="J2655">
        <f t="shared" si="247"/>
        <v>781.8</v>
      </c>
      <c r="K2655" s="8">
        <f t="shared" si="248"/>
        <v>0.41644915570233842</v>
      </c>
      <c r="L2655" t="str">
        <f t="shared" si="251"/>
        <v>2024-04</v>
      </c>
      <c r="M2655">
        <f t="shared" si="249"/>
        <v>781.8</v>
      </c>
    </row>
    <row r="2656" spans="1:13" x14ac:dyDescent="0.25">
      <c r="A2656" s="1">
        <v>45199</v>
      </c>
      <c r="B2656" t="s">
        <v>12</v>
      </c>
      <c r="C2656" t="s">
        <v>8</v>
      </c>
      <c r="D2656" t="s">
        <v>18</v>
      </c>
      <c r="E2656">
        <v>834.65</v>
      </c>
      <c r="F2656">
        <v>494.23</v>
      </c>
      <c r="G2656">
        <v>2</v>
      </c>
      <c r="H2656">
        <f t="shared" si="246"/>
        <v>1669.3</v>
      </c>
      <c r="I2656">
        <f t="shared" si="250"/>
        <v>988.46</v>
      </c>
      <c r="J2656">
        <f t="shared" si="247"/>
        <v>680.83999999999992</v>
      </c>
      <c r="K2656" s="8">
        <f t="shared" si="248"/>
        <v>0.40785958186066013</v>
      </c>
      <c r="L2656" t="str">
        <f t="shared" si="251"/>
        <v>2023-09</v>
      </c>
      <c r="M2656">
        <f t="shared" si="249"/>
        <v>680.83999999999992</v>
      </c>
    </row>
    <row r="2657" spans="1:13" x14ac:dyDescent="0.25">
      <c r="A2657" s="1">
        <v>45285</v>
      </c>
      <c r="B2657" t="s">
        <v>14</v>
      </c>
      <c r="C2657" t="s">
        <v>15</v>
      </c>
      <c r="D2657" t="s">
        <v>18</v>
      </c>
      <c r="E2657">
        <v>812</v>
      </c>
      <c r="F2657">
        <v>478.44</v>
      </c>
      <c r="G2657">
        <v>4</v>
      </c>
      <c r="H2657">
        <f t="shared" si="246"/>
        <v>3248</v>
      </c>
      <c r="I2657">
        <f t="shared" si="250"/>
        <v>1913.76</v>
      </c>
      <c r="J2657">
        <f t="shared" si="247"/>
        <v>1334.24</v>
      </c>
      <c r="K2657" s="8">
        <f t="shared" si="248"/>
        <v>0.41078817733990147</v>
      </c>
      <c r="L2657" t="str">
        <f t="shared" si="251"/>
        <v>2023-12</v>
      </c>
      <c r="M2657">
        <f t="shared" si="249"/>
        <v>1334.24</v>
      </c>
    </row>
    <row r="2658" spans="1:13" x14ac:dyDescent="0.25">
      <c r="A2658" s="1">
        <v>44766</v>
      </c>
      <c r="B2658" t="s">
        <v>10</v>
      </c>
      <c r="C2658" t="s">
        <v>11</v>
      </c>
      <c r="D2658" t="s">
        <v>9</v>
      </c>
      <c r="E2658">
        <v>1674.34</v>
      </c>
      <c r="F2658">
        <v>877.07</v>
      </c>
      <c r="G2658">
        <v>10</v>
      </c>
      <c r="H2658">
        <f t="shared" si="246"/>
        <v>16743.399999999998</v>
      </c>
      <c r="I2658">
        <f t="shared" si="250"/>
        <v>8770.7000000000007</v>
      </c>
      <c r="J2658">
        <f t="shared" si="247"/>
        <v>7972.6999999999971</v>
      </c>
      <c r="K2658" s="8">
        <f t="shared" si="248"/>
        <v>0.47616971463382574</v>
      </c>
      <c r="L2658" t="str">
        <f t="shared" si="251"/>
        <v>2022-07</v>
      </c>
      <c r="M2658">
        <f t="shared" si="249"/>
        <v>7972.6999999999971</v>
      </c>
    </row>
    <row r="2659" spans="1:13" x14ac:dyDescent="0.25">
      <c r="A2659" s="1">
        <v>45629</v>
      </c>
      <c r="B2659" t="s">
        <v>21</v>
      </c>
      <c r="C2659" t="s">
        <v>20</v>
      </c>
      <c r="D2659" t="s">
        <v>13</v>
      </c>
      <c r="E2659">
        <v>198.9</v>
      </c>
      <c r="F2659">
        <v>112.08</v>
      </c>
      <c r="G2659">
        <v>7</v>
      </c>
      <c r="H2659">
        <f t="shared" si="246"/>
        <v>1392.3</v>
      </c>
      <c r="I2659">
        <f t="shared" si="250"/>
        <v>784.56</v>
      </c>
      <c r="J2659">
        <f t="shared" si="247"/>
        <v>607.74</v>
      </c>
      <c r="K2659" s="8">
        <f t="shared" si="248"/>
        <v>0.43650075414781297</v>
      </c>
      <c r="L2659" t="str">
        <f t="shared" si="251"/>
        <v>2024-12</v>
      </c>
      <c r="M2659">
        <f t="shared" si="249"/>
        <v>607.74</v>
      </c>
    </row>
    <row r="2660" spans="1:13" x14ac:dyDescent="0.25">
      <c r="A2660" s="1">
        <v>45306</v>
      </c>
      <c r="B2660" t="s">
        <v>22</v>
      </c>
      <c r="C2660" t="s">
        <v>8</v>
      </c>
      <c r="D2660" t="s">
        <v>18</v>
      </c>
      <c r="E2660">
        <v>49.82</v>
      </c>
      <c r="F2660">
        <v>31.12</v>
      </c>
      <c r="G2660">
        <v>1</v>
      </c>
      <c r="H2660">
        <f t="shared" si="246"/>
        <v>49.82</v>
      </c>
      <c r="I2660">
        <f t="shared" si="250"/>
        <v>31.12</v>
      </c>
      <c r="J2660">
        <f t="shared" si="247"/>
        <v>18.7</v>
      </c>
      <c r="K2660" s="8">
        <f t="shared" si="248"/>
        <v>0.3753512645523886</v>
      </c>
      <c r="L2660" t="str">
        <f t="shared" si="251"/>
        <v>2024-01</v>
      </c>
      <c r="M2660">
        <f t="shared" si="249"/>
        <v>18.7</v>
      </c>
    </row>
    <row r="2661" spans="1:13" x14ac:dyDescent="0.25">
      <c r="A2661" s="1">
        <v>44906</v>
      </c>
      <c r="B2661" t="s">
        <v>19</v>
      </c>
      <c r="C2661" t="s">
        <v>20</v>
      </c>
      <c r="D2661" t="s">
        <v>9</v>
      </c>
      <c r="E2661">
        <v>800.01</v>
      </c>
      <c r="F2661">
        <v>553.85</v>
      </c>
      <c r="G2661">
        <v>2</v>
      </c>
      <c r="H2661">
        <f t="shared" si="246"/>
        <v>1600.02</v>
      </c>
      <c r="I2661">
        <f t="shared" si="250"/>
        <v>1107.7</v>
      </c>
      <c r="J2661">
        <f t="shared" si="247"/>
        <v>492.31999999999994</v>
      </c>
      <c r="K2661" s="8">
        <f t="shared" si="248"/>
        <v>0.30769615379807747</v>
      </c>
      <c r="L2661" t="str">
        <f t="shared" si="251"/>
        <v>2022-12</v>
      </c>
      <c r="M2661">
        <f t="shared" si="249"/>
        <v>492.31999999999994</v>
      </c>
    </row>
    <row r="2662" spans="1:13" x14ac:dyDescent="0.25">
      <c r="A2662" s="1">
        <v>45299</v>
      </c>
      <c r="B2662" t="s">
        <v>10</v>
      </c>
      <c r="C2662" t="s">
        <v>11</v>
      </c>
      <c r="D2662" t="s">
        <v>17</v>
      </c>
      <c r="E2662">
        <v>1298.79</v>
      </c>
      <c r="F2662">
        <v>716.73</v>
      </c>
      <c r="G2662">
        <v>3</v>
      </c>
      <c r="H2662">
        <f t="shared" si="246"/>
        <v>3896.37</v>
      </c>
      <c r="I2662">
        <f t="shared" si="250"/>
        <v>2150.19</v>
      </c>
      <c r="J2662">
        <f t="shared" si="247"/>
        <v>1746.1799999999998</v>
      </c>
      <c r="K2662" s="8">
        <f t="shared" si="248"/>
        <v>0.44815559097313651</v>
      </c>
      <c r="L2662" t="str">
        <f t="shared" si="251"/>
        <v>2024-01</v>
      </c>
      <c r="M2662">
        <f t="shared" si="249"/>
        <v>1746.1799999999998</v>
      </c>
    </row>
    <row r="2663" spans="1:13" x14ac:dyDescent="0.25">
      <c r="A2663" s="1">
        <v>45129</v>
      </c>
      <c r="B2663" t="s">
        <v>14</v>
      </c>
      <c r="C2663" t="s">
        <v>15</v>
      </c>
      <c r="D2663" t="s">
        <v>18</v>
      </c>
      <c r="E2663">
        <v>1708.41</v>
      </c>
      <c r="F2663">
        <v>1419.9</v>
      </c>
      <c r="G2663">
        <v>2</v>
      </c>
      <c r="H2663">
        <f t="shared" si="246"/>
        <v>3416.82</v>
      </c>
      <c r="I2663">
        <f t="shared" si="250"/>
        <v>2839.8</v>
      </c>
      <c r="J2663">
        <f t="shared" si="247"/>
        <v>577.02</v>
      </c>
      <c r="K2663" s="8">
        <f t="shared" si="248"/>
        <v>0.16887632359913601</v>
      </c>
      <c r="L2663" t="str">
        <f t="shared" si="251"/>
        <v>2023-07</v>
      </c>
      <c r="M2663">
        <f t="shared" si="249"/>
        <v>577.02</v>
      </c>
    </row>
    <row r="2664" spans="1:13" x14ac:dyDescent="0.25">
      <c r="A2664" s="1">
        <v>45454</v>
      </c>
      <c r="B2664" t="s">
        <v>14</v>
      </c>
      <c r="C2664" t="s">
        <v>15</v>
      </c>
      <c r="D2664" t="s">
        <v>9</v>
      </c>
      <c r="E2664">
        <v>81.28</v>
      </c>
      <c r="F2664">
        <v>59.63</v>
      </c>
      <c r="G2664">
        <v>3</v>
      </c>
      <c r="H2664">
        <f t="shared" si="246"/>
        <v>243.84</v>
      </c>
      <c r="I2664">
        <f t="shared" si="250"/>
        <v>178.89000000000001</v>
      </c>
      <c r="J2664">
        <f t="shared" si="247"/>
        <v>64.949999999999989</v>
      </c>
      <c r="K2664" s="8">
        <f t="shared" si="248"/>
        <v>0.2663631889763779</v>
      </c>
      <c r="L2664" t="str">
        <f t="shared" si="251"/>
        <v>2024-06</v>
      </c>
      <c r="M2664">
        <f t="shared" si="249"/>
        <v>64.949999999999989</v>
      </c>
    </row>
    <row r="2665" spans="1:13" x14ac:dyDescent="0.25">
      <c r="A2665" s="1">
        <v>45280</v>
      </c>
      <c r="B2665" t="s">
        <v>10</v>
      </c>
      <c r="C2665" t="s">
        <v>11</v>
      </c>
      <c r="D2665" t="s">
        <v>18</v>
      </c>
      <c r="E2665">
        <v>520.71</v>
      </c>
      <c r="F2665">
        <v>366.39</v>
      </c>
      <c r="G2665">
        <v>10</v>
      </c>
      <c r="H2665">
        <f t="shared" si="246"/>
        <v>5207.1000000000004</v>
      </c>
      <c r="I2665">
        <f t="shared" si="250"/>
        <v>3663.8999999999996</v>
      </c>
      <c r="J2665">
        <f t="shared" si="247"/>
        <v>1543.2000000000007</v>
      </c>
      <c r="K2665" s="8">
        <f t="shared" si="248"/>
        <v>0.29636457913233866</v>
      </c>
      <c r="L2665" t="str">
        <f t="shared" si="251"/>
        <v>2023-12</v>
      </c>
      <c r="M2665">
        <f t="shared" si="249"/>
        <v>1543.2000000000007</v>
      </c>
    </row>
    <row r="2666" spans="1:13" x14ac:dyDescent="0.25">
      <c r="A2666" s="1">
        <v>44968</v>
      </c>
      <c r="B2666" t="s">
        <v>23</v>
      </c>
      <c r="C2666" t="s">
        <v>11</v>
      </c>
      <c r="D2666" t="s">
        <v>13</v>
      </c>
      <c r="E2666">
        <v>1290.03</v>
      </c>
      <c r="F2666">
        <v>1159.6600000000001</v>
      </c>
      <c r="G2666">
        <v>2</v>
      </c>
      <c r="H2666">
        <f t="shared" si="246"/>
        <v>2580.06</v>
      </c>
      <c r="I2666">
        <f t="shared" si="250"/>
        <v>2319.3200000000002</v>
      </c>
      <c r="J2666">
        <f t="shared" si="247"/>
        <v>260.73999999999978</v>
      </c>
      <c r="K2666" s="8">
        <f t="shared" si="248"/>
        <v>0.10105966527910196</v>
      </c>
      <c r="L2666" t="str">
        <f t="shared" si="251"/>
        <v>2023-02</v>
      </c>
      <c r="M2666">
        <f t="shared" si="249"/>
        <v>260.73999999999978</v>
      </c>
    </row>
    <row r="2667" spans="1:13" x14ac:dyDescent="0.25">
      <c r="A2667" s="1">
        <v>45617</v>
      </c>
      <c r="B2667" t="s">
        <v>21</v>
      </c>
      <c r="C2667" t="s">
        <v>20</v>
      </c>
      <c r="D2667" t="s">
        <v>13</v>
      </c>
      <c r="E2667">
        <v>1422.38</v>
      </c>
      <c r="F2667">
        <v>890.19</v>
      </c>
      <c r="G2667">
        <v>7</v>
      </c>
      <c r="H2667">
        <f t="shared" si="246"/>
        <v>9956.66</v>
      </c>
      <c r="I2667">
        <f t="shared" si="250"/>
        <v>6231.33</v>
      </c>
      <c r="J2667">
        <f t="shared" si="247"/>
        <v>3725.33</v>
      </c>
      <c r="K2667" s="8">
        <f t="shared" si="248"/>
        <v>0.37415458597561835</v>
      </c>
      <c r="L2667" t="str">
        <f t="shared" si="251"/>
        <v>2024-11</v>
      </c>
      <c r="M2667">
        <f t="shared" si="249"/>
        <v>3725.33</v>
      </c>
    </row>
    <row r="2668" spans="1:13" x14ac:dyDescent="0.25">
      <c r="A2668" s="1">
        <v>44605</v>
      </c>
      <c r="B2668" t="s">
        <v>14</v>
      </c>
      <c r="C2668" t="s">
        <v>15</v>
      </c>
      <c r="D2668" t="s">
        <v>18</v>
      </c>
      <c r="E2668">
        <v>1310.87</v>
      </c>
      <c r="F2668">
        <v>738.47</v>
      </c>
      <c r="G2668">
        <v>5</v>
      </c>
      <c r="H2668">
        <f t="shared" si="246"/>
        <v>6554.3499999999995</v>
      </c>
      <c r="I2668">
        <f t="shared" si="250"/>
        <v>3692.3500000000004</v>
      </c>
      <c r="J2668">
        <f t="shared" si="247"/>
        <v>2861.9999999999991</v>
      </c>
      <c r="K2668" s="8">
        <f t="shared" si="248"/>
        <v>0.43665657158986004</v>
      </c>
      <c r="L2668" t="str">
        <f t="shared" si="251"/>
        <v>2022-02</v>
      </c>
      <c r="M2668">
        <f t="shared" si="249"/>
        <v>2861.9999999999991</v>
      </c>
    </row>
    <row r="2669" spans="1:13" x14ac:dyDescent="0.25">
      <c r="A2669" s="1">
        <v>45345</v>
      </c>
      <c r="B2669" t="s">
        <v>10</v>
      </c>
      <c r="C2669" t="s">
        <v>11</v>
      </c>
      <c r="D2669" t="s">
        <v>13</v>
      </c>
      <c r="E2669">
        <v>471.88</v>
      </c>
      <c r="F2669">
        <v>268.76</v>
      </c>
      <c r="G2669">
        <v>4</v>
      </c>
      <c r="H2669">
        <f t="shared" si="246"/>
        <v>1887.52</v>
      </c>
      <c r="I2669">
        <f t="shared" si="250"/>
        <v>1075.04</v>
      </c>
      <c r="J2669">
        <f t="shared" si="247"/>
        <v>812.48</v>
      </c>
      <c r="K2669" s="8">
        <f t="shared" si="248"/>
        <v>0.43044841908959908</v>
      </c>
      <c r="L2669" t="str">
        <f t="shared" si="251"/>
        <v>2024-02</v>
      </c>
      <c r="M2669">
        <f t="shared" si="249"/>
        <v>812.48</v>
      </c>
    </row>
    <row r="2670" spans="1:13" x14ac:dyDescent="0.25">
      <c r="A2670" s="1">
        <v>45653</v>
      </c>
      <c r="B2670" t="s">
        <v>23</v>
      </c>
      <c r="C2670" t="s">
        <v>11</v>
      </c>
      <c r="D2670" t="s">
        <v>17</v>
      </c>
      <c r="E2670">
        <v>305.98</v>
      </c>
      <c r="F2670">
        <v>177.02</v>
      </c>
      <c r="G2670">
        <v>8</v>
      </c>
      <c r="H2670">
        <f t="shared" si="246"/>
        <v>2447.84</v>
      </c>
      <c r="I2670">
        <f t="shared" si="250"/>
        <v>1416.16</v>
      </c>
      <c r="J2670">
        <f t="shared" si="247"/>
        <v>1031.68</v>
      </c>
      <c r="K2670" s="8">
        <f t="shared" si="248"/>
        <v>0.42146545525851364</v>
      </c>
      <c r="L2670" t="str">
        <f t="shared" si="251"/>
        <v>2024-12</v>
      </c>
      <c r="M2670">
        <f t="shared" si="249"/>
        <v>1031.68</v>
      </c>
    </row>
    <row r="2671" spans="1:13" x14ac:dyDescent="0.25">
      <c r="A2671" s="1">
        <v>45364</v>
      </c>
      <c r="B2671" t="s">
        <v>24</v>
      </c>
      <c r="C2671" t="s">
        <v>20</v>
      </c>
      <c r="D2671" t="s">
        <v>9</v>
      </c>
      <c r="E2671">
        <v>1697.04</v>
      </c>
      <c r="F2671">
        <v>1116.1400000000001</v>
      </c>
      <c r="G2671">
        <v>3</v>
      </c>
      <c r="H2671">
        <f t="shared" si="246"/>
        <v>5091.12</v>
      </c>
      <c r="I2671">
        <f t="shared" si="250"/>
        <v>3348.42</v>
      </c>
      <c r="J2671">
        <f t="shared" si="247"/>
        <v>1742.6999999999998</v>
      </c>
      <c r="K2671" s="8">
        <f t="shared" si="248"/>
        <v>0.34230189035025688</v>
      </c>
      <c r="L2671" t="str">
        <f t="shared" si="251"/>
        <v>2024-03</v>
      </c>
      <c r="M2671">
        <f t="shared" si="249"/>
        <v>1742.6999999999998</v>
      </c>
    </row>
    <row r="2672" spans="1:13" x14ac:dyDescent="0.25">
      <c r="A2672" s="1">
        <v>44930</v>
      </c>
      <c r="B2672" t="s">
        <v>10</v>
      </c>
      <c r="C2672" t="s">
        <v>11</v>
      </c>
      <c r="D2672" t="s">
        <v>13</v>
      </c>
      <c r="E2672">
        <v>123.11</v>
      </c>
      <c r="F2672">
        <v>68.63</v>
      </c>
      <c r="G2672">
        <v>9</v>
      </c>
      <c r="H2672">
        <f t="shared" si="246"/>
        <v>1107.99</v>
      </c>
      <c r="I2672">
        <f t="shared" si="250"/>
        <v>617.66999999999996</v>
      </c>
      <c r="J2672">
        <f t="shared" si="247"/>
        <v>490.32000000000005</v>
      </c>
      <c r="K2672" s="8">
        <f t="shared" si="248"/>
        <v>0.44253106977499801</v>
      </c>
      <c r="L2672" t="str">
        <f t="shared" si="251"/>
        <v>2023-01</v>
      </c>
      <c r="M2672">
        <f t="shared" si="249"/>
        <v>490.32000000000005</v>
      </c>
    </row>
    <row r="2673" spans="1:13" x14ac:dyDescent="0.25">
      <c r="A2673" s="1">
        <v>45382</v>
      </c>
      <c r="B2673" t="s">
        <v>22</v>
      </c>
      <c r="C2673" t="s">
        <v>8</v>
      </c>
      <c r="D2673" t="s">
        <v>18</v>
      </c>
      <c r="E2673">
        <v>1981.98</v>
      </c>
      <c r="F2673">
        <v>1774.41</v>
      </c>
      <c r="G2673">
        <v>7</v>
      </c>
      <c r="H2673">
        <f t="shared" si="246"/>
        <v>13873.86</v>
      </c>
      <c r="I2673">
        <f t="shared" si="250"/>
        <v>12420.87</v>
      </c>
      <c r="J2673">
        <f t="shared" si="247"/>
        <v>1452.9899999999998</v>
      </c>
      <c r="K2673" s="8">
        <f t="shared" si="248"/>
        <v>0.10472860472860471</v>
      </c>
      <c r="L2673" t="str">
        <f t="shared" si="251"/>
        <v>2024-03</v>
      </c>
      <c r="M2673">
        <f t="shared" si="249"/>
        <v>1452.9899999999998</v>
      </c>
    </row>
    <row r="2674" spans="1:13" x14ac:dyDescent="0.25">
      <c r="A2674" s="1">
        <v>45584</v>
      </c>
      <c r="B2674" t="s">
        <v>22</v>
      </c>
      <c r="C2674" t="s">
        <v>8</v>
      </c>
      <c r="D2674" t="s">
        <v>17</v>
      </c>
      <c r="E2674">
        <v>925.84</v>
      </c>
      <c r="F2674">
        <v>567.1</v>
      </c>
      <c r="G2674">
        <v>10</v>
      </c>
      <c r="H2674">
        <f t="shared" si="246"/>
        <v>9258.4</v>
      </c>
      <c r="I2674">
        <f t="shared" si="250"/>
        <v>5671</v>
      </c>
      <c r="J2674">
        <f t="shared" si="247"/>
        <v>3587.3999999999996</v>
      </c>
      <c r="K2674" s="8">
        <f t="shared" si="248"/>
        <v>0.38747515769463403</v>
      </c>
      <c r="L2674" t="str">
        <f t="shared" si="251"/>
        <v>2024-10</v>
      </c>
      <c r="M2674">
        <f t="shared" si="249"/>
        <v>3587.3999999999996</v>
      </c>
    </row>
    <row r="2675" spans="1:13" x14ac:dyDescent="0.25">
      <c r="A2675" s="1">
        <v>44840</v>
      </c>
      <c r="B2675" t="s">
        <v>14</v>
      </c>
      <c r="C2675" t="s">
        <v>15</v>
      </c>
      <c r="D2675" t="s">
        <v>9</v>
      </c>
      <c r="E2675">
        <v>25.95</v>
      </c>
      <c r="F2675">
        <v>22.54</v>
      </c>
      <c r="G2675">
        <v>6</v>
      </c>
      <c r="H2675">
        <f t="shared" si="246"/>
        <v>155.69999999999999</v>
      </c>
      <c r="I2675">
        <f t="shared" si="250"/>
        <v>135.24</v>
      </c>
      <c r="J2675">
        <f t="shared" si="247"/>
        <v>20.45999999999998</v>
      </c>
      <c r="K2675" s="8">
        <f t="shared" si="248"/>
        <v>0.13140655105973012</v>
      </c>
      <c r="L2675" t="str">
        <f t="shared" si="251"/>
        <v>2022-10</v>
      </c>
      <c r="M2675">
        <f t="shared" si="249"/>
        <v>20.45999999999998</v>
      </c>
    </row>
    <row r="2676" spans="1:13" x14ac:dyDescent="0.25">
      <c r="A2676" s="1">
        <v>45563</v>
      </c>
      <c r="B2676" t="s">
        <v>25</v>
      </c>
      <c r="C2676" t="s">
        <v>15</v>
      </c>
      <c r="D2676" t="s">
        <v>18</v>
      </c>
      <c r="E2676">
        <v>1389.84</v>
      </c>
      <c r="F2676">
        <v>1135.92</v>
      </c>
      <c r="G2676">
        <v>4</v>
      </c>
      <c r="H2676">
        <f t="shared" si="246"/>
        <v>5559.36</v>
      </c>
      <c r="I2676">
        <f t="shared" si="250"/>
        <v>4543.68</v>
      </c>
      <c r="J2676">
        <f t="shared" si="247"/>
        <v>1015.6799999999994</v>
      </c>
      <c r="K2676" s="8">
        <f t="shared" si="248"/>
        <v>0.18269728889656353</v>
      </c>
      <c r="L2676" t="str">
        <f t="shared" si="251"/>
        <v>2024-09</v>
      </c>
      <c r="M2676">
        <f t="shared" si="249"/>
        <v>1015.6799999999994</v>
      </c>
    </row>
    <row r="2677" spans="1:13" x14ac:dyDescent="0.25">
      <c r="A2677" s="1">
        <v>44959</v>
      </c>
      <c r="B2677" t="s">
        <v>24</v>
      </c>
      <c r="C2677" t="s">
        <v>20</v>
      </c>
      <c r="D2677" t="s">
        <v>17</v>
      </c>
      <c r="E2677">
        <v>187.35</v>
      </c>
      <c r="F2677">
        <v>100.52</v>
      </c>
      <c r="G2677">
        <v>8</v>
      </c>
      <c r="H2677">
        <f t="shared" si="246"/>
        <v>1498.8</v>
      </c>
      <c r="I2677">
        <f t="shared" si="250"/>
        <v>804.16</v>
      </c>
      <c r="J2677">
        <f t="shared" si="247"/>
        <v>694.64</v>
      </c>
      <c r="K2677" s="8">
        <f t="shared" si="248"/>
        <v>0.46346410461702697</v>
      </c>
      <c r="L2677" t="str">
        <f t="shared" si="251"/>
        <v>2023-02</v>
      </c>
      <c r="M2677">
        <f t="shared" si="249"/>
        <v>694.64</v>
      </c>
    </row>
    <row r="2678" spans="1:13" x14ac:dyDescent="0.25">
      <c r="A2678" s="1">
        <v>45610</v>
      </c>
      <c r="B2678" t="s">
        <v>16</v>
      </c>
      <c r="C2678" t="s">
        <v>15</v>
      </c>
      <c r="D2678" t="s">
        <v>9</v>
      </c>
      <c r="E2678">
        <v>941.25</v>
      </c>
      <c r="F2678">
        <v>753.52</v>
      </c>
      <c r="G2678">
        <v>3</v>
      </c>
      <c r="H2678">
        <f t="shared" si="246"/>
        <v>2823.75</v>
      </c>
      <c r="I2678">
        <f t="shared" si="250"/>
        <v>2260.56</v>
      </c>
      <c r="J2678">
        <f t="shared" si="247"/>
        <v>563.19000000000005</v>
      </c>
      <c r="K2678" s="8">
        <f t="shared" si="248"/>
        <v>0.19944754316069058</v>
      </c>
      <c r="L2678" t="str">
        <f t="shared" si="251"/>
        <v>2024-11</v>
      </c>
      <c r="M2678">
        <f t="shared" si="249"/>
        <v>563.19000000000005</v>
      </c>
    </row>
    <row r="2679" spans="1:13" x14ac:dyDescent="0.25">
      <c r="A2679" s="1">
        <v>45057</v>
      </c>
      <c r="B2679" t="s">
        <v>16</v>
      </c>
      <c r="C2679" t="s">
        <v>15</v>
      </c>
      <c r="D2679" t="s">
        <v>17</v>
      </c>
      <c r="E2679">
        <v>1766.23</v>
      </c>
      <c r="F2679">
        <v>1083.73</v>
      </c>
      <c r="G2679">
        <v>4</v>
      </c>
      <c r="H2679">
        <f t="shared" si="246"/>
        <v>7064.92</v>
      </c>
      <c r="I2679">
        <f t="shared" si="250"/>
        <v>4334.92</v>
      </c>
      <c r="J2679">
        <f t="shared" si="247"/>
        <v>2730</v>
      </c>
      <c r="K2679" s="8">
        <f t="shared" si="248"/>
        <v>0.38641626515233007</v>
      </c>
      <c r="L2679" t="str">
        <f t="shared" si="251"/>
        <v>2023-05</v>
      </c>
      <c r="M2679">
        <f t="shared" si="249"/>
        <v>2730</v>
      </c>
    </row>
    <row r="2680" spans="1:13" x14ac:dyDescent="0.25">
      <c r="A2680" s="1">
        <v>45179</v>
      </c>
      <c r="B2680" t="s">
        <v>7</v>
      </c>
      <c r="C2680" t="s">
        <v>8</v>
      </c>
      <c r="D2680" t="s">
        <v>9</v>
      </c>
      <c r="E2680">
        <v>1460.78</v>
      </c>
      <c r="F2680">
        <v>1301.08</v>
      </c>
      <c r="G2680">
        <v>4</v>
      </c>
      <c r="H2680">
        <f t="shared" si="246"/>
        <v>5843.12</v>
      </c>
      <c r="I2680">
        <f t="shared" si="250"/>
        <v>5204.32</v>
      </c>
      <c r="J2680">
        <f t="shared" si="247"/>
        <v>638.80000000000018</v>
      </c>
      <c r="K2680" s="8">
        <f t="shared" si="248"/>
        <v>0.10932515505414919</v>
      </c>
      <c r="L2680" t="str">
        <f t="shared" si="251"/>
        <v>2023-09</v>
      </c>
      <c r="M2680">
        <f t="shared" si="249"/>
        <v>638.80000000000018</v>
      </c>
    </row>
    <row r="2681" spans="1:13" x14ac:dyDescent="0.25">
      <c r="A2681" s="1">
        <v>44607</v>
      </c>
      <c r="B2681" t="s">
        <v>25</v>
      </c>
      <c r="C2681" t="s">
        <v>15</v>
      </c>
      <c r="D2681" t="s">
        <v>13</v>
      </c>
      <c r="E2681">
        <v>445.43</v>
      </c>
      <c r="F2681">
        <v>231.46</v>
      </c>
      <c r="G2681">
        <v>4</v>
      </c>
      <c r="H2681">
        <f t="shared" si="246"/>
        <v>1781.72</v>
      </c>
      <c r="I2681">
        <f t="shared" si="250"/>
        <v>925.84</v>
      </c>
      <c r="J2681">
        <f t="shared" si="247"/>
        <v>855.88</v>
      </c>
      <c r="K2681" s="8">
        <f t="shared" si="248"/>
        <v>0.48036728554430547</v>
      </c>
      <c r="L2681" t="str">
        <f t="shared" si="251"/>
        <v>2022-02</v>
      </c>
      <c r="M2681">
        <f t="shared" si="249"/>
        <v>855.88</v>
      </c>
    </row>
    <row r="2682" spans="1:13" x14ac:dyDescent="0.25">
      <c r="A2682" s="1">
        <v>45298</v>
      </c>
      <c r="B2682" t="s">
        <v>7</v>
      </c>
      <c r="C2682" t="s">
        <v>8</v>
      </c>
      <c r="D2682" t="s">
        <v>13</v>
      </c>
      <c r="E2682">
        <v>761.9</v>
      </c>
      <c r="F2682">
        <v>652.79999999999995</v>
      </c>
      <c r="G2682">
        <v>3</v>
      </c>
      <c r="H2682">
        <f t="shared" si="246"/>
        <v>2285.6999999999998</v>
      </c>
      <c r="I2682">
        <f t="shared" si="250"/>
        <v>1958.3999999999999</v>
      </c>
      <c r="J2682">
        <f t="shared" si="247"/>
        <v>327.29999999999995</v>
      </c>
      <c r="K2682" s="8">
        <f t="shared" si="248"/>
        <v>0.14319464496653103</v>
      </c>
      <c r="L2682" t="str">
        <f t="shared" si="251"/>
        <v>2024-01</v>
      </c>
      <c r="M2682">
        <f t="shared" si="249"/>
        <v>327.29999999999995</v>
      </c>
    </row>
    <row r="2683" spans="1:13" x14ac:dyDescent="0.25">
      <c r="A2683" s="1">
        <v>44894</v>
      </c>
      <c r="B2683" t="s">
        <v>16</v>
      </c>
      <c r="C2683" t="s">
        <v>15</v>
      </c>
      <c r="D2683" t="s">
        <v>17</v>
      </c>
      <c r="E2683">
        <v>1720.72</v>
      </c>
      <c r="F2683">
        <v>1086.6500000000001</v>
      </c>
      <c r="G2683">
        <v>7</v>
      </c>
      <c r="H2683">
        <f t="shared" si="246"/>
        <v>12045.04</v>
      </c>
      <c r="I2683">
        <f t="shared" si="250"/>
        <v>7606.5500000000011</v>
      </c>
      <c r="J2683">
        <f t="shared" si="247"/>
        <v>4438.49</v>
      </c>
      <c r="K2683" s="8">
        <f t="shared" si="248"/>
        <v>0.36849109675019753</v>
      </c>
      <c r="L2683" t="str">
        <f t="shared" si="251"/>
        <v>2022-11</v>
      </c>
      <c r="M2683">
        <f t="shared" si="249"/>
        <v>4438.49</v>
      </c>
    </row>
    <row r="2684" spans="1:13" x14ac:dyDescent="0.25">
      <c r="A2684" s="1">
        <v>45464</v>
      </c>
      <c r="B2684" t="s">
        <v>19</v>
      </c>
      <c r="C2684" t="s">
        <v>20</v>
      </c>
      <c r="D2684" t="s">
        <v>17</v>
      </c>
      <c r="E2684">
        <v>1566.39</v>
      </c>
      <c r="F2684">
        <v>1219.53</v>
      </c>
      <c r="G2684">
        <v>6</v>
      </c>
      <c r="H2684">
        <f t="shared" si="246"/>
        <v>9398.34</v>
      </c>
      <c r="I2684">
        <f t="shared" si="250"/>
        <v>7317.18</v>
      </c>
      <c r="J2684">
        <f t="shared" si="247"/>
        <v>2081.16</v>
      </c>
      <c r="K2684" s="8">
        <f t="shared" si="248"/>
        <v>0.2214391052036849</v>
      </c>
      <c r="L2684" t="str">
        <f t="shared" si="251"/>
        <v>2024-06</v>
      </c>
      <c r="M2684">
        <f t="shared" si="249"/>
        <v>2081.16</v>
      </c>
    </row>
    <row r="2685" spans="1:13" x14ac:dyDescent="0.25">
      <c r="A2685" s="1">
        <v>45446</v>
      </c>
      <c r="B2685" t="s">
        <v>22</v>
      </c>
      <c r="C2685" t="s">
        <v>8</v>
      </c>
      <c r="D2685" t="s">
        <v>9</v>
      </c>
      <c r="E2685">
        <v>1209.1099999999999</v>
      </c>
      <c r="F2685">
        <v>997.22</v>
      </c>
      <c r="G2685">
        <v>1</v>
      </c>
      <c r="H2685">
        <f t="shared" si="246"/>
        <v>1209.1099999999999</v>
      </c>
      <c r="I2685">
        <f t="shared" si="250"/>
        <v>997.22</v>
      </c>
      <c r="J2685">
        <f t="shared" si="247"/>
        <v>211.88999999999987</v>
      </c>
      <c r="K2685" s="8">
        <f t="shared" si="248"/>
        <v>0.17524460140103043</v>
      </c>
      <c r="L2685" t="str">
        <f t="shared" si="251"/>
        <v>2024-06</v>
      </c>
      <c r="M2685">
        <f t="shared" si="249"/>
        <v>211.88999999999987</v>
      </c>
    </row>
    <row r="2686" spans="1:13" x14ac:dyDescent="0.25">
      <c r="A2686" s="1">
        <v>45609</v>
      </c>
      <c r="B2686" t="s">
        <v>24</v>
      </c>
      <c r="C2686" t="s">
        <v>20</v>
      </c>
      <c r="D2686" t="s">
        <v>9</v>
      </c>
      <c r="E2686">
        <v>906.76</v>
      </c>
      <c r="F2686">
        <v>710.8</v>
      </c>
      <c r="G2686">
        <v>1</v>
      </c>
      <c r="H2686">
        <f t="shared" si="246"/>
        <v>906.76</v>
      </c>
      <c r="I2686">
        <f t="shared" si="250"/>
        <v>710.8</v>
      </c>
      <c r="J2686">
        <f t="shared" si="247"/>
        <v>195.96000000000004</v>
      </c>
      <c r="K2686" s="8">
        <f t="shared" si="248"/>
        <v>0.21611010631258551</v>
      </c>
      <c r="L2686" t="str">
        <f t="shared" si="251"/>
        <v>2024-11</v>
      </c>
      <c r="M2686">
        <f t="shared" si="249"/>
        <v>195.96000000000004</v>
      </c>
    </row>
    <row r="2687" spans="1:13" x14ac:dyDescent="0.25">
      <c r="A2687" s="1">
        <v>45313</v>
      </c>
      <c r="B2687" t="s">
        <v>23</v>
      </c>
      <c r="C2687" t="s">
        <v>11</v>
      </c>
      <c r="D2687" t="s">
        <v>17</v>
      </c>
      <c r="E2687">
        <v>824.47</v>
      </c>
      <c r="F2687">
        <v>535</v>
      </c>
      <c r="G2687">
        <v>8</v>
      </c>
      <c r="H2687">
        <f t="shared" si="246"/>
        <v>6595.76</v>
      </c>
      <c r="I2687">
        <f t="shared" si="250"/>
        <v>4280</v>
      </c>
      <c r="J2687">
        <f t="shared" si="247"/>
        <v>2315.7600000000002</v>
      </c>
      <c r="K2687" s="8">
        <f t="shared" si="248"/>
        <v>0.35109828132012083</v>
      </c>
      <c r="L2687" t="str">
        <f t="shared" si="251"/>
        <v>2024-01</v>
      </c>
      <c r="M2687">
        <f t="shared" si="249"/>
        <v>2315.7600000000002</v>
      </c>
    </row>
    <row r="2688" spans="1:13" x14ac:dyDescent="0.25">
      <c r="A2688" s="1">
        <v>45636</v>
      </c>
      <c r="B2688" t="s">
        <v>14</v>
      </c>
      <c r="C2688" t="s">
        <v>15</v>
      </c>
      <c r="D2688" t="s">
        <v>17</v>
      </c>
      <c r="E2688">
        <v>662.71</v>
      </c>
      <c r="F2688">
        <v>356.83</v>
      </c>
      <c r="G2688">
        <v>4</v>
      </c>
      <c r="H2688">
        <f t="shared" si="246"/>
        <v>2650.84</v>
      </c>
      <c r="I2688">
        <f t="shared" si="250"/>
        <v>1427.32</v>
      </c>
      <c r="J2688">
        <f t="shared" si="247"/>
        <v>1223.5200000000002</v>
      </c>
      <c r="K2688" s="8">
        <f t="shared" si="248"/>
        <v>0.46155935477056337</v>
      </c>
      <c r="L2688" t="str">
        <f t="shared" si="251"/>
        <v>2024-12</v>
      </c>
      <c r="M2688">
        <f t="shared" si="249"/>
        <v>1223.5200000000002</v>
      </c>
    </row>
    <row r="2689" spans="1:13" x14ac:dyDescent="0.25">
      <c r="A2689" s="1">
        <v>44941</v>
      </c>
      <c r="B2689" t="s">
        <v>23</v>
      </c>
      <c r="C2689" t="s">
        <v>11</v>
      </c>
      <c r="D2689" t="s">
        <v>18</v>
      </c>
      <c r="E2689">
        <v>1136.48</v>
      </c>
      <c r="F2689">
        <v>810.89</v>
      </c>
      <c r="G2689">
        <v>5</v>
      </c>
      <c r="H2689">
        <f t="shared" si="246"/>
        <v>5682.4</v>
      </c>
      <c r="I2689">
        <f t="shared" si="250"/>
        <v>4054.45</v>
      </c>
      <c r="J2689">
        <f t="shared" si="247"/>
        <v>1627.9499999999998</v>
      </c>
      <c r="K2689" s="8">
        <f t="shared" si="248"/>
        <v>0.28648986343798394</v>
      </c>
      <c r="L2689" t="str">
        <f t="shared" si="251"/>
        <v>2023-01</v>
      </c>
      <c r="M2689">
        <f t="shared" si="249"/>
        <v>1627.9499999999998</v>
      </c>
    </row>
    <row r="2690" spans="1:13" x14ac:dyDescent="0.25">
      <c r="A2690" s="1">
        <v>45080</v>
      </c>
      <c r="B2690" t="s">
        <v>16</v>
      </c>
      <c r="C2690" t="s">
        <v>15</v>
      </c>
      <c r="D2690" t="s">
        <v>17</v>
      </c>
      <c r="E2690">
        <v>580.58000000000004</v>
      </c>
      <c r="F2690">
        <v>418.07</v>
      </c>
      <c r="G2690">
        <v>10</v>
      </c>
      <c r="H2690">
        <f t="shared" si="246"/>
        <v>5805.8</v>
      </c>
      <c r="I2690">
        <f t="shared" si="250"/>
        <v>4180.7</v>
      </c>
      <c r="J2690">
        <f t="shared" si="247"/>
        <v>1625.1000000000004</v>
      </c>
      <c r="K2690" s="8">
        <f t="shared" si="248"/>
        <v>0.27990974542698688</v>
      </c>
      <c r="L2690" t="str">
        <f t="shared" si="251"/>
        <v>2023-06</v>
      </c>
      <c r="M2690">
        <f t="shared" si="249"/>
        <v>1625.1000000000004</v>
      </c>
    </row>
    <row r="2691" spans="1:13" x14ac:dyDescent="0.25">
      <c r="A2691" s="1">
        <v>44711</v>
      </c>
      <c r="B2691" t="s">
        <v>22</v>
      </c>
      <c r="C2691" t="s">
        <v>8</v>
      </c>
      <c r="D2691" t="s">
        <v>18</v>
      </c>
      <c r="E2691">
        <v>370.64</v>
      </c>
      <c r="F2691">
        <v>289.58999999999997</v>
      </c>
      <c r="G2691">
        <v>3</v>
      </c>
      <c r="H2691">
        <f t="shared" ref="H2691:H2754" si="252">E2691*G2691</f>
        <v>1111.92</v>
      </c>
      <c r="I2691">
        <f t="shared" si="250"/>
        <v>868.77</v>
      </c>
      <c r="J2691">
        <f t="shared" ref="J2691:J2754" si="253">H2691-I2691</f>
        <v>243.15000000000009</v>
      </c>
      <c r="K2691" s="8">
        <f t="shared" ref="K2691:K2754" si="254">(H2691-I2691)/H2691</f>
        <v>0.21867580401467737</v>
      </c>
      <c r="L2691" t="str">
        <f t="shared" si="251"/>
        <v>2022-05</v>
      </c>
      <c r="M2691">
        <f t="shared" ref="M2691:M2754" si="255">H2691-I2691</f>
        <v>243.15000000000009</v>
      </c>
    </row>
    <row r="2692" spans="1:13" x14ac:dyDescent="0.25">
      <c r="A2692" s="1">
        <v>45063</v>
      </c>
      <c r="B2692" t="s">
        <v>14</v>
      </c>
      <c r="C2692" t="s">
        <v>15</v>
      </c>
      <c r="D2692" t="s">
        <v>17</v>
      </c>
      <c r="E2692">
        <v>463.28</v>
      </c>
      <c r="F2692">
        <v>305.58</v>
      </c>
      <c r="G2692">
        <v>3</v>
      </c>
      <c r="H2692">
        <f t="shared" si="252"/>
        <v>1389.84</v>
      </c>
      <c r="I2692">
        <f t="shared" ref="I2692:I2755" si="256">F2692*G2692</f>
        <v>916.74</v>
      </c>
      <c r="J2692">
        <f t="shared" si="253"/>
        <v>473.09999999999991</v>
      </c>
      <c r="K2692" s="8">
        <f t="shared" si="254"/>
        <v>0.34039889483681568</v>
      </c>
      <c r="L2692" t="str">
        <f t="shared" ref="L2692:L2755" si="257">TEXT(A2692,"rrrr-mm")</f>
        <v>2023-05</v>
      </c>
      <c r="M2692">
        <f t="shared" si="255"/>
        <v>473.09999999999991</v>
      </c>
    </row>
    <row r="2693" spans="1:13" x14ac:dyDescent="0.25">
      <c r="A2693" s="1">
        <v>45411</v>
      </c>
      <c r="B2693" t="s">
        <v>12</v>
      </c>
      <c r="C2693" t="s">
        <v>8</v>
      </c>
      <c r="D2693" t="s">
        <v>13</v>
      </c>
      <c r="E2693">
        <v>1015.31</v>
      </c>
      <c r="F2693">
        <v>847.3</v>
      </c>
      <c r="G2693">
        <v>2</v>
      </c>
      <c r="H2693">
        <f t="shared" si="252"/>
        <v>2030.62</v>
      </c>
      <c r="I2693">
        <f t="shared" si="256"/>
        <v>1694.6</v>
      </c>
      <c r="J2693">
        <f t="shared" si="253"/>
        <v>336.02</v>
      </c>
      <c r="K2693" s="8">
        <f t="shared" si="254"/>
        <v>0.16547655395888941</v>
      </c>
      <c r="L2693" t="str">
        <f t="shared" si="257"/>
        <v>2024-04</v>
      </c>
      <c r="M2693">
        <f t="shared" si="255"/>
        <v>336.02</v>
      </c>
    </row>
    <row r="2694" spans="1:13" x14ac:dyDescent="0.25">
      <c r="A2694" s="1">
        <v>44605</v>
      </c>
      <c r="B2694" t="s">
        <v>7</v>
      </c>
      <c r="C2694" t="s">
        <v>8</v>
      </c>
      <c r="D2694" t="s">
        <v>9</v>
      </c>
      <c r="E2694">
        <v>563</v>
      </c>
      <c r="F2694">
        <v>293.39</v>
      </c>
      <c r="G2694">
        <v>2</v>
      </c>
      <c r="H2694">
        <f t="shared" si="252"/>
        <v>1126</v>
      </c>
      <c r="I2694">
        <f t="shared" si="256"/>
        <v>586.78</v>
      </c>
      <c r="J2694">
        <f t="shared" si="253"/>
        <v>539.22</v>
      </c>
      <c r="K2694" s="8">
        <f t="shared" si="254"/>
        <v>0.47888099467140322</v>
      </c>
      <c r="L2694" t="str">
        <f t="shared" si="257"/>
        <v>2022-02</v>
      </c>
      <c r="M2694">
        <f t="shared" si="255"/>
        <v>539.22</v>
      </c>
    </row>
    <row r="2695" spans="1:13" x14ac:dyDescent="0.25">
      <c r="A2695" s="1">
        <v>44700</v>
      </c>
      <c r="B2695" t="s">
        <v>19</v>
      </c>
      <c r="C2695" t="s">
        <v>20</v>
      </c>
      <c r="D2695" t="s">
        <v>13</v>
      </c>
      <c r="E2695">
        <v>422.94</v>
      </c>
      <c r="F2695">
        <v>296.93</v>
      </c>
      <c r="G2695">
        <v>2</v>
      </c>
      <c r="H2695">
        <f t="shared" si="252"/>
        <v>845.88</v>
      </c>
      <c r="I2695">
        <f t="shared" si="256"/>
        <v>593.86</v>
      </c>
      <c r="J2695">
        <f t="shared" si="253"/>
        <v>252.01999999999998</v>
      </c>
      <c r="K2695" s="8">
        <f t="shared" si="254"/>
        <v>0.29793824183099255</v>
      </c>
      <c r="L2695" t="str">
        <f t="shared" si="257"/>
        <v>2022-05</v>
      </c>
      <c r="M2695">
        <f t="shared" si="255"/>
        <v>252.01999999999998</v>
      </c>
    </row>
    <row r="2696" spans="1:13" x14ac:dyDescent="0.25">
      <c r="A2696" s="1">
        <v>45002</v>
      </c>
      <c r="B2696" t="s">
        <v>10</v>
      </c>
      <c r="C2696" t="s">
        <v>11</v>
      </c>
      <c r="D2696" t="s">
        <v>9</v>
      </c>
      <c r="E2696">
        <v>254.82</v>
      </c>
      <c r="F2696">
        <v>220.72</v>
      </c>
      <c r="G2696">
        <v>4</v>
      </c>
      <c r="H2696">
        <f t="shared" si="252"/>
        <v>1019.28</v>
      </c>
      <c r="I2696">
        <f t="shared" si="256"/>
        <v>882.88</v>
      </c>
      <c r="J2696">
        <f t="shared" si="253"/>
        <v>136.39999999999998</v>
      </c>
      <c r="K2696" s="8">
        <f t="shared" si="254"/>
        <v>0.13381995133819949</v>
      </c>
      <c r="L2696" t="str">
        <f t="shared" si="257"/>
        <v>2023-03</v>
      </c>
      <c r="M2696">
        <f t="shared" si="255"/>
        <v>136.39999999999998</v>
      </c>
    </row>
    <row r="2697" spans="1:13" x14ac:dyDescent="0.25">
      <c r="A2697" s="1">
        <v>45004</v>
      </c>
      <c r="B2697" t="s">
        <v>7</v>
      </c>
      <c r="C2697" t="s">
        <v>8</v>
      </c>
      <c r="D2697" t="s">
        <v>13</v>
      </c>
      <c r="E2697">
        <v>183.79</v>
      </c>
      <c r="F2697">
        <v>109.33</v>
      </c>
      <c r="G2697">
        <v>9</v>
      </c>
      <c r="H2697">
        <f t="shared" si="252"/>
        <v>1654.11</v>
      </c>
      <c r="I2697">
        <f t="shared" si="256"/>
        <v>983.97</v>
      </c>
      <c r="J2697">
        <f t="shared" si="253"/>
        <v>670.13999999999987</v>
      </c>
      <c r="K2697" s="8">
        <f t="shared" si="254"/>
        <v>0.40513629686054731</v>
      </c>
      <c r="L2697" t="str">
        <f t="shared" si="257"/>
        <v>2023-03</v>
      </c>
      <c r="M2697">
        <f t="shared" si="255"/>
        <v>670.13999999999987</v>
      </c>
    </row>
    <row r="2698" spans="1:13" x14ac:dyDescent="0.25">
      <c r="A2698" s="1">
        <v>45310</v>
      </c>
      <c r="B2698" t="s">
        <v>24</v>
      </c>
      <c r="C2698" t="s">
        <v>20</v>
      </c>
      <c r="D2698" t="s">
        <v>9</v>
      </c>
      <c r="E2698">
        <v>1192.97</v>
      </c>
      <c r="F2698">
        <v>838.71</v>
      </c>
      <c r="G2698">
        <v>9</v>
      </c>
      <c r="H2698">
        <f t="shared" si="252"/>
        <v>10736.73</v>
      </c>
      <c r="I2698">
        <f t="shared" si="256"/>
        <v>7548.39</v>
      </c>
      <c r="J2698">
        <f t="shared" si="253"/>
        <v>3188.3399999999992</v>
      </c>
      <c r="K2698" s="8">
        <f t="shared" si="254"/>
        <v>0.29695633586762443</v>
      </c>
      <c r="L2698" t="str">
        <f t="shared" si="257"/>
        <v>2024-01</v>
      </c>
      <c r="M2698">
        <f t="shared" si="255"/>
        <v>3188.3399999999992</v>
      </c>
    </row>
    <row r="2699" spans="1:13" x14ac:dyDescent="0.25">
      <c r="A2699" s="1">
        <v>45185</v>
      </c>
      <c r="B2699" t="s">
        <v>16</v>
      </c>
      <c r="C2699" t="s">
        <v>15</v>
      </c>
      <c r="D2699" t="s">
        <v>9</v>
      </c>
      <c r="E2699">
        <v>725.8</v>
      </c>
      <c r="F2699">
        <v>400.71</v>
      </c>
      <c r="G2699">
        <v>3</v>
      </c>
      <c r="H2699">
        <f t="shared" si="252"/>
        <v>2177.3999999999996</v>
      </c>
      <c r="I2699">
        <f t="shared" si="256"/>
        <v>1202.1299999999999</v>
      </c>
      <c r="J2699">
        <f t="shared" si="253"/>
        <v>975.26999999999975</v>
      </c>
      <c r="K2699" s="8">
        <f t="shared" si="254"/>
        <v>0.44790575916230363</v>
      </c>
      <c r="L2699" t="str">
        <f t="shared" si="257"/>
        <v>2023-09</v>
      </c>
      <c r="M2699">
        <f t="shared" si="255"/>
        <v>975.26999999999975</v>
      </c>
    </row>
    <row r="2700" spans="1:13" x14ac:dyDescent="0.25">
      <c r="A2700" s="1">
        <v>44973</v>
      </c>
      <c r="B2700" t="s">
        <v>25</v>
      </c>
      <c r="C2700" t="s">
        <v>15</v>
      </c>
      <c r="D2700" t="s">
        <v>9</v>
      </c>
      <c r="E2700">
        <v>1950.69</v>
      </c>
      <c r="F2700">
        <v>1676.87</v>
      </c>
      <c r="G2700">
        <v>2</v>
      </c>
      <c r="H2700">
        <f t="shared" si="252"/>
        <v>3901.38</v>
      </c>
      <c r="I2700">
        <f t="shared" si="256"/>
        <v>3353.74</v>
      </c>
      <c r="J2700">
        <f t="shared" si="253"/>
        <v>547.64000000000033</v>
      </c>
      <c r="K2700" s="8">
        <f t="shared" si="254"/>
        <v>0.14037084313755654</v>
      </c>
      <c r="L2700" t="str">
        <f t="shared" si="257"/>
        <v>2023-02</v>
      </c>
      <c r="M2700">
        <f t="shared" si="255"/>
        <v>547.64000000000033</v>
      </c>
    </row>
    <row r="2701" spans="1:13" x14ac:dyDescent="0.25">
      <c r="A2701" s="1">
        <v>45245</v>
      </c>
      <c r="B2701" t="s">
        <v>10</v>
      </c>
      <c r="C2701" t="s">
        <v>11</v>
      </c>
      <c r="D2701" t="s">
        <v>17</v>
      </c>
      <c r="E2701">
        <v>1490.47</v>
      </c>
      <c r="F2701">
        <v>1164.58</v>
      </c>
      <c r="G2701">
        <v>7</v>
      </c>
      <c r="H2701">
        <f t="shared" si="252"/>
        <v>10433.290000000001</v>
      </c>
      <c r="I2701">
        <f t="shared" si="256"/>
        <v>8152.0599999999995</v>
      </c>
      <c r="J2701">
        <f t="shared" si="253"/>
        <v>2281.2300000000014</v>
      </c>
      <c r="K2701" s="8">
        <f t="shared" si="254"/>
        <v>0.21864915093896567</v>
      </c>
      <c r="L2701" t="str">
        <f t="shared" si="257"/>
        <v>2023-11</v>
      </c>
      <c r="M2701">
        <f t="shared" si="255"/>
        <v>2281.2300000000014</v>
      </c>
    </row>
    <row r="2702" spans="1:13" x14ac:dyDescent="0.25">
      <c r="A2702" s="1">
        <v>44661</v>
      </c>
      <c r="B2702" t="s">
        <v>16</v>
      </c>
      <c r="C2702" t="s">
        <v>15</v>
      </c>
      <c r="D2702" t="s">
        <v>17</v>
      </c>
      <c r="E2702">
        <v>1778.73</v>
      </c>
      <c r="F2702">
        <v>1507.73</v>
      </c>
      <c r="G2702">
        <v>10</v>
      </c>
      <c r="H2702">
        <f t="shared" si="252"/>
        <v>17787.3</v>
      </c>
      <c r="I2702">
        <f t="shared" si="256"/>
        <v>15077.3</v>
      </c>
      <c r="J2702">
        <f t="shared" si="253"/>
        <v>2710</v>
      </c>
      <c r="K2702" s="8">
        <f t="shared" si="254"/>
        <v>0.1523558943740759</v>
      </c>
      <c r="L2702" t="str">
        <f t="shared" si="257"/>
        <v>2022-04</v>
      </c>
      <c r="M2702">
        <f t="shared" si="255"/>
        <v>2710</v>
      </c>
    </row>
    <row r="2703" spans="1:13" x14ac:dyDescent="0.25">
      <c r="A2703" s="1">
        <v>45172</v>
      </c>
      <c r="B2703" t="s">
        <v>22</v>
      </c>
      <c r="C2703" t="s">
        <v>8</v>
      </c>
      <c r="D2703" t="s">
        <v>13</v>
      </c>
      <c r="E2703">
        <v>307.14</v>
      </c>
      <c r="F2703">
        <v>273.39999999999998</v>
      </c>
      <c r="G2703">
        <v>7</v>
      </c>
      <c r="H2703">
        <f t="shared" si="252"/>
        <v>2149.98</v>
      </c>
      <c r="I2703">
        <f t="shared" si="256"/>
        <v>1913.7999999999997</v>
      </c>
      <c r="J2703">
        <f t="shared" si="253"/>
        <v>236.18000000000029</v>
      </c>
      <c r="K2703" s="8">
        <f t="shared" si="254"/>
        <v>0.10985218467148546</v>
      </c>
      <c r="L2703" t="str">
        <f t="shared" si="257"/>
        <v>2023-09</v>
      </c>
      <c r="M2703">
        <f t="shared" si="255"/>
        <v>236.18000000000029</v>
      </c>
    </row>
    <row r="2704" spans="1:13" x14ac:dyDescent="0.25">
      <c r="A2704" s="1">
        <v>44825</v>
      </c>
      <c r="B2704" t="s">
        <v>22</v>
      </c>
      <c r="C2704" t="s">
        <v>8</v>
      </c>
      <c r="D2704" t="s">
        <v>18</v>
      </c>
      <c r="E2704">
        <v>1110.01</v>
      </c>
      <c r="F2704">
        <v>784.07</v>
      </c>
      <c r="G2704">
        <v>1</v>
      </c>
      <c r="H2704">
        <f t="shared" si="252"/>
        <v>1110.01</v>
      </c>
      <c r="I2704">
        <f t="shared" si="256"/>
        <v>784.07</v>
      </c>
      <c r="J2704">
        <f t="shared" si="253"/>
        <v>325.93999999999994</v>
      </c>
      <c r="K2704" s="8">
        <f t="shared" si="254"/>
        <v>0.2936369942613129</v>
      </c>
      <c r="L2704" t="str">
        <f t="shared" si="257"/>
        <v>2022-09</v>
      </c>
      <c r="M2704">
        <f t="shared" si="255"/>
        <v>325.93999999999994</v>
      </c>
    </row>
    <row r="2705" spans="1:13" x14ac:dyDescent="0.25">
      <c r="A2705" s="1">
        <v>44776</v>
      </c>
      <c r="B2705" t="s">
        <v>7</v>
      </c>
      <c r="C2705" t="s">
        <v>8</v>
      </c>
      <c r="D2705" t="s">
        <v>17</v>
      </c>
      <c r="E2705">
        <v>761.72</v>
      </c>
      <c r="F2705">
        <v>531.58000000000004</v>
      </c>
      <c r="G2705">
        <v>6</v>
      </c>
      <c r="H2705">
        <f t="shared" si="252"/>
        <v>4570.32</v>
      </c>
      <c r="I2705">
        <f t="shared" si="256"/>
        <v>3189.4800000000005</v>
      </c>
      <c r="J2705">
        <f t="shared" si="253"/>
        <v>1380.8399999999992</v>
      </c>
      <c r="K2705" s="8">
        <f t="shared" si="254"/>
        <v>0.30213201701412579</v>
      </c>
      <c r="L2705" t="str">
        <f t="shared" si="257"/>
        <v>2022-08</v>
      </c>
      <c r="M2705">
        <f t="shared" si="255"/>
        <v>1380.8399999999992</v>
      </c>
    </row>
    <row r="2706" spans="1:13" x14ac:dyDescent="0.25">
      <c r="A2706" s="1">
        <v>44628</v>
      </c>
      <c r="B2706" t="s">
        <v>7</v>
      </c>
      <c r="C2706" t="s">
        <v>8</v>
      </c>
      <c r="D2706" t="s">
        <v>17</v>
      </c>
      <c r="E2706">
        <v>131.62</v>
      </c>
      <c r="F2706">
        <v>85</v>
      </c>
      <c r="G2706">
        <v>7</v>
      </c>
      <c r="H2706">
        <f t="shared" si="252"/>
        <v>921.34</v>
      </c>
      <c r="I2706">
        <f t="shared" si="256"/>
        <v>595</v>
      </c>
      <c r="J2706">
        <f t="shared" si="253"/>
        <v>326.34000000000003</v>
      </c>
      <c r="K2706" s="8">
        <f t="shared" si="254"/>
        <v>0.35420148913538979</v>
      </c>
      <c r="L2706" t="str">
        <f t="shared" si="257"/>
        <v>2022-03</v>
      </c>
      <c r="M2706">
        <f t="shared" si="255"/>
        <v>326.34000000000003</v>
      </c>
    </row>
    <row r="2707" spans="1:13" x14ac:dyDescent="0.25">
      <c r="A2707" s="1">
        <v>45000</v>
      </c>
      <c r="B2707" t="s">
        <v>24</v>
      </c>
      <c r="C2707" t="s">
        <v>20</v>
      </c>
      <c r="D2707" t="s">
        <v>9</v>
      </c>
      <c r="E2707">
        <v>803.17</v>
      </c>
      <c r="F2707">
        <v>428.63</v>
      </c>
      <c r="G2707">
        <v>7</v>
      </c>
      <c r="H2707">
        <f t="shared" si="252"/>
        <v>5622.19</v>
      </c>
      <c r="I2707">
        <f t="shared" si="256"/>
        <v>3000.41</v>
      </c>
      <c r="J2707">
        <f t="shared" si="253"/>
        <v>2621.7799999999997</v>
      </c>
      <c r="K2707" s="8">
        <f t="shared" si="254"/>
        <v>0.46632717855497591</v>
      </c>
      <c r="L2707" t="str">
        <f t="shared" si="257"/>
        <v>2023-03</v>
      </c>
      <c r="M2707">
        <f t="shared" si="255"/>
        <v>2621.7799999999997</v>
      </c>
    </row>
    <row r="2708" spans="1:13" x14ac:dyDescent="0.25">
      <c r="A2708" s="1">
        <v>45058</v>
      </c>
      <c r="B2708" t="s">
        <v>24</v>
      </c>
      <c r="C2708" t="s">
        <v>20</v>
      </c>
      <c r="D2708" t="s">
        <v>13</v>
      </c>
      <c r="E2708">
        <v>130.91</v>
      </c>
      <c r="F2708">
        <v>96.81</v>
      </c>
      <c r="G2708">
        <v>2</v>
      </c>
      <c r="H2708">
        <f t="shared" si="252"/>
        <v>261.82</v>
      </c>
      <c r="I2708">
        <f t="shared" si="256"/>
        <v>193.62</v>
      </c>
      <c r="J2708">
        <f t="shared" si="253"/>
        <v>68.199999999999989</v>
      </c>
      <c r="K2708" s="8">
        <f t="shared" si="254"/>
        <v>0.26048430219234586</v>
      </c>
      <c r="L2708" t="str">
        <f t="shared" si="257"/>
        <v>2023-05</v>
      </c>
      <c r="M2708">
        <f t="shared" si="255"/>
        <v>68.199999999999989</v>
      </c>
    </row>
    <row r="2709" spans="1:13" x14ac:dyDescent="0.25">
      <c r="A2709" s="1">
        <v>44708</v>
      </c>
      <c r="B2709" t="s">
        <v>19</v>
      </c>
      <c r="C2709" t="s">
        <v>20</v>
      </c>
      <c r="D2709" t="s">
        <v>18</v>
      </c>
      <c r="E2709">
        <v>1800.9</v>
      </c>
      <c r="F2709">
        <v>1058.23</v>
      </c>
      <c r="G2709">
        <v>4</v>
      </c>
      <c r="H2709">
        <f t="shared" si="252"/>
        <v>7203.6</v>
      </c>
      <c r="I2709">
        <f t="shared" si="256"/>
        <v>4232.92</v>
      </c>
      <c r="J2709">
        <f t="shared" si="253"/>
        <v>2970.6800000000003</v>
      </c>
      <c r="K2709" s="8">
        <f t="shared" si="254"/>
        <v>0.41238825031928483</v>
      </c>
      <c r="L2709" t="str">
        <f t="shared" si="257"/>
        <v>2022-05</v>
      </c>
      <c r="M2709">
        <f t="shared" si="255"/>
        <v>2970.6800000000003</v>
      </c>
    </row>
    <row r="2710" spans="1:13" x14ac:dyDescent="0.25">
      <c r="A2710" s="1">
        <v>45139</v>
      </c>
      <c r="B2710" t="s">
        <v>25</v>
      </c>
      <c r="C2710" t="s">
        <v>15</v>
      </c>
      <c r="D2710" t="s">
        <v>17</v>
      </c>
      <c r="E2710">
        <v>281.33999999999997</v>
      </c>
      <c r="F2710">
        <v>141.03</v>
      </c>
      <c r="G2710">
        <v>2</v>
      </c>
      <c r="H2710">
        <f t="shared" si="252"/>
        <v>562.67999999999995</v>
      </c>
      <c r="I2710">
        <f t="shared" si="256"/>
        <v>282.06</v>
      </c>
      <c r="J2710">
        <f t="shared" si="253"/>
        <v>280.61999999999995</v>
      </c>
      <c r="K2710" s="8">
        <f t="shared" si="254"/>
        <v>0.49872040946896989</v>
      </c>
      <c r="L2710" t="str">
        <f t="shared" si="257"/>
        <v>2023-08</v>
      </c>
      <c r="M2710">
        <f t="shared" si="255"/>
        <v>280.61999999999995</v>
      </c>
    </row>
    <row r="2711" spans="1:13" x14ac:dyDescent="0.25">
      <c r="A2711" s="1">
        <v>44905</v>
      </c>
      <c r="B2711" t="s">
        <v>19</v>
      </c>
      <c r="C2711" t="s">
        <v>20</v>
      </c>
      <c r="D2711" t="s">
        <v>13</v>
      </c>
      <c r="E2711">
        <v>362.1</v>
      </c>
      <c r="F2711">
        <v>323.95999999999998</v>
      </c>
      <c r="G2711">
        <v>6</v>
      </c>
      <c r="H2711">
        <f t="shared" si="252"/>
        <v>2172.6000000000004</v>
      </c>
      <c r="I2711">
        <f t="shared" si="256"/>
        <v>1943.7599999999998</v>
      </c>
      <c r="J2711">
        <f t="shared" si="253"/>
        <v>228.8400000000006</v>
      </c>
      <c r="K2711" s="8">
        <f t="shared" si="254"/>
        <v>0.10533001933167659</v>
      </c>
      <c r="L2711" t="str">
        <f t="shared" si="257"/>
        <v>2022-12</v>
      </c>
      <c r="M2711">
        <f t="shared" si="255"/>
        <v>228.8400000000006</v>
      </c>
    </row>
    <row r="2712" spans="1:13" x14ac:dyDescent="0.25">
      <c r="A2712" s="1">
        <v>44563</v>
      </c>
      <c r="B2712" t="s">
        <v>21</v>
      </c>
      <c r="C2712" t="s">
        <v>20</v>
      </c>
      <c r="D2712" t="s">
        <v>17</v>
      </c>
      <c r="E2712">
        <v>102.2</v>
      </c>
      <c r="F2712">
        <v>74.56</v>
      </c>
      <c r="G2712">
        <v>1</v>
      </c>
      <c r="H2712">
        <f t="shared" si="252"/>
        <v>102.2</v>
      </c>
      <c r="I2712">
        <f t="shared" si="256"/>
        <v>74.56</v>
      </c>
      <c r="J2712">
        <f t="shared" si="253"/>
        <v>27.64</v>
      </c>
      <c r="K2712" s="8">
        <f t="shared" si="254"/>
        <v>0.27045009784735813</v>
      </c>
      <c r="L2712" t="str">
        <f t="shared" si="257"/>
        <v>2022-01</v>
      </c>
      <c r="M2712">
        <f t="shared" si="255"/>
        <v>27.64</v>
      </c>
    </row>
    <row r="2713" spans="1:13" x14ac:dyDescent="0.25">
      <c r="A2713" s="1">
        <v>44563</v>
      </c>
      <c r="B2713" t="s">
        <v>14</v>
      </c>
      <c r="C2713" t="s">
        <v>15</v>
      </c>
      <c r="D2713" t="s">
        <v>13</v>
      </c>
      <c r="E2713">
        <v>554.17999999999995</v>
      </c>
      <c r="F2713">
        <v>472.43</v>
      </c>
      <c r="G2713">
        <v>10</v>
      </c>
      <c r="H2713">
        <f t="shared" si="252"/>
        <v>5541.7999999999993</v>
      </c>
      <c r="I2713">
        <f t="shared" si="256"/>
        <v>4724.3</v>
      </c>
      <c r="J2713">
        <f t="shared" si="253"/>
        <v>817.49999999999909</v>
      </c>
      <c r="K2713" s="8">
        <f t="shared" si="254"/>
        <v>0.14751524775343736</v>
      </c>
      <c r="L2713" t="str">
        <f t="shared" si="257"/>
        <v>2022-01</v>
      </c>
      <c r="M2713">
        <f t="shared" si="255"/>
        <v>817.49999999999909</v>
      </c>
    </row>
    <row r="2714" spans="1:13" x14ac:dyDescent="0.25">
      <c r="A2714" s="1">
        <v>45153</v>
      </c>
      <c r="B2714" t="s">
        <v>16</v>
      </c>
      <c r="C2714" t="s">
        <v>15</v>
      </c>
      <c r="D2714" t="s">
        <v>9</v>
      </c>
      <c r="E2714">
        <v>644.16</v>
      </c>
      <c r="F2714">
        <v>490.46</v>
      </c>
      <c r="G2714">
        <v>2</v>
      </c>
      <c r="H2714">
        <f t="shared" si="252"/>
        <v>1288.32</v>
      </c>
      <c r="I2714">
        <f t="shared" si="256"/>
        <v>980.92</v>
      </c>
      <c r="J2714">
        <f t="shared" si="253"/>
        <v>307.39999999999998</v>
      </c>
      <c r="K2714" s="8">
        <f t="shared" si="254"/>
        <v>0.23860531544957775</v>
      </c>
      <c r="L2714" t="str">
        <f t="shared" si="257"/>
        <v>2023-08</v>
      </c>
      <c r="M2714">
        <f t="shared" si="255"/>
        <v>307.39999999999998</v>
      </c>
    </row>
    <row r="2715" spans="1:13" x14ac:dyDescent="0.25">
      <c r="A2715" s="1">
        <v>45234</v>
      </c>
      <c r="B2715" t="s">
        <v>24</v>
      </c>
      <c r="C2715" t="s">
        <v>20</v>
      </c>
      <c r="D2715" t="s">
        <v>17</v>
      </c>
      <c r="E2715">
        <v>1961.29</v>
      </c>
      <c r="F2715">
        <v>1329.31</v>
      </c>
      <c r="G2715">
        <v>4</v>
      </c>
      <c r="H2715">
        <f t="shared" si="252"/>
        <v>7845.16</v>
      </c>
      <c r="I2715">
        <f t="shared" si="256"/>
        <v>5317.24</v>
      </c>
      <c r="J2715">
        <f t="shared" si="253"/>
        <v>2527.92</v>
      </c>
      <c r="K2715" s="8">
        <f t="shared" si="254"/>
        <v>0.32222669773465423</v>
      </c>
      <c r="L2715" t="str">
        <f t="shared" si="257"/>
        <v>2023-11</v>
      </c>
      <c r="M2715">
        <f t="shared" si="255"/>
        <v>2527.92</v>
      </c>
    </row>
    <row r="2716" spans="1:13" x14ac:dyDescent="0.25">
      <c r="A2716" s="1">
        <v>45000</v>
      </c>
      <c r="B2716" t="s">
        <v>25</v>
      </c>
      <c r="C2716" t="s">
        <v>15</v>
      </c>
      <c r="D2716" t="s">
        <v>13</v>
      </c>
      <c r="E2716">
        <v>252.15</v>
      </c>
      <c r="F2716">
        <v>212.46</v>
      </c>
      <c r="G2716">
        <v>9</v>
      </c>
      <c r="H2716">
        <f t="shared" si="252"/>
        <v>2269.35</v>
      </c>
      <c r="I2716">
        <f t="shared" si="256"/>
        <v>1912.14</v>
      </c>
      <c r="J2716">
        <f t="shared" si="253"/>
        <v>357.20999999999981</v>
      </c>
      <c r="K2716" s="8">
        <f t="shared" si="254"/>
        <v>0.1574063057703747</v>
      </c>
      <c r="L2716" t="str">
        <f t="shared" si="257"/>
        <v>2023-03</v>
      </c>
      <c r="M2716">
        <f t="shared" si="255"/>
        <v>357.20999999999981</v>
      </c>
    </row>
    <row r="2717" spans="1:13" x14ac:dyDescent="0.25">
      <c r="A2717" s="1">
        <v>44945</v>
      </c>
      <c r="B2717" t="s">
        <v>14</v>
      </c>
      <c r="C2717" t="s">
        <v>15</v>
      </c>
      <c r="D2717" t="s">
        <v>18</v>
      </c>
      <c r="E2717">
        <v>1970.48</v>
      </c>
      <c r="F2717">
        <v>1310.85</v>
      </c>
      <c r="G2717">
        <v>3</v>
      </c>
      <c r="H2717">
        <f t="shared" si="252"/>
        <v>5911.4400000000005</v>
      </c>
      <c r="I2717">
        <f t="shared" si="256"/>
        <v>3932.5499999999997</v>
      </c>
      <c r="J2717">
        <f t="shared" si="253"/>
        <v>1978.8900000000008</v>
      </c>
      <c r="K2717" s="8">
        <f t="shared" si="254"/>
        <v>0.3347559985384273</v>
      </c>
      <c r="L2717" t="str">
        <f t="shared" si="257"/>
        <v>2023-01</v>
      </c>
      <c r="M2717">
        <f t="shared" si="255"/>
        <v>1978.8900000000008</v>
      </c>
    </row>
    <row r="2718" spans="1:13" x14ac:dyDescent="0.25">
      <c r="A2718" s="1">
        <v>45463</v>
      </c>
      <c r="B2718" t="s">
        <v>21</v>
      </c>
      <c r="C2718" t="s">
        <v>20</v>
      </c>
      <c r="D2718" t="s">
        <v>18</v>
      </c>
      <c r="E2718">
        <v>1340.79</v>
      </c>
      <c r="F2718">
        <v>1047.19</v>
      </c>
      <c r="G2718">
        <v>5</v>
      </c>
      <c r="H2718">
        <f t="shared" si="252"/>
        <v>6703.95</v>
      </c>
      <c r="I2718">
        <f t="shared" si="256"/>
        <v>5235.9500000000007</v>
      </c>
      <c r="J2718">
        <f t="shared" si="253"/>
        <v>1467.9999999999991</v>
      </c>
      <c r="K2718" s="8">
        <f t="shared" si="254"/>
        <v>0.21897538018630794</v>
      </c>
      <c r="L2718" t="str">
        <f t="shared" si="257"/>
        <v>2024-06</v>
      </c>
      <c r="M2718">
        <f t="shared" si="255"/>
        <v>1467.9999999999991</v>
      </c>
    </row>
    <row r="2719" spans="1:13" x14ac:dyDescent="0.25">
      <c r="A2719" s="1">
        <v>45237</v>
      </c>
      <c r="B2719" t="s">
        <v>21</v>
      </c>
      <c r="C2719" t="s">
        <v>20</v>
      </c>
      <c r="D2719" t="s">
        <v>13</v>
      </c>
      <c r="E2719">
        <v>1879.9</v>
      </c>
      <c r="F2719">
        <v>1129.43</v>
      </c>
      <c r="G2719">
        <v>4</v>
      </c>
      <c r="H2719">
        <f t="shared" si="252"/>
        <v>7519.6</v>
      </c>
      <c r="I2719">
        <f t="shared" si="256"/>
        <v>4517.72</v>
      </c>
      <c r="J2719">
        <f t="shared" si="253"/>
        <v>3001.88</v>
      </c>
      <c r="K2719" s="8">
        <f t="shared" si="254"/>
        <v>0.39920740464918347</v>
      </c>
      <c r="L2719" t="str">
        <f t="shared" si="257"/>
        <v>2023-11</v>
      </c>
      <c r="M2719">
        <f t="shared" si="255"/>
        <v>3001.88</v>
      </c>
    </row>
    <row r="2720" spans="1:13" x14ac:dyDescent="0.25">
      <c r="A2720" s="1">
        <v>45162</v>
      </c>
      <c r="B2720" t="s">
        <v>14</v>
      </c>
      <c r="C2720" t="s">
        <v>15</v>
      </c>
      <c r="D2720" t="s">
        <v>17</v>
      </c>
      <c r="E2720">
        <v>729.46</v>
      </c>
      <c r="F2720">
        <v>365.92</v>
      </c>
      <c r="G2720">
        <v>1</v>
      </c>
      <c r="H2720">
        <f t="shared" si="252"/>
        <v>729.46</v>
      </c>
      <c r="I2720">
        <f t="shared" si="256"/>
        <v>365.92</v>
      </c>
      <c r="J2720">
        <f t="shared" si="253"/>
        <v>363.54</v>
      </c>
      <c r="K2720" s="8">
        <f t="shared" si="254"/>
        <v>0.49836865626627919</v>
      </c>
      <c r="L2720" t="str">
        <f t="shared" si="257"/>
        <v>2023-08</v>
      </c>
      <c r="M2720">
        <f t="shared" si="255"/>
        <v>363.54</v>
      </c>
    </row>
    <row r="2721" spans="1:13" x14ac:dyDescent="0.25">
      <c r="A2721" s="1">
        <v>45191</v>
      </c>
      <c r="B2721" t="s">
        <v>19</v>
      </c>
      <c r="C2721" t="s">
        <v>20</v>
      </c>
      <c r="D2721" t="s">
        <v>9</v>
      </c>
      <c r="E2721">
        <v>1154.06</v>
      </c>
      <c r="F2721">
        <v>877.72</v>
      </c>
      <c r="G2721">
        <v>5</v>
      </c>
      <c r="H2721">
        <f t="shared" si="252"/>
        <v>5770.2999999999993</v>
      </c>
      <c r="I2721">
        <f t="shared" si="256"/>
        <v>4388.6000000000004</v>
      </c>
      <c r="J2721">
        <f t="shared" si="253"/>
        <v>1381.6999999999989</v>
      </c>
      <c r="K2721" s="8">
        <f t="shared" si="254"/>
        <v>0.23945028854652256</v>
      </c>
      <c r="L2721" t="str">
        <f t="shared" si="257"/>
        <v>2023-09</v>
      </c>
      <c r="M2721">
        <f t="shared" si="255"/>
        <v>1381.6999999999989</v>
      </c>
    </row>
    <row r="2722" spans="1:13" x14ac:dyDescent="0.25">
      <c r="A2722" s="1">
        <v>44967</v>
      </c>
      <c r="B2722" t="s">
        <v>12</v>
      </c>
      <c r="C2722" t="s">
        <v>8</v>
      </c>
      <c r="D2722" t="s">
        <v>17</v>
      </c>
      <c r="E2722">
        <v>581.54</v>
      </c>
      <c r="F2722">
        <v>308.54000000000002</v>
      </c>
      <c r="G2722">
        <v>4</v>
      </c>
      <c r="H2722">
        <f t="shared" si="252"/>
        <v>2326.16</v>
      </c>
      <c r="I2722">
        <f t="shared" si="256"/>
        <v>1234.1600000000001</v>
      </c>
      <c r="J2722">
        <f t="shared" si="253"/>
        <v>1091.9999999999998</v>
      </c>
      <c r="K2722" s="8">
        <f t="shared" si="254"/>
        <v>0.46944320253121019</v>
      </c>
      <c r="L2722" t="str">
        <f t="shared" si="257"/>
        <v>2023-02</v>
      </c>
      <c r="M2722">
        <f t="shared" si="255"/>
        <v>1091.9999999999998</v>
      </c>
    </row>
    <row r="2723" spans="1:13" x14ac:dyDescent="0.25">
      <c r="A2723" s="1">
        <v>44740</v>
      </c>
      <c r="B2723" t="s">
        <v>24</v>
      </c>
      <c r="C2723" t="s">
        <v>20</v>
      </c>
      <c r="D2723" t="s">
        <v>13</v>
      </c>
      <c r="E2723">
        <v>281.49</v>
      </c>
      <c r="F2723">
        <v>252.25</v>
      </c>
      <c r="G2723">
        <v>5</v>
      </c>
      <c r="H2723">
        <f t="shared" si="252"/>
        <v>1407.45</v>
      </c>
      <c r="I2723">
        <f t="shared" si="256"/>
        <v>1261.25</v>
      </c>
      <c r="J2723">
        <f t="shared" si="253"/>
        <v>146.20000000000005</v>
      </c>
      <c r="K2723" s="8">
        <f t="shared" si="254"/>
        <v>0.10387580375857049</v>
      </c>
      <c r="L2723" t="str">
        <f t="shared" si="257"/>
        <v>2022-06</v>
      </c>
      <c r="M2723">
        <f t="shared" si="255"/>
        <v>146.20000000000005</v>
      </c>
    </row>
    <row r="2724" spans="1:13" x14ac:dyDescent="0.25">
      <c r="A2724" s="1">
        <v>45254</v>
      </c>
      <c r="B2724" t="s">
        <v>10</v>
      </c>
      <c r="C2724" t="s">
        <v>11</v>
      </c>
      <c r="D2724" t="s">
        <v>9</v>
      </c>
      <c r="E2724">
        <v>1855.18</v>
      </c>
      <c r="F2724">
        <v>1427.7</v>
      </c>
      <c r="G2724">
        <v>10</v>
      </c>
      <c r="H2724">
        <f t="shared" si="252"/>
        <v>18551.8</v>
      </c>
      <c r="I2724">
        <f t="shared" si="256"/>
        <v>14277</v>
      </c>
      <c r="J2724">
        <f t="shared" si="253"/>
        <v>4274.7999999999993</v>
      </c>
      <c r="K2724" s="8">
        <f t="shared" si="254"/>
        <v>0.23042508004614104</v>
      </c>
      <c r="L2724" t="str">
        <f t="shared" si="257"/>
        <v>2023-11</v>
      </c>
      <c r="M2724">
        <f t="shared" si="255"/>
        <v>4274.7999999999993</v>
      </c>
    </row>
    <row r="2725" spans="1:13" x14ac:dyDescent="0.25">
      <c r="A2725" s="1">
        <v>44798</v>
      </c>
      <c r="B2725" t="s">
        <v>7</v>
      </c>
      <c r="C2725" t="s">
        <v>8</v>
      </c>
      <c r="D2725" t="s">
        <v>9</v>
      </c>
      <c r="E2725">
        <v>731.3</v>
      </c>
      <c r="F2725">
        <v>582.98</v>
      </c>
      <c r="G2725">
        <v>9</v>
      </c>
      <c r="H2725">
        <f t="shared" si="252"/>
        <v>6581.7</v>
      </c>
      <c r="I2725">
        <f t="shared" si="256"/>
        <v>5246.82</v>
      </c>
      <c r="J2725">
        <f t="shared" si="253"/>
        <v>1334.88</v>
      </c>
      <c r="K2725" s="8">
        <f t="shared" si="254"/>
        <v>0.20281690140845074</v>
      </c>
      <c r="L2725" t="str">
        <f t="shared" si="257"/>
        <v>2022-08</v>
      </c>
      <c r="M2725">
        <f t="shared" si="255"/>
        <v>1334.88</v>
      </c>
    </row>
    <row r="2726" spans="1:13" x14ac:dyDescent="0.25">
      <c r="A2726" s="1">
        <v>45057</v>
      </c>
      <c r="B2726" t="s">
        <v>19</v>
      </c>
      <c r="C2726" t="s">
        <v>20</v>
      </c>
      <c r="D2726" t="s">
        <v>9</v>
      </c>
      <c r="E2726">
        <v>871.99</v>
      </c>
      <c r="F2726">
        <v>660.9</v>
      </c>
      <c r="G2726">
        <v>9</v>
      </c>
      <c r="H2726">
        <f t="shared" si="252"/>
        <v>7847.91</v>
      </c>
      <c r="I2726">
        <f t="shared" si="256"/>
        <v>5948.0999999999995</v>
      </c>
      <c r="J2726">
        <f t="shared" si="253"/>
        <v>1899.8100000000004</v>
      </c>
      <c r="K2726" s="8">
        <f t="shared" si="254"/>
        <v>0.24207846420257118</v>
      </c>
      <c r="L2726" t="str">
        <f t="shared" si="257"/>
        <v>2023-05</v>
      </c>
      <c r="M2726">
        <f t="shared" si="255"/>
        <v>1899.8100000000004</v>
      </c>
    </row>
    <row r="2727" spans="1:13" x14ac:dyDescent="0.25">
      <c r="A2727" s="1">
        <v>44892</v>
      </c>
      <c r="B2727" t="s">
        <v>25</v>
      </c>
      <c r="C2727" t="s">
        <v>15</v>
      </c>
      <c r="D2727" t="s">
        <v>17</v>
      </c>
      <c r="E2727">
        <v>1710.4</v>
      </c>
      <c r="F2727">
        <v>924.47</v>
      </c>
      <c r="G2727">
        <v>4</v>
      </c>
      <c r="H2727">
        <f t="shared" si="252"/>
        <v>6841.6</v>
      </c>
      <c r="I2727">
        <f t="shared" si="256"/>
        <v>3697.88</v>
      </c>
      <c r="J2727">
        <f t="shared" si="253"/>
        <v>3143.7200000000003</v>
      </c>
      <c r="K2727" s="8">
        <f t="shared" si="254"/>
        <v>0.45950070159027129</v>
      </c>
      <c r="L2727" t="str">
        <f t="shared" si="257"/>
        <v>2022-11</v>
      </c>
      <c r="M2727">
        <f t="shared" si="255"/>
        <v>3143.7200000000003</v>
      </c>
    </row>
    <row r="2728" spans="1:13" x14ac:dyDescent="0.25">
      <c r="A2728" s="1">
        <v>44787</v>
      </c>
      <c r="B2728" t="s">
        <v>24</v>
      </c>
      <c r="C2728" t="s">
        <v>20</v>
      </c>
      <c r="D2728" t="s">
        <v>17</v>
      </c>
      <c r="E2728">
        <v>808.25</v>
      </c>
      <c r="F2728">
        <v>530.92999999999995</v>
      </c>
      <c r="G2728">
        <v>10</v>
      </c>
      <c r="H2728">
        <f t="shared" si="252"/>
        <v>8082.5</v>
      </c>
      <c r="I2728">
        <f t="shared" si="256"/>
        <v>5309.2999999999993</v>
      </c>
      <c r="J2728">
        <f t="shared" si="253"/>
        <v>2773.2000000000007</v>
      </c>
      <c r="K2728" s="8">
        <f t="shared" si="254"/>
        <v>0.34311166099597906</v>
      </c>
      <c r="L2728" t="str">
        <f t="shared" si="257"/>
        <v>2022-08</v>
      </c>
      <c r="M2728">
        <f t="shared" si="255"/>
        <v>2773.2000000000007</v>
      </c>
    </row>
    <row r="2729" spans="1:13" x14ac:dyDescent="0.25">
      <c r="A2729" s="1">
        <v>44610</v>
      </c>
      <c r="B2729" t="s">
        <v>21</v>
      </c>
      <c r="C2729" t="s">
        <v>20</v>
      </c>
      <c r="D2729" t="s">
        <v>18</v>
      </c>
      <c r="E2729">
        <v>568.36</v>
      </c>
      <c r="F2729">
        <v>453.1</v>
      </c>
      <c r="G2729">
        <v>4</v>
      </c>
      <c r="H2729">
        <f t="shared" si="252"/>
        <v>2273.44</v>
      </c>
      <c r="I2729">
        <f t="shared" si="256"/>
        <v>1812.4</v>
      </c>
      <c r="J2729">
        <f t="shared" si="253"/>
        <v>461.03999999999996</v>
      </c>
      <c r="K2729" s="8">
        <f t="shared" si="254"/>
        <v>0.20279400380040818</v>
      </c>
      <c r="L2729" t="str">
        <f t="shared" si="257"/>
        <v>2022-02</v>
      </c>
      <c r="M2729">
        <f t="shared" si="255"/>
        <v>461.03999999999996</v>
      </c>
    </row>
    <row r="2730" spans="1:13" x14ac:dyDescent="0.25">
      <c r="A2730" s="1">
        <v>45319</v>
      </c>
      <c r="B2730" t="s">
        <v>10</v>
      </c>
      <c r="C2730" t="s">
        <v>11</v>
      </c>
      <c r="D2730" t="s">
        <v>17</v>
      </c>
      <c r="E2730">
        <v>457.85</v>
      </c>
      <c r="F2730">
        <v>272.35000000000002</v>
      </c>
      <c r="G2730">
        <v>5</v>
      </c>
      <c r="H2730">
        <f t="shared" si="252"/>
        <v>2289.25</v>
      </c>
      <c r="I2730">
        <f t="shared" si="256"/>
        <v>1361.75</v>
      </c>
      <c r="J2730">
        <f t="shared" si="253"/>
        <v>927.5</v>
      </c>
      <c r="K2730" s="8">
        <f t="shared" si="254"/>
        <v>0.4051545265916785</v>
      </c>
      <c r="L2730" t="str">
        <f t="shared" si="257"/>
        <v>2024-01</v>
      </c>
      <c r="M2730">
        <f t="shared" si="255"/>
        <v>927.5</v>
      </c>
    </row>
    <row r="2731" spans="1:13" x14ac:dyDescent="0.25">
      <c r="A2731" s="1">
        <v>45394</v>
      </c>
      <c r="B2731" t="s">
        <v>25</v>
      </c>
      <c r="C2731" t="s">
        <v>15</v>
      </c>
      <c r="D2731" t="s">
        <v>9</v>
      </c>
      <c r="E2731">
        <v>1621.19</v>
      </c>
      <c r="F2731">
        <v>1033.04</v>
      </c>
      <c r="G2731">
        <v>5</v>
      </c>
      <c r="H2731">
        <f t="shared" si="252"/>
        <v>8105.9500000000007</v>
      </c>
      <c r="I2731">
        <f t="shared" si="256"/>
        <v>5165.2</v>
      </c>
      <c r="J2731">
        <f t="shared" si="253"/>
        <v>2940.7500000000009</v>
      </c>
      <c r="K2731" s="8">
        <f t="shared" si="254"/>
        <v>0.36278906235543035</v>
      </c>
      <c r="L2731" t="str">
        <f t="shared" si="257"/>
        <v>2024-04</v>
      </c>
      <c r="M2731">
        <f t="shared" si="255"/>
        <v>2940.7500000000009</v>
      </c>
    </row>
    <row r="2732" spans="1:13" x14ac:dyDescent="0.25">
      <c r="A2732" s="1">
        <v>44829</v>
      </c>
      <c r="B2732" t="s">
        <v>19</v>
      </c>
      <c r="C2732" t="s">
        <v>20</v>
      </c>
      <c r="D2732" t="s">
        <v>18</v>
      </c>
      <c r="E2732">
        <v>459.93</v>
      </c>
      <c r="F2732">
        <v>298.85000000000002</v>
      </c>
      <c r="G2732">
        <v>8</v>
      </c>
      <c r="H2732">
        <f t="shared" si="252"/>
        <v>3679.44</v>
      </c>
      <c r="I2732">
        <f t="shared" si="256"/>
        <v>2390.8000000000002</v>
      </c>
      <c r="J2732">
        <f t="shared" si="253"/>
        <v>1288.6399999999999</v>
      </c>
      <c r="K2732" s="8">
        <f t="shared" si="254"/>
        <v>0.35022720848824818</v>
      </c>
      <c r="L2732" t="str">
        <f t="shared" si="257"/>
        <v>2022-09</v>
      </c>
      <c r="M2732">
        <f t="shared" si="255"/>
        <v>1288.6399999999999</v>
      </c>
    </row>
    <row r="2733" spans="1:13" x14ac:dyDescent="0.25">
      <c r="A2733" s="1">
        <v>44680</v>
      </c>
      <c r="B2733" t="s">
        <v>24</v>
      </c>
      <c r="C2733" t="s">
        <v>20</v>
      </c>
      <c r="D2733" t="s">
        <v>9</v>
      </c>
      <c r="E2733">
        <v>1677.01</v>
      </c>
      <c r="F2733">
        <v>1104.1500000000001</v>
      </c>
      <c r="G2733">
        <v>10</v>
      </c>
      <c r="H2733">
        <f t="shared" si="252"/>
        <v>16770.099999999999</v>
      </c>
      <c r="I2733">
        <f t="shared" si="256"/>
        <v>11041.5</v>
      </c>
      <c r="J2733">
        <f t="shared" si="253"/>
        <v>5728.5999999999985</v>
      </c>
      <c r="K2733" s="8">
        <f t="shared" si="254"/>
        <v>0.34159605488339362</v>
      </c>
      <c r="L2733" t="str">
        <f t="shared" si="257"/>
        <v>2022-04</v>
      </c>
      <c r="M2733">
        <f t="shared" si="255"/>
        <v>5728.5999999999985</v>
      </c>
    </row>
    <row r="2734" spans="1:13" x14ac:dyDescent="0.25">
      <c r="A2734" s="1">
        <v>45621</v>
      </c>
      <c r="B2734" t="s">
        <v>25</v>
      </c>
      <c r="C2734" t="s">
        <v>15</v>
      </c>
      <c r="D2734" t="s">
        <v>17</v>
      </c>
      <c r="E2734">
        <v>1276.1199999999999</v>
      </c>
      <c r="F2734">
        <v>792.14</v>
      </c>
      <c r="G2734">
        <v>6</v>
      </c>
      <c r="H2734">
        <f t="shared" si="252"/>
        <v>7656.7199999999993</v>
      </c>
      <c r="I2734">
        <f t="shared" si="256"/>
        <v>4752.84</v>
      </c>
      <c r="J2734">
        <f t="shared" si="253"/>
        <v>2903.8799999999992</v>
      </c>
      <c r="K2734" s="8">
        <f t="shared" si="254"/>
        <v>0.3792590038554367</v>
      </c>
      <c r="L2734" t="str">
        <f t="shared" si="257"/>
        <v>2024-11</v>
      </c>
      <c r="M2734">
        <f t="shared" si="255"/>
        <v>2903.8799999999992</v>
      </c>
    </row>
    <row r="2735" spans="1:13" x14ac:dyDescent="0.25">
      <c r="A2735" s="1">
        <v>45258</v>
      </c>
      <c r="B2735" t="s">
        <v>22</v>
      </c>
      <c r="C2735" t="s">
        <v>8</v>
      </c>
      <c r="D2735" t="s">
        <v>17</v>
      </c>
      <c r="E2735">
        <v>291.51</v>
      </c>
      <c r="F2735">
        <v>195.32</v>
      </c>
      <c r="G2735">
        <v>9</v>
      </c>
      <c r="H2735">
        <f t="shared" si="252"/>
        <v>2623.59</v>
      </c>
      <c r="I2735">
        <f t="shared" si="256"/>
        <v>1757.8799999999999</v>
      </c>
      <c r="J2735">
        <f t="shared" si="253"/>
        <v>865.71000000000026</v>
      </c>
      <c r="K2735" s="8">
        <f t="shared" si="254"/>
        <v>0.329971527563377</v>
      </c>
      <c r="L2735" t="str">
        <f t="shared" si="257"/>
        <v>2023-11</v>
      </c>
      <c r="M2735">
        <f t="shared" si="255"/>
        <v>865.71000000000026</v>
      </c>
    </row>
    <row r="2736" spans="1:13" x14ac:dyDescent="0.25">
      <c r="A2736" s="1">
        <v>44728</v>
      </c>
      <c r="B2736" t="s">
        <v>23</v>
      </c>
      <c r="C2736" t="s">
        <v>11</v>
      </c>
      <c r="D2736" t="s">
        <v>9</v>
      </c>
      <c r="E2736">
        <v>182.2</v>
      </c>
      <c r="F2736">
        <v>143.63999999999999</v>
      </c>
      <c r="G2736">
        <v>7</v>
      </c>
      <c r="H2736">
        <f t="shared" si="252"/>
        <v>1275.3999999999999</v>
      </c>
      <c r="I2736">
        <f t="shared" si="256"/>
        <v>1005.4799999999999</v>
      </c>
      <c r="J2736">
        <f t="shared" si="253"/>
        <v>269.91999999999996</v>
      </c>
      <c r="K2736" s="8">
        <f t="shared" si="254"/>
        <v>0.21163556531284303</v>
      </c>
      <c r="L2736" t="str">
        <f t="shared" si="257"/>
        <v>2022-06</v>
      </c>
      <c r="M2736">
        <f t="shared" si="255"/>
        <v>269.91999999999996</v>
      </c>
    </row>
    <row r="2737" spans="1:13" x14ac:dyDescent="0.25">
      <c r="A2737" s="1">
        <v>44691</v>
      </c>
      <c r="B2737" t="s">
        <v>23</v>
      </c>
      <c r="C2737" t="s">
        <v>11</v>
      </c>
      <c r="D2737" t="s">
        <v>17</v>
      </c>
      <c r="E2737">
        <v>1530.86</v>
      </c>
      <c r="F2737">
        <v>773.08</v>
      </c>
      <c r="G2737">
        <v>1</v>
      </c>
      <c r="H2737">
        <f t="shared" si="252"/>
        <v>1530.86</v>
      </c>
      <c r="I2737">
        <f t="shared" si="256"/>
        <v>773.08</v>
      </c>
      <c r="J2737">
        <f t="shared" si="253"/>
        <v>757.77999999999986</v>
      </c>
      <c r="K2737" s="8">
        <f t="shared" si="254"/>
        <v>0.49500280887866943</v>
      </c>
      <c r="L2737" t="str">
        <f t="shared" si="257"/>
        <v>2022-05</v>
      </c>
      <c r="M2737">
        <f t="shared" si="255"/>
        <v>757.77999999999986</v>
      </c>
    </row>
    <row r="2738" spans="1:13" x14ac:dyDescent="0.25">
      <c r="A2738" s="1">
        <v>45556</v>
      </c>
      <c r="B2738" t="s">
        <v>19</v>
      </c>
      <c r="C2738" t="s">
        <v>20</v>
      </c>
      <c r="D2738" t="s">
        <v>9</v>
      </c>
      <c r="E2738">
        <v>1705.43</v>
      </c>
      <c r="F2738">
        <v>970.32</v>
      </c>
      <c r="G2738">
        <v>10</v>
      </c>
      <c r="H2738">
        <f t="shared" si="252"/>
        <v>17054.3</v>
      </c>
      <c r="I2738">
        <f t="shared" si="256"/>
        <v>9703.2000000000007</v>
      </c>
      <c r="J2738">
        <f t="shared" si="253"/>
        <v>7351.0999999999985</v>
      </c>
      <c r="K2738" s="8">
        <f t="shared" si="254"/>
        <v>0.43104085186727092</v>
      </c>
      <c r="L2738" t="str">
        <f t="shared" si="257"/>
        <v>2024-09</v>
      </c>
      <c r="M2738">
        <f t="shared" si="255"/>
        <v>7351.0999999999985</v>
      </c>
    </row>
    <row r="2739" spans="1:13" x14ac:dyDescent="0.25">
      <c r="A2739" s="1">
        <v>44618</v>
      </c>
      <c r="B2739" t="s">
        <v>7</v>
      </c>
      <c r="C2739" t="s">
        <v>8</v>
      </c>
      <c r="D2739" t="s">
        <v>9</v>
      </c>
      <c r="E2739">
        <v>369.35</v>
      </c>
      <c r="F2739">
        <v>190.17</v>
      </c>
      <c r="G2739">
        <v>1</v>
      </c>
      <c r="H2739">
        <f t="shared" si="252"/>
        <v>369.35</v>
      </c>
      <c r="I2739">
        <f t="shared" si="256"/>
        <v>190.17</v>
      </c>
      <c r="J2739">
        <f t="shared" si="253"/>
        <v>179.18000000000004</v>
      </c>
      <c r="K2739" s="8">
        <f t="shared" si="254"/>
        <v>0.48512251252199817</v>
      </c>
      <c r="L2739" t="str">
        <f t="shared" si="257"/>
        <v>2022-02</v>
      </c>
      <c r="M2739">
        <f t="shared" si="255"/>
        <v>179.18000000000004</v>
      </c>
    </row>
    <row r="2740" spans="1:13" x14ac:dyDescent="0.25">
      <c r="A2740" s="1">
        <v>45535</v>
      </c>
      <c r="B2740" t="s">
        <v>10</v>
      </c>
      <c r="C2740" t="s">
        <v>11</v>
      </c>
      <c r="D2740" t="s">
        <v>17</v>
      </c>
      <c r="E2740">
        <v>1424.83</v>
      </c>
      <c r="F2740">
        <v>806.19</v>
      </c>
      <c r="G2740">
        <v>2</v>
      </c>
      <c r="H2740">
        <f t="shared" si="252"/>
        <v>2849.66</v>
      </c>
      <c r="I2740">
        <f t="shared" si="256"/>
        <v>1612.38</v>
      </c>
      <c r="J2740">
        <f t="shared" si="253"/>
        <v>1237.2799999999997</v>
      </c>
      <c r="K2740" s="8">
        <f t="shared" si="254"/>
        <v>0.43418513085771632</v>
      </c>
      <c r="L2740" t="str">
        <f t="shared" si="257"/>
        <v>2024-08</v>
      </c>
      <c r="M2740">
        <f t="shared" si="255"/>
        <v>1237.2799999999997</v>
      </c>
    </row>
    <row r="2741" spans="1:13" x14ac:dyDescent="0.25">
      <c r="A2741" s="1">
        <v>44813</v>
      </c>
      <c r="B2741" t="s">
        <v>23</v>
      </c>
      <c r="C2741" t="s">
        <v>11</v>
      </c>
      <c r="D2741" t="s">
        <v>13</v>
      </c>
      <c r="E2741">
        <v>441.37</v>
      </c>
      <c r="F2741">
        <v>306.20999999999998</v>
      </c>
      <c r="G2741">
        <v>2</v>
      </c>
      <c r="H2741">
        <f t="shared" si="252"/>
        <v>882.74</v>
      </c>
      <c r="I2741">
        <f t="shared" si="256"/>
        <v>612.41999999999996</v>
      </c>
      <c r="J2741">
        <f t="shared" si="253"/>
        <v>270.32000000000005</v>
      </c>
      <c r="K2741" s="8">
        <f t="shared" si="254"/>
        <v>0.306228334503931</v>
      </c>
      <c r="L2741" t="str">
        <f t="shared" si="257"/>
        <v>2022-09</v>
      </c>
      <c r="M2741">
        <f t="shared" si="255"/>
        <v>270.32000000000005</v>
      </c>
    </row>
    <row r="2742" spans="1:13" x14ac:dyDescent="0.25">
      <c r="A2742" s="1">
        <v>44626</v>
      </c>
      <c r="B2742" t="s">
        <v>23</v>
      </c>
      <c r="C2742" t="s">
        <v>11</v>
      </c>
      <c r="D2742" t="s">
        <v>9</v>
      </c>
      <c r="E2742">
        <v>1355.89</v>
      </c>
      <c r="F2742">
        <v>1197.83</v>
      </c>
      <c r="G2742">
        <v>3</v>
      </c>
      <c r="H2742">
        <f t="shared" si="252"/>
        <v>4067.67</v>
      </c>
      <c r="I2742">
        <f t="shared" si="256"/>
        <v>3593.49</v>
      </c>
      <c r="J2742">
        <f t="shared" si="253"/>
        <v>474.18000000000029</v>
      </c>
      <c r="K2742" s="8">
        <f t="shared" si="254"/>
        <v>0.11657287833083811</v>
      </c>
      <c r="L2742" t="str">
        <f t="shared" si="257"/>
        <v>2022-03</v>
      </c>
      <c r="M2742">
        <f t="shared" si="255"/>
        <v>474.18000000000029</v>
      </c>
    </row>
    <row r="2743" spans="1:13" x14ac:dyDescent="0.25">
      <c r="A2743" s="1">
        <v>45289</v>
      </c>
      <c r="B2743" t="s">
        <v>14</v>
      </c>
      <c r="C2743" t="s">
        <v>15</v>
      </c>
      <c r="D2743" t="s">
        <v>18</v>
      </c>
      <c r="E2743">
        <v>623.45000000000005</v>
      </c>
      <c r="F2743">
        <v>364.52</v>
      </c>
      <c r="G2743">
        <v>3</v>
      </c>
      <c r="H2743">
        <f t="shared" si="252"/>
        <v>1870.3500000000001</v>
      </c>
      <c r="I2743">
        <f t="shared" si="256"/>
        <v>1093.56</v>
      </c>
      <c r="J2743">
        <f t="shared" si="253"/>
        <v>776.79000000000019</v>
      </c>
      <c r="K2743" s="8">
        <f t="shared" si="254"/>
        <v>0.41531798861175723</v>
      </c>
      <c r="L2743" t="str">
        <f t="shared" si="257"/>
        <v>2023-12</v>
      </c>
      <c r="M2743">
        <f t="shared" si="255"/>
        <v>776.79000000000019</v>
      </c>
    </row>
    <row r="2744" spans="1:13" x14ac:dyDescent="0.25">
      <c r="A2744" s="1">
        <v>45301</v>
      </c>
      <c r="B2744" t="s">
        <v>25</v>
      </c>
      <c r="C2744" t="s">
        <v>15</v>
      </c>
      <c r="D2744" t="s">
        <v>13</v>
      </c>
      <c r="E2744">
        <v>1422.17</v>
      </c>
      <c r="F2744">
        <v>1164.6500000000001</v>
      </c>
      <c r="G2744">
        <v>6</v>
      </c>
      <c r="H2744">
        <f t="shared" si="252"/>
        <v>8533.02</v>
      </c>
      <c r="I2744">
        <f t="shared" si="256"/>
        <v>6987.9000000000005</v>
      </c>
      <c r="J2744">
        <f t="shared" si="253"/>
        <v>1545.12</v>
      </c>
      <c r="K2744" s="8">
        <f t="shared" si="254"/>
        <v>0.18107539886230195</v>
      </c>
      <c r="L2744" t="str">
        <f t="shared" si="257"/>
        <v>2024-01</v>
      </c>
      <c r="M2744">
        <f t="shared" si="255"/>
        <v>1545.12</v>
      </c>
    </row>
    <row r="2745" spans="1:13" x14ac:dyDescent="0.25">
      <c r="A2745" s="1">
        <v>45090</v>
      </c>
      <c r="B2745" t="s">
        <v>24</v>
      </c>
      <c r="C2745" t="s">
        <v>20</v>
      </c>
      <c r="D2745" t="s">
        <v>17</v>
      </c>
      <c r="E2745">
        <v>1641.84</v>
      </c>
      <c r="F2745">
        <v>1426.98</v>
      </c>
      <c r="G2745">
        <v>7</v>
      </c>
      <c r="H2745">
        <f t="shared" si="252"/>
        <v>11492.88</v>
      </c>
      <c r="I2745">
        <f t="shared" si="256"/>
        <v>9988.86</v>
      </c>
      <c r="J2745">
        <f t="shared" si="253"/>
        <v>1504.0199999999986</v>
      </c>
      <c r="K2745" s="8">
        <f t="shared" si="254"/>
        <v>0.13086537055985956</v>
      </c>
      <c r="L2745" t="str">
        <f t="shared" si="257"/>
        <v>2023-06</v>
      </c>
      <c r="M2745">
        <f t="shared" si="255"/>
        <v>1504.0199999999986</v>
      </c>
    </row>
    <row r="2746" spans="1:13" x14ac:dyDescent="0.25">
      <c r="A2746" s="1">
        <v>45460</v>
      </c>
      <c r="B2746" t="s">
        <v>23</v>
      </c>
      <c r="C2746" t="s">
        <v>11</v>
      </c>
      <c r="D2746" t="s">
        <v>18</v>
      </c>
      <c r="E2746">
        <v>392.63</v>
      </c>
      <c r="F2746">
        <v>241.75</v>
      </c>
      <c r="G2746">
        <v>10</v>
      </c>
      <c r="H2746">
        <f t="shared" si="252"/>
        <v>3926.3</v>
      </c>
      <c r="I2746">
        <f t="shared" si="256"/>
        <v>2417.5</v>
      </c>
      <c r="J2746">
        <f t="shared" si="253"/>
        <v>1508.8000000000002</v>
      </c>
      <c r="K2746" s="8">
        <f t="shared" si="254"/>
        <v>0.38428036573873625</v>
      </c>
      <c r="L2746" t="str">
        <f t="shared" si="257"/>
        <v>2024-06</v>
      </c>
      <c r="M2746">
        <f t="shared" si="255"/>
        <v>1508.8000000000002</v>
      </c>
    </row>
    <row r="2747" spans="1:13" x14ac:dyDescent="0.25">
      <c r="A2747" s="1">
        <v>44732</v>
      </c>
      <c r="B2747" t="s">
        <v>22</v>
      </c>
      <c r="C2747" t="s">
        <v>8</v>
      </c>
      <c r="D2747" t="s">
        <v>17</v>
      </c>
      <c r="E2747">
        <v>356.95</v>
      </c>
      <c r="F2747">
        <v>242.3</v>
      </c>
      <c r="G2747">
        <v>9</v>
      </c>
      <c r="H2747">
        <f t="shared" si="252"/>
        <v>3212.5499999999997</v>
      </c>
      <c r="I2747">
        <f t="shared" si="256"/>
        <v>2180.7000000000003</v>
      </c>
      <c r="J2747">
        <f t="shared" si="253"/>
        <v>1031.8499999999995</v>
      </c>
      <c r="K2747" s="8">
        <f t="shared" si="254"/>
        <v>0.32119344446000825</v>
      </c>
      <c r="L2747" t="str">
        <f t="shared" si="257"/>
        <v>2022-06</v>
      </c>
      <c r="M2747">
        <f t="shared" si="255"/>
        <v>1031.8499999999995</v>
      </c>
    </row>
    <row r="2748" spans="1:13" x14ac:dyDescent="0.25">
      <c r="A2748" s="1">
        <v>45355</v>
      </c>
      <c r="B2748" t="s">
        <v>10</v>
      </c>
      <c r="C2748" t="s">
        <v>11</v>
      </c>
      <c r="D2748" t="s">
        <v>9</v>
      </c>
      <c r="E2748">
        <v>1749.16</v>
      </c>
      <c r="F2748">
        <v>999.13</v>
      </c>
      <c r="G2748">
        <v>1</v>
      </c>
      <c r="H2748">
        <f t="shared" si="252"/>
        <v>1749.16</v>
      </c>
      <c r="I2748">
        <f t="shared" si="256"/>
        <v>999.13</v>
      </c>
      <c r="J2748">
        <f t="shared" si="253"/>
        <v>750.03000000000009</v>
      </c>
      <c r="K2748" s="8">
        <f t="shared" si="254"/>
        <v>0.42879439273708525</v>
      </c>
      <c r="L2748" t="str">
        <f t="shared" si="257"/>
        <v>2024-03</v>
      </c>
      <c r="M2748">
        <f t="shared" si="255"/>
        <v>750.03000000000009</v>
      </c>
    </row>
    <row r="2749" spans="1:13" x14ac:dyDescent="0.25">
      <c r="A2749" s="1">
        <v>45029</v>
      </c>
      <c r="B2749" t="s">
        <v>14</v>
      </c>
      <c r="C2749" t="s">
        <v>15</v>
      </c>
      <c r="D2749" t="s">
        <v>18</v>
      </c>
      <c r="E2749">
        <v>1160.8499999999999</v>
      </c>
      <c r="F2749">
        <v>852.57</v>
      </c>
      <c r="G2749">
        <v>6</v>
      </c>
      <c r="H2749">
        <f t="shared" si="252"/>
        <v>6965.0999999999995</v>
      </c>
      <c r="I2749">
        <f t="shared" si="256"/>
        <v>5115.42</v>
      </c>
      <c r="J2749">
        <f t="shared" si="253"/>
        <v>1849.6799999999994</v>
      </c>
      <c r="K2749" s="8">
        <f t="shared" si="254"/>
        <v>0.26556402635999476</v>
      </c>
      <c r="L2749" t="str">
        <f t="shared" si="257"/>
        <v>2023-04</v>
      </c>
      <c r="M2749">
        <f t="shared" si="255"/>
        <v>1849.6799999999994</v>
      </c>
    </row>
    <row r="2750" spans="1:13" x14ac:dyDescent="0.25">
      <c r="A2750" s="1">
        <v>45204</v>
      </c>
      <c r="B2750" t="s">
        <v>14</v>
      </c>
      <c r="C2750" t="s">
        <v>15</v>
      </c>
      <c r="D2750" t="s">
        <v>13</v>
      </c>
      <c r="E2750">
        <v>439.5</v>
      </c>
      <c r="F2750">
        <v>348.75</v>
      </c>
      <c r="G2750">
        <v>4</v>
      </c>
      <c r="H2750">
        <f t="shared" si="252"/>
        <v>1758</v>
      </c>
      <c r="I2750">
        <f t="shared" si="256"/>
        <v>1395</v>
      </c>
      <c r="J2750">
        <f t="shared" si="253"/>
        <v>363</v>
      </c>
      <c r="K2750" s="8">
        <f t="shared" si="254"/>
        <v>0.20648464163822525</v>
      </c>
      <c r="L2750" t="str">
        <f t="shared" si="257"/>
        <v>2023-10</v>
      </c>
      <c r="M2750">
        <f t="shared" si="255"/>
        <v>363</v>
      </c>
    </row>
    <row r="2751" spans="1:13" x14ac:dyDescent="0.25">
      <c r="A2751" s="1">
        <v>45583</v>
      </c>
      <c r="B2751" t="s">
        <v>12</v>
      </c>
      <c r="C2751" t="s">
        <v>8</v>
      </c>
      <c r="D2751" t="s">
        <v>17</v>
      </c>
      <c r="E2751">
        <v>620.38</v>
      </c>
      <c r="F2751">
        <v>554.87</v>
      </c>
      <c r="G2751">
        <v>8</v>
      </c>
      <c r="H2751">
        <f t="shared" si="252"/>
        <v>4963.04</v>
      </c>
      <c r="I2751">
        <f t="shared" si="256"/>
        <v>4438.96</v>
      </c>
      <c r="J2751">
        <f t="shared" si="253"/>
        <v>524.07999999999993</v>
      </c>
      <c r="K2751" s="8">
        <f t="shared" si="254"/>
        <v>0.10559656984428897</v>
      </c>
      <c r="L2751" t="str">
        <f t="shared" si="257"/>
        <v>2024-10</v>
      </c>
      <c r="M2751">
        <f t="shared" si="255"/>
        <v>524.07999999999993</v>
      </c>
    </row>
    <row r="2752" spans="1:13" x14ac:dyDescent="0.25">
      <c r="A2752" s="1">
        <v>45234</v>
      </c>
      <c r="B2752" t="s">
        <v>16</v>
      </c>
      <c r="C2752" t="s">
        <v>15</v>
      </c>
      <c r="D2752" t="s">
        <v>17</v>
      </c>
      <c r="E2752">
        <v>1134.48</v>
      </c>
      <c r="F2752">
        <v>745.63</v>
      </c>
      <c r="G2752">
        <v>6</v>
      </c>
      <c r="H2752">
        <f t="shared" si="252"/>
        <v>6806.88</v>
      </c>
      <c r="I2752">
        <f t="shared" si="256"/>
        <v>4473.78</v>
      </c>
      <c r="J2752">
        <f t="shared" si="253"/>
        <v>2333.1000000000004</v>
      </c>
      <c r="K2752" s="8">
        <f t="shared" si="254"/>
        <v>0.34275615259854741</v>
      </c>
      <c r="L2752" t="str">
        <f t="shared" si="257"/>
        <v>2023-11</v>
      </c>
      <c r="M2752">
        <f t="shared" si="255"/>
        <v>2333.1000000000004</v>
      </c>
    </row>
    <row r="2753" spans="1:13" x14ac:dyDescent="0.25">
      <c r="A2753" s="1">
        <v>45143</v>
      </c>
      <c r="B2753" t="s">
        <v>16</v>
      </c>
      <c r="C2753" t="s">
        <v>15</v>
      </c>
      <c r="D2753" t="s">
        <v>13</v>
      </c>
      <c r="E2753">
        <v>124.88</v>
      </c>
      <c r="F2753">
        <v>100.01</v>
      </c>
      <c r="G2753">
        <v>9</v>
      </c>
      <c r="H2753">
        <f t="shared" si="252"/>
        <v>1123.92</v>
      </c>
      <c r="I2753">
        <f t="shared" si="256"/>
        <v>900.09</v>
      </c>
      <c r="J2753">
        <f t="shared" si="253"/>
        <v>223.83000000000004</v>
      </c>
      <c r="K2753" s="8">
        <f t="shared" si="254"/>
        <v>0.19915118513773225</v>
      </c>
      <c r="L2753" t="str">
        <f t="shared" si="257"/>
        <v>2023-08</v>
      </c>
      <c r="M2753">
        <f t="shared" si="255"/>
        <v>223.83000000000004</v>
      </c>
    </row>
    <row r="2754" spans="1:13" x14ac:dyDescent="0.25">
      <c r="A2754" s="1">
        <v>45592</v>
      </c>
      <c r="B2754" t="s">
        <v>19</v>
      </c>
      <c r="C2754" t="s">
        <v>20</v>
      </c>
      <c r="D2754" t="s">
        <v>17</v>
      </c>
      <c r="E2754">
        <v>1160.06</v>
      </c>
      <c r="F2754">
        <v>870.98</v>
      </c>
      <c r="G2754">
        <v>8</v>
      </c>
      <c r="H2754">
        <f t="shared" si="252"/>
        <v>9280.48</v>
      </c>
      <c r="I2754">
        <f t="shared" si="256"/>
        <v>6967.84</v>
      </c>
      <c r="J2754">
        <f t="shared" si="253"/>
        <v>2312.6399999999994</v>
      </c>
      <c r="K2754" s="8">
        <f t="shared" si="254"/>
        <v>0.24919400720652374</v>
      </c>
      <c r="L2754" t="str">
        <f t="shared" si="257"/>
        <v>2024-10</v>
      </c>
      <c r="M2754">
        <f t="shared" si="255"/>
        <v>2312.6399999999994</v>
      </c>
    </row>
    <row r="2755" spans="1:13" x14ac:dyDescent="0.25">
      <c r="A2755" s="1">
        <v>44673</v>
      </c>
      <c r="B2755" t="s">
        <v>7</v>
      </c>
      <c r="C2755" t="s">
        <v>8</v>
      </c>
      <c r="D2755" t="s">
        <v>9</v>
      </c>
      <c r="E2755">
        <v>1657.41</v>
      </c>
      <c r="F2755">
        <v>1134.4000000000001</v>
      </c>
      <c r="G2755">
        <v>8</v>
      </c>
      <c r="H2755">
        <f t="shared" ref="H2755:H2818" si="258">E2755*G2755</f>
        <v>13259.28</v>
      </c>
      <c r="I2755">
        <f t="shared" si="256"/>
        <v>9075.2000000000007</v>
      </c>
      <c r="J2755">
        <f t="shared" ref="J2755:J2818" si="259">H2755-I2755</f>
        <v>4184.08</v>
      </c>
      <c r="K2755" s="8">
        <f t="shared" ref="K2755:K2818" si="260">(H2755-I2755)/H2755</f>
        <v>0.3155586125340139</v>
      </c>
      <c r="L2755" t="str">
        <f t="shared" si="257"/>
        <v>2022-04</v>
      </c>
      <c r="M2755">
        <f t="shared" ref="M2755:M2818" si="261">H2755-I2755</f>
        <v>4184.08</v>
      </c>
    </row>
    <row r="2756" spans="1:13" x14ac:dyDescent="0.25">
      <c r="A2756" s="1">
        <v>45147</v>
      </c>
      <c r="B2756" t="s">
        <v>10</v>
      </c>
      <c r="C2756" t="s">
        <v>11</v>
      </c>
      <c r="D2756" t="s">
        <v>18</v>
      </c>
      <c r="E2756">
        <v>303.79000000000002</v>
      </c>
      <c r="F2756">
        <v>260.11</v>
      </c>
      <c r="G2756">
        <v>7</v>
      </c>
      <c r="H2756">
        <f t="shared" si="258"/>
        <v>2126.5300000000002</v>
      </c>
      <c r="I2756">
        <f t="shared" ref="I2756:I2819" si="262">F2756*G2756</f>
        <v>1820.77</v>
      </c>
      <c r="J2756">
        <f t="shared" si="259"/>
        <v>305.76000000000022</v>
      </c>
      <c r="K2756" s="8">
        <f t="shared" si="260"/>
        <v>0.14378353467856095</v>
      </c>
      <c r="L2756" t="str">
        <f t="shared" ref="L2756:L2819" si="263">TEXT(A2756,"rrrr-mm")</f>
        <v>2023-08</v>
      </c>
      <c r="M2756">
        <f t="shared" si="261"/>
        <v>305.76000000000022</v>
      </c>
    </row>
    <row r="2757" spans="1:13" x14ac:dyDescent="0.25">
      <c r="A2757" s="1">
        <v>44609</v>
      </c>
      <c r="B2757" t="s">
        <v>25</v>
      </c>
      <c r="C2757" t="s">
        <v>15</v>
      </c>
      <c r="D2757" t="s">
        <v>13</v>
      </c>
      <c r="E2757">
        <v>1309.75</v>
      </c>
      <c r="F2757">
        <v>1024.75</v>
      </c>
      <c r="G2757">
        <v>5</v>
      </c>
      <c r="H2757">
        <f t="shared" si="258"/>
        <v>6548.75</v>
      </c>
      <c r="I2757">
        <f t="shared" si="262"/>
        <v>5123.75</v>
      </c>
      <c r="J2757">
        <f t="shared" si="259"/>
        <v>1425</v>
      </c>
      <c r="K2757" s="8">
        <f t="shared" si="260"/>
        <v>0.21759877839282304</v>
      </c>
      <c r="L2757" t="str">
        <f t="shared" si="263"/>
        <v>2022-02</v>
      </c>
      <c r="M2757">
        <f t="shared" si="261"/>
        <v>1425</v>
      </c>
    </row>
    <row r="2758" spans="1:13" x14ac:dyDescent="0.25">
      <c r="A2758" s="1">
        <v>45392</v>
      </c>
      <c r="B2758" t="s">
        <v>12</v>
      </c>
      <c r="C2758" t="s">
        <v>8</v>
      </c>
      <c r="D2758" t="s">
        <v>9</v>
      </c>
      <c r="E2758">
        <v>1039.76</v>
      </c>
      <c r="F2758">
        <v>702.48</v>
      </c>
      <c r="G2758">
        <v>5</v>
      </c>
      <c r="H2758">
        <f t="shared" si="258"/>
        <v>5198.8</v>
      </c>
      <c r="I2758">
        <f t="shared" si="262"/>
        <v>3512.4</v>
      </c>
      <c r="J2758">
        <f t="shared" si="259"/>
        <v>1686.4</v>
      </c>
      <c r="K2758" s="8">
        <f t="shared" si="260"/>
        <v>0.32438254981918907</v>
      </c>
      <c r="L2758" t="str">
        <f t="shared" si="263"/>
        <v>2024-04</v>
      </c>
      <c r="M2758">
        <f t="shared" si="261"/>
        <v>1686.4</v>
      </c>
    </row>
    <row r="2759" spans="1:13" x14ac:dyDescent="0.25">
      <c r="A2759" s="1">
        <v>45150</v>
      </c>
      <c r="B2759" t="s">
        <v>25</v>
      </c>
      <c r="C2759" t="s">
        <v>15</v>
      </c>
      <c r="D2759" t="s">
        <v>18</v>
      </c>
      <c r="E2759">
        <v>214.23</v>
      </c>
      <c r="F2759">
        <v>189.72</v>
      </c>
      <c r="G2759">
        <v>4</v>
      </c>
      <c r="H2759">
        <f t="shared" si="258"/>
        <v>856.92</v>
      </c>
      <c r="I2759">
        <f t="shared" si="262"/>
        <v>758.88</v>
      </c>
      <c r="J2759">
        <f t="shared" si="259"/>
        <v>98.039999999999964</v>
      </c>
      <c r="K2759" s="8">
        <f t="shared" si="260"/>
        <v>0.11440974653409883</v>
      </c>
      <c r="L2759" t="str">
        <f t="shared" si="263"/>
        <v>2023-08</v>
      </c>
      <c r="M2759">
        <f t="shared" si="261"/>
        <v>98.039999999999964</v>
      </c>
    </row>
    <row r="2760" spans="1:13" x14ac:dyDescent="0.25">
      <c r="A2760" s="1">
        <v>45324</v>
      </c>
      <c r="B2760" t="s">
        <v>14</v>
      </c>
      <c r="C2760" t="s">
        <v>15</v>
      </c>
      <c r="D2760" t="s">
        <v>17</v>
      </c>
      <c r="E2760">
        <v>1052.07</v>
      </c>
      <c r="F2760">
        <v>652.79999999999995</v>
      </c>
      <c r="G2760">
        <v>8</v>
      </c>
      <c r="H2760">
        <f t="shared" si="258"/>
        <v>8416.56</v>
      </c>
      <c r="I2760">
        <f t="shared" si="262"/>
        <v>5222.3999999999996</v>
      </c>
      <c r="J2760">
        <f t="shared" si="259"/>
        <v>3194.16</v>
      </c>
      <c r="K2760" s="8">
        <f t="shared" si="260"/>
        <v>0.37950896803444639</v>
      </c>
      <c r="L2760" t="str">
        <f t="shared" si="263"/>
        <v>2024-02</v>
      </c>
      <c r="M2760">
        <f t="shared" si="261"/>
        <v>3194.16</v>
      </c>
    </row>
    <row r="2761" spans="1:13" x14ac:dyDescent="0.25">
      <c r="A2761" s="1">
        <v>45500</v>
      </c>
      <c r="B2761" t="s">
        <v>23</v>
      </c>
      <c r="C2761" t="s">
        <v>11</v>
      </c>
      <c r="D2761" t="s">
        <v>18</v>
      </c>
      <c r="E2761">
        <v>1401.4</v>
      </c>
      <c r="F2761">
        <v>816.75</v>
      </c>
      <c r="G2761">
        <v>4</v>
      </c>
      <c r="H2761">
        <f t="shared" si="258"/>
        <v>5605.6</v>
      </c>
      <c r="I2761">
        <f t="shared" si="262"/>
        <v>3267</v>
      </c>
      <c r="J2761">
        <f t="shared" si="259"/>
        <v>2338.6000000000004</v>
      </c>
      <c r="K2761" s="8">
        <f t="shared" si="260"/>
        <v>0.41718995290423866</v>
      </c>
      <c r="L2761" t="str">
        <f t="shared" si="263"/>
        <v>2024-07</v>
      </c>
      <c r="M2761">
        <f t="shared" si="261"/>
        <v>2338.6000000000004</v>
      </c>
    </row>
    <row r="2762" spans="1:13" x14ac:dyDescent="0.25">
      <c r="A2762" s="1">
        <v>44809</v>
      </c>
      <c r="B2762" t="s">
        <v>25</v>
      </c>
      <c r="C2762" t="s">
        <v>15</v>
      </c>
      <c r="D2762" t="s">
        <v>18</v>
      </c>
      <c r="E2762">
        <v>1325.58</v>
      </c>
      <c r="F2762">
        <v>698.61</v>
      </c>
      <c r="G2762">
        <v>1</v>
      </c>
      <c r="H2762">
        <f t="shared" si="258"/>
        <v>1325.58</v>
      </c>
      <c r="I2762">
        <f t="shared" si="262"/>
        <v>698.61</v>
      </c>
      <c r="J2762">
        <f t="shared" si="259"/>
        <v>626.96999999999991</v>
      </c>
      <c r="K2762" s="8">
        <f t="shared" si="260"/>
        <v>0.47297786629249078</v>
      </c>
      <c r="L2762" t="str">
        <f t="shared" si="263"/>
        <v>2022-09</v>
      </c>
      <c r="M2762">
        <f t="shared" si="261"/>
        <v>626.96999999999991</v>
      </c>
    </row>
    <row r="2763" spans="1:13" x14ac:dyDescent="0.25">
      <c r="A2763" s="1">
        <v>44975</v>
      </c>
      <c r="B2763" t="s">
        <v>19</v>
      </c>
      <c r="C2763" t="s">
        <v>20</v>
      </c>
      <c r="D2763" t="s">
        <v>13</v>
      </c>
      <c r="E2763">
        <v>1079.9000000000001</v>
      </c>
      <c r="F2763">
        <v>720.23</v>
      </c>
      <c r="G2763">
        <v>7</v>
      </c>
      <c r="H2763">
        <f t="shared" si="258"/>
        <v>7559.3000000000011</v>
      </c>
      <c r="I2763">
        <f t="shared" si="262"/>
        <v>5041.6100000000006</v>
      </c>
      <c r="J2763">
        <f t="shared" si="259"/>
        <v>2517.6900000000005</v>
      </c>
      <c r="K2763" s="8">
        <f t="shared" si="260"/>
        <v>0.33305861653856839</v>
      </c>
      <c r="L2763" t="str">
        <f t="shared" si="263"/>
        <v>2023-02</v>
      </c>
      <c r="M2763">
        <f t="shared" si="261"/>
        <v>2517.6900000000005</v>
      </c>
    </row>
    <row r="2764" spans="1:13" x14ac:dyDescent="0.25">
      <c r="A2764" s="1">
        <v>45066</v>
      </c>
      <c r="B2764" t="s">
        <v>22</v>
      </c>
      <c r="C2764" t="s">
        <v>8</v>
      </c>
      <c r="D2764" t="s">
        <v>9</v>
      </c>
      <c r="E2764">
        <v>1617.43</v>
      </c>
      <c r="F2764">
        <v>1287.07</v>
      </c>
      <c r="G2764">
        <v>1</v>
      </c>
      <c r="H2764">
        <f t="shared" si="258"/>
        <v>1617.43</v>
      </c>
      <c r="I2764">
        <f t="shared" si="262"/>
        <v>1287.07</v>
      </c>
      <c r="J2764">
        <f t="shared" si="259"/>
        <v>330.36000000000013</v>
      </c>
      <c r="K2764" s="8">
        <f t="shared" si="260"/>
        <v>0.20424995208447977</v>
      </c>
      <c r="L2764" t="str">
        <f t="shared" si="263"/>
        <v>2023-05</v>
      </c>
      <c r="M2764">
        <f t="shared" si="261"/>
        <v>330.36000000000013</v>
      </c>
    </row>
    <row r="2765" spans="1:13" x14ac:dyDescent="0.25">
      <c r="A2765" s="1">
        <v>45315</v>
      </c>
      <c r="B2765" t="s">
        <v>7</v>
      </c>
      <c r="C2765" t="s">
        <v>8</v>
      </c>
      <c r="D2765" t="s">
        <v>18</v>
      </c>
      <c r="E2765">
        <v>599.78</v>
      </c>
      <c r="F2765">
        <v>439.6</v>
      </c>
      <c r="G2765">
        <v>10</v>
      </c>
      <c r="H2765">
        <f t="shared" si="258"/>
        <v>5997.7999999999993</v>
      </c>
      <c r="I2765">
        <f t="shared" si="262"/>
        <v>4396</v>
      </c>
      <c r="J2765">
        <f t="shared" si="259"/>
        <v>1601.7999999999993</v>
      </c>
      <c r="K2765" s="8">
        <f t="shared" si="260"/>
        <v>0.26706459034979485</v>
      </c>
      <c r="L2765" t="str">
        <f t="shared" si="263"/>
        <v>2024-01</v>
      </c>
      <c r="M2765">
        <f t="shared" si="261"/>
        <v>1601.7999999999993</v>
      </c>
    </row>
    <row r="2766" spans="1:13" x14ac:dyDescent="0.25">
      <c r="A2766" s="1">
        <v>45022</v>
      </c>
      <c r="B2766" t="s">
        <v>14</v>
      </c>
      <c r="C2766" t="s">
        <v>15</v>
      </c>
      <c r="D2766" t="s">
        <v>13</v>
      </c>
      <c r="E2766">
        <v>1124.06</v>
      </c>
      <c r="F2766">
        <v>933.69</v>
      </c>
      <c r="G2766">
        <v>4</v>
      </c>
      <c r="H2766">
        <f t="shared" si="258"/>
        <v>4496.24</v>
      </c>
      <c r="I2766">
        <f t="shared" si="262"/>
        <v>3734.76</v>
      </c>
      <c r="J2766">
        <f t="shared" si="259"/>
        <v>761.47999999999956</v>
      </c>
      <c r="K2766" s="8">
        <f t="shared" si="260"/>
        <v>0.16935928687080751</v>
      </c>
      <c r="L2766" t="str">
        <f t="shared" si="263"/>
        <v>2023-04</v>
      </c>
      <c r="M2766">
        <f t="shared" si="261"/>
        <v>761.47999999999956</v>
      </c>
    </row>
    <row r="2767" spans="1:13" x14ac:dyDescent="0.25">
      <c r="A2767" s="1">
        <v>44906</v>
      </c>
      <c r="B2767" t="s">
        <v>22</v>
      </c>
      <c r="C2767" t="s">
        <v>8</v>
      </c>
      <c r="D2767" t="s">
        <v>17</v>
      </c>
      <c r="E2767">
        <v>612.45000000000005</v>
      </c>
      <c r="F2767">
        <v>414.7</v>
      </c>
      <c r="G2767">
        <v>6</v>
      </c>
      <c r="H2767">
        <f t="shared" si="258"/>
        <v>3674.7000000000003</v>
      </c>
      <c r="I2767">
        <f t="shared" si="262"/>
        <v>2488.1999999999998</v>
      </c>
      <c r="J2767">
        <f t="shared" si="259"/>
        <v>1186.5000000000005</v>
      </c>
      <c r="K2767" s="8">
        <f t="shared" si="260"/>
        <v>0.32288350069393429</v>
      </c>
      <c r="L2767" t="str">
        <f t="shared" si="263"/>
        <v>2022-12</v>
      </c>
      <c r="M2767">
        <f t="shared" si="261"/>
        <v>1186.5000000000005</v>
      </c>
    </row>
    <row r="2768" spans="1:13" x14ac:dyDescent="0.25">
      <c r="A2768" s="1">
        <v>44766</v>
      </c>
      <c r="B2768" t="s">
        <v>10</v>
      </c>
      <c r="C2768" t="s">
        <v>11</v>
      </c>
      <c r="D2768" t="s">
        <v>18</v>
      </c>
      <c r="E2768">
        <v>1395.4</v>
      </c>
      <c r="F2768">
        <v>967.37</v>
      </c>
      <c r="G2768">
        <v>9</v>
      </c>
      <c r="H2768">
        <f t="shared" si="258"/>
        <v>12558.6</v>
      </c>
      <c r="I2768">
        <f t="shared" si="262"/>
        <v>8706.33</v>
      </c>
      <c r="J2768">
        <f t="shared" si="259"/>
        <v>3852.2700000000004</v>
      </c>
      <c r="K2768" s="8">
        <f t="shared" si="260"/>
        <v>0.30674358606851082</v>
      </c>
      <c r="L2768" t="str">
        <f t="shared" si="263"/>
        <v>2022-07</v>
      </c>
      <c r="M2768">
        <f t="shared" si="261"/>
        <v>3852.2700000000004</v>
      </c>
    </row>
    <row r="2769" spans="1:13" x14ac:dyDescent="0.25">
      <c r="A2769" s="1">
        <v>44622</v>
      </c>
      <c r="B2769" t="s">
        <v>14</v>
      </c>
      <c r="C2769" t="s">
        <v>15</v>
      </c>
      <c r="D2769" t="s">
        <v>9</v>
      </c>
      <c r="E2769">
        <v>1127.56</v>
      </c>
      <c r="F2769">
        <v>1010.94</v>
      </c>
      <c r="G2769">
        <v>8</v>
      </c>
      <c r="H2769">
        <f t="shared" si="258"/>
        <v>9020.48</v>
      </c>
      <c r="I2769">
        <f t="shared" si="262"/>
        <v>8087.52</v>
      </c>
      <c r="J2769">
        <f t="shared" si="259"/>
        <v>932.95999999999913</v>
      </c>
      <c r="K2769" s="8">
        <f t="shared" si="260"/>
        <v>0.10342686863670217</v>
      </c>
      <c r="L2769" t="str">
        <f t="shared" si="263"/>
        <v>2022-03</v>
      </c>
      <c r="M2769">
        <f t="shared" si="261"/>
        <v>932.95999999999913</v>
      </c>
    </row>
    <row r="2770" spans="1:13" x14ac:dyDescent="0.25">
      <c r="A2770" s="1">
        <v>44861</v>
      </c>
      <c r="B2770" t="s">
        <v>7</v>
      </c>
      <c r="C2770" t="s">
        <v>8</v>
      </c>
      <c r="D2770" t="s">
        <v>18</v>
      </c>
      <c r="E2770">
        <v>1357.84</v>
      </c>
      <c r="F2770">
        <v>1144.47</v>
      </c>
      <c r="G2770">
        <v>10</v>
      </c>
      <c r="H2770">
        <f t="shared" si="258"/>
        <v>13578.4</v>
      </c>
      <c r="I2770">
        <f t="shared" si="262"/>
        <v>11444.7</v>
      </c>
      <c r="J2770">
        <f t="shared" si="259"/>
        <v>2133.6999999999989</v>
      </c>
      <c r="K2770" s="8">
        <f t="shared" si="260"/>
        <v>0.15713928003299349</v>
      </c>
      <c r="L2770" t="str">
        <f t="shared" si="263"/>
        <v>2022-10</v>
      </c>
      <c r="M2770">
        <f t="shared" si="261"/>
        <v>2133.6999999999989</v>
      </c>
    </row>
    <row r="2771" spans="1:13" x14ac:dyDescent="0.25">
      <c r="A2771" s="1">
        <v>45301</v>
      </c>
      <c r="B2771" t="s">
        <v>24</v>
      </c>
      <c r="C2771" t="s">
        <v>20</v>
      </c>
      <c r="D2771" t="s">
        <v>13</v>
      </c>
      <c r="E2771">
        <v>775.07</v>
      </c>
      <c r="F2771">
        <v>542.89</v>
      </c>
      <c r="G2771">
        <v>5</v>
      </c>
      <c r="H2771">
        <f t="shared" si="258"/>
        <v>3875.3500000000004</v>
      </c>
      <c r="I2771">
        <f t="shared" si="262"/>
        <v>2714.45</v>
      </c>
      <c r="J2771">
        <f t="shared" si="259"/>
        <v>1160.9000000000005</v>
      </c>
      <c r="K2771" s="8">
        <f t="shared" si="260"/>
        <v>0.29956003973834633</v>
      </c>
      <c r="L2771" t="str">
        <f t="shared" si="263"/>
        <v>2024-01</v>
      </c>
      <c r="M2771">
        <f t="shared" si="261"/>
        <v>1160.9000000000005</v>
      </c>
    </row>
    <row r="2772" spans="1:13" x14ac:dyDescent="0.25">
      <c r="A2772" s="1">
        <v>45570</v>
      </c>
      <c r="B2772" t="s">
        <v>12</v>
      </c>
      <c r="C2772" t="s">
        <v>8</v>
      </c>
      <c r="D2772" t="s">
        <v>9</v>
      </c>
      <c r="E2772">
        <v>692.45</v>
      </c>
      <c r="F2772">
        <v>471.87</v>
      </c>
      <c r="G2772">
        <v>6</v>
      </c>
      <c r="H2772">
        <f t="shared" si="258"/>
        <v>4154.7000000000007</v>
      </c>
      <c r="I2772">
        <f t="shared" si="262"/>
        <v>2831.2200000000003</v>
      </c>
      <c r="J2772">
        <f t="shared" si="259"/>
        <v>1323.4800000000005</v>
      </c>
      <c r="K2772" s="8">
        <f t="shared" si="260"/>
        <v>0.31855007581774863</v>
      </c>
      <c r="L2772" t="str">
        <f t="shared" si="263"/>
        <v>2024-10</v>
      </c>
      <c r="M2772">
        <f t="shared" si="261"/>
        <v>1323.4800000000005</v>
      </c>
    </row>
    <row r="2773" spans="1:13" x14ac:dyDescent="0.25">
      <c r="A2773" s="1">
        <v>45366</v>
      </c>
      <c r="B2773" t="s">
        <v>19</v>
      </c>
      <c r="C2773" t="s">
        <v>20</v>
      </c>
      <c r="D2773" t="s">
        <v>13</v>
      </c>
      <c r="E2773">
        <v>1121.79</v>
      </c>
      <c r="F2773">
        <v>955.99</v>
      </c>
      <c r="G2773">
        <v>9</v>
      </c>
      <c r="H2773">
        <f t="shared" si="258"/>
        <v>10096.11</v>
      </c>
      <c r="I2773">
        <f t="shared" si="262"/>
        <v>8603.91</v>
      </c>
      <c r="J2773">
        <f t="shared" si="259"/>
        <v>1492.2000000000007</v>
      </c>
      <c r="K2773" s="8">
        <f t="shared" si="260"/>
        <v>0.14779949901496722</v>
      </c>
      <c r="L2773" t="str">
        <f t="shared" si="263"/>
        <v>2024-03</v>
      </c>
      <c r="M2773">
        <f t="shared" si="261"/>
        <v>1492.2000000000007</v>
      </c>
    </row>
    <row r="2774" spans="1:13" x14ac:dyDescent="0.25">
      <c r="A2774" s="1">
        <v>44892</v>
      </c>
      <c r="B2774" t="s">
        <v>25</v>
      </c>
      <c r="C2774" t="s">
        <v>15</v>
      </c>
      <c r="D2774" t="s">
        <v>18</v>
      </c>
      <c r="E2774">
        <v>315.14999999999998</v>
      </c>
      <c r="F2774">
        <v>223.88</v>
      </c>
      <c r="G2774">
        <v>9</v>
      </c>
      <c r="H2774">
        <f t="shared" si="258"/>
        <v>2836.35</v>
      </c>
      <c r="I2774">
        <f t="shared" si="262"/>
        <v>2014.92</v>
      </c>
      <c r="J2774">
        <f t="shared" si="259"/>
        <v>821.42999999999984</v>
      </c>
      <c r="K2774" s="8">
        <f t="shared" si="260"/>
        <v>0.28960812311597645</v>
      </c>
      <c r="L2774" t="str">
        <f t="shared" si="263"/>
        <v>2022-11</v>
      </c>
      <c r="M2774">
        <f t="shared" si="261"/>
        <v>821.42999999999984</v>
      </c>
    </row>
    <row r="2775" spans="1:13" x14ac:dyDescent="0.25">
      <c r="A2775" s="1">
        <v>45045</v>
      </c>
      <c r="B2775" t="s">
        <v>10</v>
      </c>
      <c r="C2775" t="s">
        <v>11</v>
      </c>
      <c r="D2775" t="s">
        <v>9</v>
      </c>
      <c r="E2775">
        <v>407.47</v>
      </c>
      <c r="F2775">
        <v>229.73</v>
      </c>
      <c r="G2775">
        <v>6</v>
      </c>
      <c r="H2775">
        <f t="shared" si="258"/>
        <v>2444.8200000000002</v>
      </c>
      <c r="I2775">
        <f t="shared" si="262"/>
        <v>1378.3799999999999</v>
      </c>
      <c r="J2775">
        <f t="shared" si="259"/>
        <v>1066.4400000000003</v>
      </c>
      <c r="K2775" s="8">
        <f t="shared" si="260"/>
        <v>0.43620389231109047</v>
      </c>
      <c r="L2775" t="str">
        <f t="shared" si="263"/>
        <v>2023-04</v>
      </c>
      <c r="M2775">
        <f t="shared" si="261"/>
        <v>1066.4400000000003</v>
      </c>
    </row>
    <row r="2776" spans="1:13" x14ac:dyDescent="0.25">
      <c r="A2776" s="1">
        <v>45556</v>
      </c>
      <c r="B2776" t="s">
        <v>7</v>
      </c>
      <c r="C2776" t="s">
        <v>8</v>
      </c>
      <c r="D2776" t="s">
        <v>9</v>
      </c>
      <c r="E2776">
        <v>1302.4000000000001</v>
      </c>
      <c r="F2776">
        <v>877.18</v>
      </c>
      <c r="G2776">
        <v>10</v>
      </c>
      <c r="H2776">
        <f t="shared" si="258"/>
        <v>13024</v>
      </c>
      <c r="I2776">
        <f t="shared" si="262"/>
        <v>8771.7999999999993</v>
      </c>
      <c r="J2776">
        <f t="shared" si="259"/>
        <v>4252.2000000000007</v>
      </c>
      <c r="K2776" s="8">
        <f t="shared" si="260"/>
        <v>0.32648955773955779</v>
      </c>
      <c r="L2776" t="str">
        <f t="shared" si="263"/>
        <v>2024-09</v>
      </c>
      <c r="M2776">
        <f t="shared" si="261"/>
        <v>4252.2000000000007</v>
      </c>
    </row>
    <row r="2777" spans="1:13" x14ac:dyDescent="0.25">
      <c r="A2777" s="1">
        <v>45523</v>
      </c>
      <c r="B2777" t="s">
        <v>19</v>
      </c>
      <c r="C2777" t="s">
        <v>20</v>
      </c>
      <c r="D2777" t="s">
        <v>9</v>
      </c>
      <c r="E2777">
        <v>943.8</v>
      </c>
      <c r="F2777">
        <v>778.52</v>
      </c>
      <c r="G2777">
        <v>5</v>
      </c>
      <c r="H2777">
        <f t="shared" si="258"/>
        <v>4719</v>
      </c>
      <c r="I2777">
        <f t="shared" si="262"/>
        <v>3892.6</v>
      </c>
      <c r="J2777">
        <f t="shared" si="259"/>
        <v>826.40000000000009</v>
      </c>
      <c r="K2777" s="8">
        <f t="shared" si="260"/>
        <v>0.1751218478491206</v>
      </c>
      <c r="L2777" t="str">
        <f t="shared" si="263"/>
        <v>2024-08</v>
      </c>
      <c r="M2777">
        <f t="shared" si="261"/>
        <v>826.40000000000009</v>
      </c>
    </row>
    <row r="2778" spans="1:13" x14ac:dyDescent="0.25">
      <c r="A2778" s="1">
        <v>45023</v>
      </c>
      <c r="B2778" t="s">
        <v>23</v>
      </c>
      <c r="C2778" t="s">
        <v>11</v>
      </c>
      <c r="D2778" t="s">
        <v>13</v>
      </c>
      <c r="E2778">
        <v>474.3</v>
      </c>
      <c r="F2778">
        <v>391.91</v>
      </c>
      <c r="G2778">
        <v>7</v>
      </c>
      <c r="H2778">
        <f t="shared" si="258"/>
        <v>3320.1</v>
      </c>
      <c r="I2778">
        <f t="shared" si="262"/>
        <v>2743.3700000000003</v>
      </c>
      <c r="J2778">
        <f t="shared" si="259"/>
        <v>576.72999999999956</v>
      </c>
      <c r="K2778" s="8">
        <f t="shared" si="260"/>
        <v>0.1737086232342398</v>
      </c>
      <c r="L2778" t="str">
        <f t="shared" si="263"/>
        <v>2023-04</v>
      </c>
      <c r="M2778">
        <f t="shared" si="261"/>
        <v>576.72999999999956</v>
      </c>
    </row>
    <row r="2779" spans="1:13" x14ac:dyDescent="0.25">
      <c r="A2779" s="1">
        <v>45503</v>
      </c>
      <c r="B2779" t="s">
        <v>12</v>
      </c>
      <c r="C2779" t="s">
        <v>8</v>
      </c>
      <c r="D2779" t="s">
        <v>9</v>
      </c>
      <c r="E2779">
        <v>1135.99</v>
      </c>
      <c r="F2779">
        <v>724.53</v>
      </c>
      <c r="G2779">
        <v>4</v>
      </c>
      <c r="H2779">
        <f t="shared" si="258"/>
        <v>4543.96</v>
      </c>
      <c r="I2779">
        <f t="shared" si="262"/>
        <v>2898.12</v>
      </c>
      <c r="J2779">
        <f t="shared" si="259"/>
        <v>1645.8400000000001</v>
      </c>
      <c r="K2779" s="8">
        <f t="shared" si="260"/>
        <v>0.36220389263990005</v>
      </c>
      <c r="L2779" t="str">
        <f t="shared" si="263"/>
        <v>2024-07</v>
      </c>
      <c r="M2779">
        <f t="shared" si="261"/>
        <v>1645.8400000000001</v>
      </c>
    </row>
    <row r="2780" spans="1:13" x14ac:dyDescent="0.25">
      <c r="A2780" s="1">
        <v>45394</v>
      </c>
      <c r="B2780" t="s">
        <v>19</v>
      </c>
      <c r="C2780" t="s">
        <v>20</v>
      </c>
      <c r="D2780" t="s">
        <v>18</v>
      </c>
      <c r="E2780">
        <v>638.21</v>
      </c>
      <c r="F2780">
        <v>427.78</v>
      </c>
      <c r="G2780">
        <v>4</v>
      </c>
      <c r="H2780">
        <f t="shared" si="258"/>
        <v>2552.84</v>
      </c>
      <c r="I2780">
        <f t="shared" si="262"/>
        <v>1711.12</v>
      </c>
      <c r="J2780">
        <f t="shared" si="259"/>
        <v>841.72000000000025</v>
      </c>
      <c r="K2780" s="8">
        <f t="shared" si="260"/>
        <v>0.32971905799031676</v>
      </c>
      <c r="L2780" t="str">
        <f t="shared" si="263"/>
        <v>2024-04</v>
      </c>
      <c r="M2780">
        <f t="shared" si="261"/>
        <v>841.72000000000025</v>
      </c>
    </row>
    <row r="2781" spans="1:13" x14ac:dyDescent="0.25">
      <c r="A2781" s="1">
        <v>44934</v>
      </c>
      <c r="B2781" t="s">
        <v>7</v>
      </c>
      <c r="C2781" t="s">
        <v>8</v>
      </c>
      <c r="D2781" t="s">
        <v>13</v>
      </c>
      <c r="E2781">
        <v>231.63</v>
      </c>
      <c r="F2781">
        <v>192.03</v>
      </c>
      <c r="G2781">
        <v>7</v>
      </c>
      <c r="H2781">
        <f t="shared" si="258"/>
        <v>1621.4099999999999</v>
      </c>
      <c r="I2781">
        <f t="shared" si="262"/>
        <v>1344.21</v>
      </c>
      <c r="J2781">
        <f t="shared" si="259"/>
        <v>277.19999999999982</v>
      </c>
      <c r="K2781" s="8">
        <f t="shared" si="260"/>
        <v>0.1709623105815308</v>
      </c>
      <c r="L2781" t="str">
        <f t="shared" si="263"/>
        <v>2023-01</v>
      </c>
      <c r="M2781">
        <f t="shared" si="261"/>
        <v>277.19999999999982</v>
      </c>
    </row>
    <row r="2782" spans="1:13" x14ac:dyDescent="0.25">
      <c r="A2782" s="1">
        <v>44840</v>
      </c>
      <c r="B2782" t="s">
        <v>25</v>
      </c>
      <c r="C2782" t="s">
        <v>15</v>
      </c>
      <c r="D2782" t="s">
        <v>13</v>
      </c>
      <c r="E2782">
        <v>560.73</v>
      </c>
      <c r="F2782">
        <v>473.76</v>
      </c>
      <c r="G2782">
        <v>8</v>
      </c>
      <c r="H2782">
        <f t="shared" si="258"/>
        <v>4485.84</v>
      </c>
      <c r="I2782">
        <f t="shared" si="262"/>
        <v>3790.08</v>
      </c>
      <c r="J2782">
        <f t="shared" si="259"/>
        <v>695.76000000000022</v>
      </c>
      <c r="K2782" s="8">
        <f t="shared" si="260"/>
        <v>0.1551013856936494</v>
      </c>
      <c r="L2782" t="str">
        <f t="shared" si="263"/>
        <v>2022-10</v>
      </c>
      <c r="M2782">
        <f t="shared" si="261"/>
        <v>695.76000000000022</v>
      </c>
    </row>
    <row r="2783" spans="1:13" x14ac:dyDescent="0.25">
      <c r="A2783" s="1">
        <v>45426</v>
      </c>
      <c r="B2783" t="s">
        <v>22</v>
      </c>
      <c r="C2783" t="s">
        <v>8</v>
      </c>
      <c r="D2783" t="s">
        <v>9</v>
      </c>
      <c r="E2783">
        <v>462.29</v>
      </c>
      <c r="F2783">
        <v>252.1</v>
      </c>
      <c r="G2783">
        <v>8</v>
      </c>
      <c r="H2783">
        <f t="shared" si="258"/>
        <v>3698.32</v>
      </c>
      <c r="I2783">
        <f t="shared" si="262"/>
        <v>2016.8</v>
      </c>
      <c r="J2783">
        <f t="shared" si="259"/>
        <v>1681.5200000000002</v>
      </c>
      <c r="K2783" s="8">
        <f t="shared" si="260"/>
        <v>0.45467131021653079</v>
      </c>
      <c r="L2783" t="str">
        <f t="shared" si="263"/>
        <v>2024-05</v>
      </c>
      <c r="M2783">
        <f t="shared" si="261"/>
        <v>1681.5200000000002</v>
      </c>
    </row>
    <row r="2784" spans="1:13" x14ac:dyDescent="0.25">
      <c r="A2784" s="1">
        <v>45374</v>
      </c>
      <c r="B2784" t="s">
        <v>23</v>
      </c>
      <c r="C2784" t="s">
        <v>11</v>
      </c>
      <c r="D2784" t="s">
        <v>13</v>
      </c>
      <c r="E2784">
        <v>278.89999999999998</v>
      </c>
      <c r="F2784">
        <v>158.38999999999999</v>
      </c>
      <c r="G2784">
        <v>4</v>
      </c>
      <c r="H2784">
        <f t="shared" si="258"/>
        <v>1115.5999999999999</v>
      </c>
      <c r="I2784">
        <f t="shared" si="262"/>
        <v>633.55999999999995</v>
      </c>
      <c r="J2784">
        <f t="shared" si="259"/>
        <v>482.03999999999996</v>
      </c>
      <c r="K2784" s="8">
        <f t="shared" si="260"/>
        <v>0.43209035496593762</v>
      </c>
      <c r="L2784" t="str">
        <f t="shared" si="263"/>
        <v>2024-03</v>
      </c>
      <c r="M2784">
        <f t="shared" si="261"/>
        <v>482.03999999999996</v>
      </c>
    </row>
    <row r="2785" spans="1:13" x14ac:dyDescent="0.25">
      <c r="A2785" s="1">
        <v>44582</v>
      </c>
      <c r="B2785" t="s">
        <v>12</v>
      </c>
      <c r="C2785" t="s">
        <v>8</v>
      </c>
      <c r="D2785" t="s">
        <v>17</v>
      </c>
      <c r="E2785">
        <v>52.34</v>
      </c>
      <c r="F2785">
        <v>40.700000000000003</v>
      </c>
      <c r="G2785">
        <v>3</v>
      </c>
      <c r="H2785">
        <f t="shared" si="258"/>
        <v>157.02000000000001</v>
      </c>
      <c r="I2785">
        <f t="shared" si="262"/>
        <v>122.10000000000001</v>
      </c>
      <c r="J2785">
        <f t="shared" si="259"/>
        <v>34.92</v>
      </c>
      <c r="K2785" s="8">
        <f t="shared" si="260"/>
        <v>0.22239205196790218</v>
      </c>
      <c r="L2785" t="str">
        <f t="shared" si="263"/>
        <v>2022-01</v>
      </c>
      <c r="M2785">
        <f t="shared" si="261"/>
        <v>34.92</v>
      </c>
    </row>
    <row r="2786" spans="1:13" x14ac:dyDescent="0.25">
      <c r="A2786" s="1">
        <v>44661</v>
      </c>
      <c r="B2786" t="s">
        <v>12</v>
      </c>
      <c r="C2786" t="s">
        <v>8</v>
      </c>
      <c r="D2786" t="s">
        <v>9</v>
      </c>
      <c r="E2786">
        <v>906.21</v>
      </c>
      <c r="F2786">
        <v>601.20000000000005</v>
      </c>
      <c r="G2786">
        <v>1</v>
      </c>
      <c r="H2786">
        <f t="shared" si="258"/>
        <v>906.21</v>
      </c>
      <c r="I2786">
        <f t="shared" si="262"/>
        <v>601.20000000000005</v>
      </c>
      <c r="J2786">
        <f t="shared" si="259"/>
        <v>305.01</v>
      </c>
      <c r="K2786" s="8">
        <f t="shared" si="260"/>
        <v>0.33657761446022444</v>
      </c>
      <c r="L2786" t="str">
        <f t="shared" si="263"/>
        <v>2022-04</v>
      </c>
      <c r="M2786">
        <f t="shared" si="261"/>
        <v>305.01</v>
      </c>
    </row>
    <row r="2787" spans="1:13" x14ac:dyDescent="0.25">
      <c r="A2787" s="1">
        <v>45551</v>
      </c>
      <c r="B2787" t="s">
        <v>25</v>
      </c>
      <c r="C2787" t="s">
        <v>15</v>
      </c>
      <c r="D2787" t="s">
        <v>13</v>
      </c>
      <c r="E2787">
        <v>1264.26</v>
      </c>
      <c r="F2787">
        <v>708.97</v>
      </c>
      <c r="G2787">
        <v>7</v>
      </c>
      <c r="H2787">
        <f t="shared" si="258"/>
        <v>8849.82</v>
      </c>
      <c r="I2787">
        <f t="shared" si="262"/>
        <v>4962.79</v>
      </c>
      <c r="J2787">
        <f t="shared" si="259"/>
        <v>3887.0299999999997</v>
      </c>
      <c r="K2787" s="8">
        <f t="shared" si="260"/>
        <v>0.43922136269438244</v>
      </c>
      <c r="L2787" t="str">
        <f t="shared" si="263"/>
        <v>2024-09</v>
      </c>
      <c r="M2787">
        <f t="shared" si="261"/>
        <v>3887.0299999999997</v>
      </c>
    </row>
    <row r="2788" spans="1:13" x14ac:dyDescent="0.25">
      <c r="A2788" s="1">
        <v>45649</v>
      </c>
      <c r="B2788" t="s">
        <v>23</v>
      </c>
      <c r="C2788" t="s">
        <v>11</v>
      </c>
      <c r="D2788" t="s">
        <v>9</v>
      </c>
      <c r="E2788">
        <v>1800.13</v>
      </c>
      <c r="F2788">
        <v>1063.8499999999999</v>
      </c>
      <c r="G2788">
        <v>2</v>
      </c>
      <c r="H2788">
        <f t="shared" si="258"/>
        <v>3600.26</v>
      </c>
      <c r="I2788">
        <f t="shared" si="262"/>
        <v>2127.6999999999998</v>
      </c>
      <c r="J2788">
        <f t="shared" si="259"/>
        <v>1472.5600000000004</v>
      </c>
      <c r="K2788" s="8">
        <f t="shared" si="260"/>
        <v>0.40901490447912103</v>
      </c>
      <c r="L2788" t="str">
        <f t="shared" si="263"/>
        <v>2024-12</v>
      </c>
      <c r="M2788">
        <f t="shared" si="261"/>
        <v>1472.5600000000004</v>
      </c>
    </row>
    <row r="2789" spans="1:13" x14ac:dyDescent="0.25">
      <c r="A2789" s="1">
        <v>45294</v>
      </c>
      <c r="B2789" t="s">
        <v>23</v>
      </c>
      <c r="C2789" t="s">
        <v>11</v>
      </c>
      <c r="D2789" t="s">
        <v>17</v>
      </c>
      <c r="E2789">
        <v>254.62</v>
      </c>
      <c r="F2789">
        <v>148.05000000000001</v>
      </c>
      <c r="G2789">
        <v>6</v>
      </c>
      <c r="H2789">
        <f t="shared" si="258"/>
        <v>1527.72</v>
      </c>
      <c r="I2789">
        <f t="shared" si="262"/>
        <v>888.30000000000007</v>
      </c>
      <c r="J2789">
        <f t="shared" si="259"/>
        <v>639.41999999999996</v>
      </c>
      <c r="K2789" s="8">
        <f t="shared" si="260"/>
        <v>0.41854528316707246</v>
      </c>
      <c r="L2789" t="str">
        <f t="shared" si="263"/>
        <v>2024-01</v>
      </c>
      <c r="M2789">
        <f t="shared" si="261"/>
        <v>639.41999999999996</v>
      </c>
    </row>
    <row r="2790" spans="1:13" x14ac:dyDescent="0.25">
      <c r="A2790" s="1">
        <v>45102</v>
      </c>
      <c r="B2790" t="s">
        <v>14</v>
      </c>
      <c r="C2790" t="s">
        <v>15</v>
      </c>
      <c r="D2790" t="s">
        <v>9</v>
      </c>
      <c r="E2790">
        <v>829.51</v>
      </c>
      <c r="F2790">
        <v>463.47</v>
      </c>
      <c r="G2790">
        <v>9</v>
      </c>
      <c r="H2790">
        <f t="shared" si="258"/>
        <v>7465.59</v>
      </c>
      <c r="I2790">
        <f t="shared" si="262"/>
        <v>4171.2300000000005</v>
      </c>
      <c r="J2790">
        <f t="shared" si="259"/>
        <v>3294.3599999999997</v>
      </c>
      <c r="K2790" s="8">
        <f t="shared" si="260"/>
        <v>0.44127255849839059</v>
      </c>
      <c r="L2790" t="str">
        <f t="shared" si="263"/>
        <v>2023-06</v>
      </c>
      <c r="M2790">
        <f t="shared" si="261"/>
        <v>3294.3599999999997</v>
      </c>
    </row>
    <row r="2791" spans="1:13" x14ac:dyDescent="0.25">
      <c r="A2791" s="1">
        <v>45070</v>
      </c>
      <c r="B2791" t="s">
        <v>10</v>
      </c>
      <c r="C2791" t="s">
        <v>11</v>
      </c>
      <c r="D2791" t="s">
        <v>17</v>
      </c>
      <c r="E2791">
        <v>219.93</v>
      </c>
      <c r="F2791">
        <v>175.69</v>
      </c>
      <c r="G2791">
        <v>2</v>
      </c>
      <c r="H2791">
        <f t="shared" si="258"/>
        <v>439.86</v>
      </c>
      <c r="I2791">
        <f t="shared" si="262"/>
        <v>351.38</v>
      </c>
      <c r="J2791">
        <f t="shared" si="259"/>
        <v>88.480000000000018</v>
      </c>
      <c r="K2791" s="8">
        <f t="shared" si="260"/>
        <v>0.2011549129268404</v>
      </c>
      <c r="L2791" t="str">
        <f t="shared" si="263"/>
        <v>2023-05</v>
      </c>
      <c r="M2791">
        <f t="shared" si="261"/>
        <v>88.480000000000018</v>
      </c>
    </row>
    <row r="2792" spans="1:13" x14ac:dyDescent="0.25">
      <c r="A2792" s="1">
        <v>45310</v>
      </c>
      <c r="B2792" t="s">
        <v>14</v>
      </c>
      <c r="C2792" t="s">
        <v>15</v>
      </c>
      <c r="D2792" t="s">
        <v>17</v>
      </c>
      <c r="E2792">
        <v>1211.26</v>
      </c>
      <c r="F2792">
        <v>828.88</v>
      </c>
      <c r="G2792">
        <v>3</v>
      </c>
      <c r="H2792">
        <f t="shared" si="258"/>
        <v>3633.7799999999997</v>
      </c>
      <c r="I2792">
        <f t="shared" si="262"/>
        <v>2486.64</v>
      </c>
      <c r="J2792">
        <f t="shared" si="259"/>
        <v>1147.1399999999999</v>
      </c>
      <c r="K2792" s="8">
        <f t="shared" si="260"/>
        <v>0.3156877961791853</v>
      </c>
      <c r="L2792" t="str">
        <f t="shared" si="263"/>
        <v>2024-01</v>
      </c>
      <c r="M2792">
        <f t="shared" si="261"/>
        <v>1147.1399999999999</v>
      </c>
    </row>
    <row r="2793" spans="1:13" x14ac:dyDescent="0.25">
      <c r="A2793" s="1">
        <v>45031</v>
      </c>
      <c r="B2793" t="s">
        <v>21</v>
      </c>
      <c r="C2793" t="s">
        <v>20</v>
      </c>
      <c r="D2793" t="s">
        <v>17</v>
      </c>
      <c r="E2793">
        <v>1641.74</v>
      </c>
      <c r="F2793">
        <v>1124.1199999999999</v>
      </c>
      <c r="G2793">
        <v>5</v>
      </c>
      <c r="H2793">
        <f t="shared" si="258"/>
        <v>8208.7000000000007</v>
      </c>
      <c r="I2793">
        <f t="shared" si="262"/>
        <v>5620.5999999999995</v>
      </c>
      <c r="J2793">
        <f t="shared" si="259"/>
        <v>2588.1000000000013</v>
      </c>
      <c r="K2793" s="8">
        <f t="shared" si="260"/>
        <v>0.315287438936738</v>
      </c>
      <c r="L2793" t="str">
        <f t="shared" si="263"/>
        <v>2023-04</v>
      </c>
      <c r="M2793">
        <f t="shared" si="261"/>
        <v>2588.1000000000013</v>
      </c>
    </row>
    <row r="2794" spans="1:13" x14ac:dyDescent="0.25">
      <c r="A2794" s="1">
        <v>44608</v>
      </c>
      <c r="B2794" t="s">
        <v>12</v>
      </c>
      <c r="C2794" t="s">
        <v>8</v>
      </c>
      <c r="D2794" t="s">
        <v>18</v>
      </c>
      <c r="E2794">
        <v>745.14</v>
      </c>
      <c r="F2794">
        <v>578.77</v>
      </c>
      <c r="G2794">
        <v>7</v>
      </c>
      <c r="H2794">
        <f t="shared" si="258"/>
        <v>5215.9799999999996</v>
      </c>
      <c r="I2794">
        <f t="shared" si="262"/>
        <v>4051.39</v>
      </c>
      <c r="J2794">
        <f t="shared" si="259"/>
        <v>1164.5899999999997</v>
      </c>
      <c r="K2794" s="8">
        <f t="shared" si="260"/>
        <v>0.22327347880935122</v>
      </c>
      <c r="L2794" t="str">
        <f t="shared" si="263"/>
        <v>2022-02</v>
      </c>
      <c r="M2794">
        <f t="shared" si="261"/>
        <v>1164.5899999999997</v>
      </c>
    </row>
    <row r="2795" spans="1:13" x14ac:dyDescent="0.25">
      <c r="A2795" s="1">
        <v>45362</v>
      </c>
      <c r="B2795" t="s">
        <v>7</v>
      </c>
      <c r="C2795" t="s">
        <v>8</v>
      </c>
      <c r="D2795" t="s">
        <v>18</v>
      </c>
      <c r="E2795">
        <v>816.04</v>
      </c>
      <c r="F2795">
        <v>488.47</v>
      </c>
      <c r="G2795">
        <v>5</v>
      </c>
      <c r="H2795">
        <f t="shared" si="258"/>
        <v>4080.2</v>
      </c>
      <c r="I2795">
        <f t="shared" si="262"/>
        <v>2442.3500000000004</v>
      </c>
      <c r="J2795">
        <f t="shared" si="259"/>
        <v>1637.8499999999995</v>
      </c>
      <c r="K2795" s="8">
        <f t="shared" si="260"/>
        <v>0.40141414636537415</v>
      </c>
      <c r="L2795" t="str">
        <f t="shared" si="263"/>
        <v>2024-03</v>
      </c>
      <c r="M2795">
        <f t="shared" si="261"/>
        <v>1637.8499999999995</v>
      </c>
    </row>
    <row r="2796" spans="1:13" x14ac:dyDescent="0.25">
      <c r="A2796" s="1">
        <v>45419</v>
      </c>
      <c r="B2796" t="s">
        <v>7</v>
      </c>
      <c r="C2796" t="s">
        <v>8</v>
      </c>
      <c r="D2796" t="s">
        <v>17</v>
      </c>
      <c r="E2796">
        <v>416.97</v>
      </c>
      <c r="F2796">
        <v>291.49</v>
      </c>
      <c r="G2796">
        <v>3</v>
      </c>
      <c r="H2796">
        <f t="shared" si="258"/>
        <v>1250.9100000000001</v>
      </c>
      <c r="I2796">
        <f t="shared" si="262"/>
        <v>874.47</v>
      </c>
      <c r="J2796">
        <f t="shared" si="259"/>
        <v>376.44000000000005</v>
      </c>
      <c r="K2796" s="8">
        <f t="shared" si="260"/>
        <v>0.30093292083363316</v>
      </c>
      <c r="L2796" t="str">
        <f t="shared" si="263"/>
        <v>2024-05</v>
      </c>
      <c r="M2796">
        <f t="shared" si="261"/>
        <v>376.44000000000005</v>
      </c>
    </row>
    <row r="2797" spans="1:13" x14ac:dyDescent="0.25">
      <c r="A2797" s="1">
        <v>45439</v>
      </c>
      <c r="B2797" t="s">
        <v>14</v>
      </c>
      <c r="C2797" t="s">
        <v>15</v>
      </c>
      <c r="D2797" t="s">
        <v>17</v>
      </c>
      <c r="E2797">
        <v>1986.18</v>
      </c>
      <c r="F2797">
        <v>1126.17</v>
      </c>
      <c r="G2797">
        <v>8</v>
      </c>
      <c r="H2797">
        <f t="shared" si="258"/>
        <v>15889.44</v>
      </c>
      <c r="I2797">
        <f t="shared" si="262"/>
        <v>9009.36</v>
      </c>
      <c r="J2797">
        <f t="shared" si="259"/>
        <v>6880.08</v>
      </c>
      <c r="K2797" s="8">
        <f t="shared" si="260"/>
        <v>0.43299700933450136</v>
      </c>
      <c r="L2797" t="str">
        <f t="shared" si="263"/>
        <v>2024-05</v>
      </c>
      <c r="M2797">
        <f t="shared" si="261"/>
        <v>6880.08</v>
      </c>
    </row>
    <row r="2798" spans="1:13" x14ac:dyDescent="0.25">
      <c r="A2798" s="1">
        <v>44712</v>
      </c>
      <c r="B2798" t="s">
        <v>7</v>
      </c>
      <c r="C2798" t="s">
        <v>8</v>
      </c>
      <c r="D2798" t="s">
        <v>17</v>
      </c>
      <c r="E2798">
        <v>1786.93</v>
      </c>
      <c r="F2798">
        <v>1101.73</v>
      </c>
      <c r="G2798">
        <v>5</v>
      </c>
      <c r="H2798">
        <f t="shared" si="258"/>
        <v>8934.65</v>
      </c>
      <c r="I2798">
        <f t="shared" si="262"/>
        <v>5508.65</v>
      </c>
      <c r="J2798">
        <f t="shared" si="259"/>
        <v>3426</v>
      </c>
      <c r="K2798" s="8">
        <f t="shared" si="260"/>
        <v>0.38345094659555778</v>
      </c>
      <c r="L2798" t="str">
        <f t="shared" si="263"/>
        <v>2022-05</v>
      </c>
      <c r="M2798">
        <f t="shared" si="261"/>
        <v>3426</v>
      </c>
    </row>
    <row r="2799" spans="1:13" x14ac:dyDescent="0.25">
      <c r="A2799" s="1">
        <v>45629</v>
      </c>
      <c r="B2799" t="s">
        <v>10</v>
      </c>
      <c r="C2799" t="s">
        <v>11</v>
      </c>
      <c r="D2799" t="s">
        <v>17</v>
      </c>
      <c r="E2799">
        <v>1052.48</v>
      </c>
      <c r="F2799">
        <v>891.27</v>
      </c>
      <c r="G2799">
        <v>2</v>
      </c>
      <c r="H2799">
        <f t="shared" si="258"/>
        <v>2104.96</v>
      </c>
      <c r="I2799">
        <f t="shared" si="262"/>
        <v>1782.54</v>
      </c>
      <c r="J2799">
        <f t="shared" si="259"/>
        <v>322.42000000000007</v>
      </c>
      <c r="K2799" s="8">
        <f t="shared" si="260"/>
        <v>0.15317155670416543</v>
      </c>
      <c r="L2799" t="str">
        <f t="shared" si="263"/>
        <v>2024-12</v>
      </c>
      <c r="M2799">
        <f t="shared" si="261"/>
        <v>322.42000000000007</v>
      </c>
    </row>
    <row r="2800" spans="1:13" x14ac:dyDescent="0.25">
      <c r="A2800" s="1">
        <v>44915</v>
      </c>
      <c r="B2800" t="s">
        <v>14</v>
      </c>
      <c r="C2800" t="s">
        <v>15</v>
      </c>
      <c r="D2800" t="s">
        <v>17</v>
      </c>
      <c r="E2800">
        <v>762.83</v>
      </c>
      <c r="F2800">
        <v>624.35</v>
      </c>
      <c r="G2800">
        <v>6</v>
      </c>
      <c r="H2800">
        <f t="shared" si="258"/>
        <v>4576.9800000000005</v>
      </c>
      <c r="I2800">
        <f t="shared" si="262"/>
        <v>3746.1000000000004</v>
      </c>
      <c r="J2800">
        <f t="shared" si="259"/>
        <v>830.88000000000011</v>
      </c>
      <c r="K2800" s="8">
        <f t="shared" si="260"/>
        <v>0.18153454898207988</v>
      </c>
      <c r="L2800" t="str">
        <f t="shared" si="263"/>
        <v>2022-12</v>
      </c>
      <c r="M2800">
        <f t="shared" si="261"/>
        <v>830.88000000000011</v>
      </c>
    </row>
    <row r="2801" spans="1:13" x14ac:dyDescent="0.25">
      <c r="A2801" s="1">
        <v>44784</v>
      </c>
      <c r="B2801" t="s">
        <v>10</v>
      </c>
      <c r="C2801" t="s">
        <v>11</v>
      </c>
      <c r="D2801" t="s">
        <v>18</v>
      </c>
      <c r="E2801">
        <v>143.44999999999999</v>
      </c>
      <c r="F2801">
        <v>87.8</v>
      </c>
      <c r="G2801">
        <v>3</v>
      </c>
      <c r="H2801">
        <f t="shared" si="258"/>
        <v>430.34999999999997</v>
      </c>
      <c r="I2801">
        <f t="shared" si="262"/>
        <v>263.39999999999998</v>
      </c>
      <c r="J2801">
        <f t="shared" si="259"/>
        <v>166.95</v>
      </c>
      <c r="K2801" s="8">
        <f t="shared" si="260"/>
        <v>0.38794004879749044</v>
      </c>
      <c r="L2801" t="str">
        <f t="shared" si="263"/>
        <v>2022-08</v>
      </c>
      <c r="M2801">
        <f t="shared" si="261"/>
        <v>166.95</v>
      </c>
    </row>
    <row r="2802" spans="1:13" x14ac:dyDescent="0.25">
      <c r="A2802" s="1">
        <v>44566</v>
      </c>
      <c r="B2802" t="s">
        <v>19</v>
      </c>
      <c r="C2802" t="s">
        <v>20</v>
      </c>
      <c r="D2802" t="s">
        <v>18</v>
      </c>
      <c r="E2802">
        <v>198.75</v>
      </c>
      <c r="F2802">
        <v>124.68</v>
      </c>
      <c r="G2802">
        <v>9</v>
      </c>
      <c r="H2802">
        <f t="shared" si="258"/>
        <v>1788.75</v>
      </c>
      <c r="I2802">
        <f t="shared" si="262"/>
        <v>1122.1200000000001</v>
      </c>
      <c r="J2802">
        <f t="shared" si="259"/>
        <v>666.62999999999988</v>
      </c>
      <c r="K2802" s="8">
        <f t="shared" si="260"/>
        <v>0.37267924528301882</v>
      </c>
      <c r="L2802" t="str">
        <f t="shared" si="263"/>
        <v>2022-01</v>
      </c>
      <c r="M2802">
        <f t="shared" si="261"/>
        <v>666.62999999999988</v>
      </c>
    </row>
    <row r="2803" spans="1:13" x14ac:dyDescent="0.25">
      <c r="A2803" s="1">
        <v>45159</v>
      </c>
      <c r="B2803" t="s">
        <v>25</v>
      </c>
      <c r="C2803" t="s">
        <v>15</v>
      </c>
      <c r="D2803" t="s">
        <v>9</v>
      </c>
      <c r="E2803">
        <v>1539.56</v>
      </c>
      <c r="F2803">
        <v>1043.3499999999999</v>
      </c>
      <c r="G2803">
        <v>7</v>
      </c>
      <c r="H2803">
        <f t="shared" si="258"/>
        <v>10776.92</v>
      </c>
      <c r="I2803">
        <f t="shared" si="262"/>
        <v>7303.4499999999989</v>
      </c>
      <c r="J2803">
        <f t="shared" si="259"/>
        <v>3473.4700000000012</v>
      </c>
      <c r="K2803" s="8">
        <f t="shared" si="260"/>
        <v>0.32230637324949996</v>
      </c>
      <c r="L2803" t="str">
        <f t="shared" si="263"/>
        <v>2023-08</v>
      </c>
      <c r="M2803">
        <f t="shared" si="261"/>
        <v>3473.4700000000012</v>
      </c>
    </row>
    <row r="2804" spans="1:13" x14ac:dyDescent="0.25">
      <c r="A2804" s="1">
        <v>45216</v>
      </c>
      <c r="B2804" t="s">
        <v>16</v>
      </c>
      <c r="C2804" t="s">
        <v>15</v>
      </c>
      <c r="D2804" t="s">
        <v>18</v>
      </c>
      <c r="E2804">
        <v>1584.45</v>
      </c>
      <c r="F2804">
        <v>1147.31</v>
      </c>
      <c r="G2804">
        <v>8</v>
      </c>
      <c r="H2804">
        <f t="shared" si="258"/>
        <v>12675.6</v>
      </c>
      <c r="I2804">
        <f t="shared" si="262"/>
        <v>9178.48</v>
      </c>
      <c r="J2804">
        <f t="shared" si="259"/>
        <v>3497.1200000000008</v>
      </c>
      <c r="K2804" s="8">
        <f t="shared" si="260"/>
        <v>0.27589384328946959</v>
      </c>
      <c r="L2804" t="str">
        <f t="shared" si="263"/>
        <v>2023-10</v>
      </c>
      <c r="M2804">
        <f t="shared" si="261"/>
        <v>3497.1200000000008</v>
      </c>
    </row>
    <row r="2805" spans="1:13" x14ac:dyDescent="0.25">
      <c r="A2805" s="1">
        <v>45634</v>
      </c>
      <c r="B2805" t="s">
        <v>25</v>
      </c>
      <c r="C2805" t="s">
        <v>15</v>
      </c>
      <c r="D2805" t="s">
        <v>9</v>
      </c>
      <c r="E2805">
        <v>488.84</v>
      </c>
      <c r="F2805">
        <v>394.77</v>
      </c>
      <c r="G2805">
        <v>7</v>
      </c>
      <c r="H2805">
        <f t="shared" si="258"/>
        <v>3421.8799999999997</v>
      </c>
      <c r="I2805">
        <f t="shared" si="262"/>
        <v>2763.39</v>
      </c>
      <c r="J2805">
        <f t="shared" si="259"/>
        <v>658.48999999999978</v>
      </c>
      <c r="K2805" s="8">
        <f t="shared" si="260"/>
        <v>0.19243515260616967</v>
      </c>
      <c r="L2805" t="str">
        <f t="shared" si="263"/>
        <v>2024-12</v>
      </c>
      <c r="M2805">
        <f t="shared" si="261"/>
        <v>658.48999999999978</v>
      </c>
    </row>
    <row r="2806" spans="1:13" x14ac:dyDescent="0.25">
      <c r="A2806" s="1">
        <v>45524</v>
      </c>
      <c r="B2806" t="s">
        <v>23</v>
      </c>
      <c r="C2806" t="s">
        <v>11</v>
      </c>
      <c r="D2806" t="s">
        <v>17</v>
      </c>
      <c r="E2806">
        <v>553.57000000000005</v>
      </c>
      <c r="F2806">
        <v>297.56</v>
      </c>
      <c r="G2806">
        <v>8</v>
      </c>
      <c r="H2806">
        <f t="shared" si="258"/>
        <v>4428.5600000000004</v>
      </c>
      <c r="I2806">
        <f t="shared" si="262"/>
        <v>2380.48</v>
      </c>
      <c r="J2806">
        <f t="shared" si="259"/>
        <v>2048.0800000000004</v>
      </c>
      <c r="K2806" s="8">
        <f t="shared" si="260"/>
        <v>0.46247087089257011</v>
      </c>
      <c r="L2806" t="str">
        <f t="shared" si="263"/>
        <v>2024-08</v>
      </c>
      <c r="M2806">
        <f t="shared" si="261"/>
        <v>2048.0800000000004</v>
      </c>
    </row>
    <row r="2807" spans="1:13" x14ac:dyDescent="0.25">
      <c r="A2807" s="1">
        <v>45075</v>
      </c>
      <c r="B2807" t="s">
        <v>22</v>
      </c>
      <c r="C2807" t="s">
        <v>8</v>
      </c>
      <c r="D2807" t="s">
        <v>9</v>
      </c>
      <c r="E2807">
        <v>62.22</v>
      </c>
      <c r="F2807">
        <v>38.08</v>
      </c>
      <c r="G2807">
        <v>5</v>
      </c>
      <c r="H2807">
        <f t="shared" si="258"/>
        <v>311.10000000000002</v>
      </c>
      <c r="I2807">
        <f t="shared" si="262"/>
        <v>190.39999999999998</v>
      </c>
      <c r="J2807">
        <f t="shared" si="259"/>
        <v>120.70000000000005</v>
      </c>
      <c r="K2807" s="8">
        <f t="shared" si="260"/>
        <v>0.38797814207650283</v>
      </c>
      <c r="L2807" t="str">
        <f t="shared" si="263"/>
        <v>2023-05</v>
      </c>
      <c r="M2807">
        <f t="shared" si="261"/>
        <v>120.70000000000005</v>
      </c>
    </row>
    <row r="2808" spans="1:13" x14ac:dyDescent="0.25">
      <c r="A2808" s="1">
        <v>45322</v>
      </c>
      <c r="B2808" t="s">
        <v>22</v>
      </c>
      <c r="C2808" t="s">
        <v>8</v>
      </c>
      <c r="D2808" t="s">
        <v>17</v>
      </c>
      <c r="E2808">
        <v>1638.05</v>
      </c>
      <c r="F2808">
        <v>1244.67</v>
      </c>
      <c r="G2808">
        <v>9</v>
      </c>
      <c r="H2808">
        <f t="shared" si="258"/>
        <v>14742.449999999999</v>
      </c>
      <c r="I2808">
        <f t="shared" si="262"/>
        <v>11202.03</v>
      </c>
      <c r="J2808">
        <f t="shared" si="259"/>
        <v>3540.4199999999983</v>
      </c>
      <c r="K2808" s="8">
        <f t="shared" si="260"/>
        <v>0.24015139952992878</v>
      </c>
      <c r="L2808" t="str">
        <f t="shared" si="263"/>
        <v>2024-01</v>
      </c>
      <c r="M2808">
        <f t="shared" si="261"/>
        <v>3540.4199999999983</v>
      </c>
    </row>
    <row r="2809" spans="1:13" x14ac:dyDescent="0.25">
      <c r="A2809" s="1">
        <v>45007</v>
      </c>
      <c r="B2809" t="s">
        <v>19</v>
      </c>
      <c r="C2809" t="s">
        <v>20</v>
      </c>
      <c r="D2809" t="s">
        <v>9</v>
      </c>
      <c r="E2809">
        <v>1897.76</v>
      </c>
      <c r="F2809">
        <v>1050.68</v>
      </c>
      <c r="G2809">
        <v>7</v>
      </c>
      <c r="H2809">
        <f t="shared" si="258"/>
        <v>13284.32</v>
      </c>
      <c r="I2809">
        <f t="shared" si="262"/>
        <v>7354.76</v>
      </c>
      <c r="J2809">
        <f t="shared" si="259"/>
        <v>5929.5599999999995</v>
      </c>
      <c r="K2809" s="8">
        <f t="shared" si="260"/>
        <v>0.44635781131439167</v>
      </c>
      <c r="L2809" t="str">
        <f t="shared" si="263"/>
        <v>2023-03</v>
      </c>
      <c r="M2809">
        <f t="shared" si="261"/>
        <v>5929.5599999999995</v>
      </c>
    </row>
    <row r="2810" spans="1:13" x14ac:dyDescent="0.25">
      <c r="A2810" s="1">
        <v>45551</v>
      </c>
      <c r="B2810" t="s">
        <v>25</v>
      </c>
      <c r="C2810" t="s">
        <v>15</v>
      </c>
      <c r="D2810" t="s">
        <v>13</v>
      </c>
      <c r="E2810">
        <v>1862.85</v>
      </c>
      <c r="F2810">
        <v>992.86</v>
      </c>
      <c r="G2810">
        <v>5</v>
      </c>
      <c r="H2810">
        <f t="shared" si="258"/>
        <v>9314.25</v>
      </c>
      <c r="I2810">
        <f t="shared" si="262"/>
        <v>4964.3</v>
      </c>
      <c r="J2810">
        <f t="shared" si="259"/>
        <v>4349.95</v>
      </c>
      <c r="K2810" s="8">
        <f t="shared" si="260"/>
        <v>0.46702096250369057</v>
      </c>
      <c r="L2810" t="str">
        <f t="shared" si="263"/>
        <v>2024-09</v>
      </c>
      <c r="M2810">
        <f t="shared" si="261"/>
        <v>4349.95</v>
      </c>
    </row>
    <row r="2811" spans="1:13" x14ac:dyDescent="0.25">
      <c r="A2811" s="1">
        <v>44605</v>
      </c>
      <c r="B2811" t="s">
        <v>24</v>
      </c>
      <c r="C2811" t="s">
        <v>20</v>
      </c>
      <c r="D2811" t="s">
        <v>18</v>
      </c>
      <c r="E2811">
        <v>212.51</v>
      </c>
      <c r="F2811">
        <v>178.51</v>
      </c>
      <c r="G2811">
        <v>8</v>
      </c>
      <c r="H2811">
        <f t="shared" si="258"/>
        <v>1700.08</v>
      </c>
      <c r="I2811">
        <f t="shared" si="262"/>
        <v>1428.08</v>
      </c>
      <c r="J2811">
        <f t="shared" si="259"/>
        <v>272</v>
      </c>
      <c r="K2811" s="8">
        <f t="shared" si="260"/>
        <v>0.15999247094254387</v>
      </c>
      <c r="L2811" t="str">
        <f t="shared" si="263"/>
        <v>2022-02</v>
      </c>
      <c r="M2811">
        <f t="shared" si="261"/>
        <v>272</v>
      </c>
    </row>
    <row r="2812" spans="1:13" x14ac:dyDescent="0.25">
      <c r="A2812" s="1">
        <v>45647</v>
      </c>
      <c r="B2812" t="s">
        <v>7</v>
      </c>
      <c r="C2812" t="s">
        <v>8</v>
      </c>
      <c r="D2812" t="s">
        <v>13</v>
      </c>
      <c r="E2812">
        <v>476.9</v>
      </c>
      <c r="F2812">
        <v>394.92</v>
      </c>
      <c r="G2812">
        <v>5</v>
      </c>
      <c r="H2812">
        <f t="shared" si="258"/>
        <v>2384.5</v>
      </c>
      <c r="I2812">
        <f t="shared" si="262"/>
        <v>1974.6000000000001</v>
      </c>
      <c r="J2812">
        <f t="shared" si="259"/>
        <v>409.89999999999986</v>
      </c>
      <c r="K2812" s="8">
        <f t="shared" si="260"/>
        <v>0.17190186621933315</v>
      </c>
      <c r="L2812" t="str">
        <f t="shared" si="263"/>
        <v>2024-12</v>
      </c>
      <c r="M2812">
        <f t="shared" si="261"/>
        <v>409.89999999999986</v>
      </c>
    </row>
    <row r="2813" spans="1:13" x14ac:dyDescent="0.25">
      <c r="A2813" s="1">
        <v>44629</v>
      </c>
      <c r="B2813" t="s">
        <v>24</v>
      </c>
      <c r="C2813" t="s">
        <v>20</v>
      </c>
      <c r="D2813" t="s">
        <v>9</v>
      </c>
      <c r="E2813">
        <v>842.49</v>
      </c>
      <c r="F2813">
        <v>669.84</v>
      </c>
      <c r="G2813">
        <v>7</v>
      </c>
      <c r="H2813">
        <f t="shared" si="258"/>
        <v>5897.43</v>
      </c>
      <c r="I2813">
        <f t="shared" si="262"/>
        <v>4688.88</v>
      </c>
      <c r="J2813">
        <f t="shared" si="259"/>
        <v>1208.5500000000002</v>
      </c>
      <c r="K2813" s="8">
        <f t="shared" si="260"/>
        <v>0.20492824840650931</v>
      </c>
      <c r="L2813" t="str">
        <f t="shared" si="263"/>
        <v>2022-03</v>
      </c>
      <c r="M2813">
        <f t="shared" si="261"/>
        <v>1208.5500000000002</v>
      </c>
    </row>
    <row r="2814" spans="1:13" x14ac:dyDescent="0.25">
      <c r="A2814" s="1">
        <v>45488</v>
      </c>
      <c r="B2814" t="s">
        <v>19</v>
      </c>
      <c r="C2814" t="s">
        <v>20</v>
      </c>
      <c r="D2814" t="s">
        <v>17</v>
      </c>
      <c r="E2814">
        <v>370.93</v>
      </c>
      <c r="F2814">
        <v>210.12</v>
      </c>
      <c r="G2814">
        <v>1</v>
      </c>
      <c r="H2814">
        <f t="shared" si="258"/>
        <v>370.93</v>
      </c>
      <c r="I2814">
        <f t="shared" si="262"/>
        <v>210.12</v>
      </c>
      <c r="J2814">
        <f t="shared" si="259"/>
        <v>160.81</v>
      </c>
      <c r="K2814" s="8">
        <f t="shared" si="260"/>
        <v>0.43353193324886097</v>
      </c>
      <c r="L2814" t="str">
        <f t="shared" si="263"/>
        <v>2024-07</v>
      </c>
      <c r="M2814">
        <f t="shared" si="261"/>
        <v>160.81</v>
      </c>
    </row>
    <row r="2815" spans="1:13" x14ac:dyDescent="0.25">
      <c r="A2815" s="1">
        <v>44635</v>
      </c>
      <c r="B2815" t="s">
        <v>21</v>
      </c>
      <c r="C2815" t="s">
        <v>20</v>
      </c>
      <c r="D2815" t="s">
        <v>18</v>
      </c>
      <c r="E2815">
        <v>1890.58</v>
      </c>
      <c r="F2815">
        <v>1394.64</v>
      </c>
      <c r="G2815">
        <v>6</v>
      </c>
      <c r="H2815">
        <f t="shared" si="258"/>
        <v>11343.48</v>
      </c>
      <c r="I2815">
        <f t="shared" si="262"/>
        <v>8367.84</v>
      </c>
      <c r="J2815">
        <f t="shared" si="259"/>
        <v>2975.6399999999994</v>
      </c>
      <c r="K2815" s="8">
        <f t="shared" si="260"/>
        <v>0.26232161558886685</v>
      </c>
      <c r="L2815" t="str">
        <f t="shared" si="263"/>
        <v>2022-03</v>
      </c>
      <c r="M2815">
        <f t="shared" si="261"/>
        <v>2975.6399999999994</v>
      </c>
    </row>
    <row r="2816" spans="1:13" x14ac:dyDescent="0.25">
      <c r="A2816" s="1">
        <v>45048</v>
      </c>
      <c r="B2816" t="s">
        <v>19</v>
      </c>
      <c r="C2816" t="s">
        <v>20</v>
      </c>
      <c r="D2816" t="s">
        <v>17</v>
      </c>
      <c r="E2816">
        <v>1169.22</v>
      </c>
      <c r="F2816">
        <v>1052.04</v>
      </c>
      <c r="G2816">
        <v>10</v>
      </c>
      <c r="H2816">
        <f t="shared" si="258"/>
        <v>11692.2</v>
      </c>
      <c r="I2816">
        <f t="shared" si="262"/>
        <v>10520.4</v>
      </c>
      <c r="J2816">
        <f t="shared" si="259"/>
        <v>1171.8000000000011</v>
      </c>
      <c r="K2816" s="8">
        <f t="shared" si="260"/>
        <v>0.100220659927131</v>
      </c>
      <c r="L2816" t="str">
        <f t="shared" si="263"/>
        <v>2023-05</v>
      </c>
      <c r="M2816">
        <f t="shared" si="261"/>
        <v>1171.8000000000011</v>
      </c>
    </row>
    <row r="2817" spans="1:13" x14ac:dyDescent="0.25">
      <c r="A2817" s="1">
        <v>45120</v>
      </c>
      <c r="B2817" t="s">
        <v>14</v>
      </c>
      <c r="C2817" t="s">
        <v>15</v>
      </c>
      <c r="D2817" t="s">
        <v>17</v>
      </c>
      <c r="E2817">
        <v>1106.67</v>
      </c>
      <c r="F2817">
        <v>745.6</v>
      </c>
      <c r="G2817">
        <v>2</v>
      </c>
      <c r="H2817">
        <f t="shared" si="258"/>
        <v>2213.34</v>
      </c>
      <c r="I2817">
        <f t="shared" si="262"/>
        <v>1491.2</v>
      </c>
      <c r="J2817">
        <f t="shared" si="259"/>
        <v>722.1400000000001</v>
      </c>
      <c r="K2817" s="8">
        <f t="shared" si="260"/>
        <v>0.32626708955695921</v>
      </c>
      <c r="L2817" t="str">
        <f t="shared" si="263"/>
        <v>2023-07</v>
      </c>
      <c r="M2817">
        <f t="shared" si="261"/>
        <v>722.1400000000001</v>
      </c>
    </row>
    <row r="2818" spans="1:13" x14ac:dyDescent="0.25">
      <c r="A2818" s="1">
        <v>45341</v>
      </c>
      <c r="B2818" t="s">
        <v>7</v>
      </c>
      <c r="C2818" t="s">
        <v>8</v>
      </c>
      <c r="D2818" t="s">
        <v>17</v>
      </c>
      <c r="E2818">
        <v>91.23</v>
      </c>
      <c r="F2818">
        <v>64.430000000000007</v>
      </c>
      <c r="G2818">
        <v>5</v>
      </c>
      <c r="H2818">
        <f t="shared" si="258"/>
        <v>456.15000000000003</v>
      </c>
      <c r="I2818">
        <f t="shared" si="262"/>
        <v>322.15000000000003</v>
      </c>
      <c r="J2818">
        <f t="shared" si="259"/>
        <v>134</v>
      </c>
      <c r="K2818" s="8">
        <f t="shared" si="260"/>
        <v>0.29376301655157294</v>
      </c>
      <c r="L2818" t="str">
        <f t="shared" si="263"/>
        <v>2024-02</v>
      </c>
      <c r="M2818">
        <f t="shared" si="261"/>
        <v>134</v>
      </c>
    </row>
    <row r="2819" spans="1:13" x14ac:dyDescent="0.25">
      <c r="A2819" s="1">
        <v>44762</v>
      </c>
      <c r="B2819" t="s">
        <v>7</v>
      </c>
      <c r="C2819" t="s">
        <v>8</v>
      </c>
      <c r="D2819" t="s">
        <v>9</v>
      </c>
      <c r="E2819">
        <v>1810.75</v>
      </c>
      <c r="F2819">
        <v>1121.55</v>
      </c>
      <c r="G2819">
        <v>8</v>
      </c>
      <c r="H2819">
        <f t="shared" ref="H2819:H2882" si="264">E2819*G2819</f>
        <v>14486</v>
      </c>
      <c r="I2819">
        <f t="shared" si="262"/>
        <v>8972.4</v>
      </c>
      <c r="J2819">
        <f t="shared" ref="J2819:J2882" si="265">H2819-I2819</f>
        <v>5513.6</v>
      </c>
      <c r="K2819" s="8">
        <f t="shared" ref="K2819:K2882" si="266">(H2819-I2819)/H2819</f>
        <v>0.38061576694739752</v>
      </c>
      <c r="L2819" t="str">
        <f t="shared" si="263"/>
        <v>2022-07</v>
      </c>
      <c r="M2819">
        <f t="shared" ref="M2819:M2882" si="267">H2819-I2819</f>
        <v>5513.6</v>
      </c>
    </row>
    <row r="2820" spans="1:13" x14ac:dyDescent="0.25">
      <c r="A2820" s="1">
        <v>45595</v>
      </c>
      <c r="B2820" t="s">
        <v>21</v>
      </c>
      <c r="C2820" t="s">
        <v>20</v>
      </c>
      <c r="D2820" t="s">
        <v>17</v>
      </c>
      <c r="E2820">
        <v>186.13</v>
      </c>
      <c r="F2820">
        <v>136.72999999999999</v>
      </c>
      <c r="G2820">
        <v>5</v>
      </c>
      <c r="H2820">
        <f t="shared" si="264"/>
        <v>930.65</v>
      </c>
      <c r="I2820">
        <f t="shared" ref="I2820:I2883" si="268">F2820*G2820</f>
        <v>683.65</v>
      </c>
      <c r="J2820">
        <f t="shared" si="265"/>
        <v>247</v>
      </c>
      <c r="K2820" s="8">
        <f t="shared" si="266"/>
        <v>0.26540589910277762</v>
      </c>
      <c r="L2820" t="str">
        <f t="shared" ref="L2820:L2883" si="269">TEXT(A2820,"rrrr-mm")</f>
        <v>2024-10</v>
      </c>
      <c r="M2820">
        <f t="shared" si="267"/>
        <v>247</v>
      </c>
    </row>
    <row r="2821" spans="1:13" x14ac:dyDescent="0.25">
      <c r="A2821" s="1">
        <v>45174</v>
      </c>
      <c r="B2821" t="s">
        <v>23</v>
      </c>
      <c r="C2821" t="s">
        <v>11</v>
      </c>
      <c r="D2821" t="s">
        <v>9</v>
      </c>
      <c r="E2821">
        <v>1643.7</v>
      </c>
      <c r="F2821">
        <v>1391.07</v>
      </c>
      <c r="G2821">
        <v>2</v>
      </c>
      <c r="H2821">
        <f t="shared" si="264"/>
        <v>3287.4</v>
      </c>
      <c r="I2821">
        <f t="shared" si="268"/>
        <v>2782.14</v>
      </c>
      <c r="J2821">
        <f t="shared" si="265"/>
        <v>505.26000000000022</v>
      </c>
      <c r="K2821" s="8">
        <f t="shared" si="266"/>
        <v>0.15369592991421799</v>
      </c>
      <c r="L2821" t="str">
        <f t="shared" si="269"/>
        <v>2023-09</v>
      </c>
      <c r="M2821">
        <f t="shared" si="267"/>
        <v>505.26000000000022</v>
      </c>
    </row>
    <row r="2822" spans="1:13" x14ac:dyDescent="0.25">
      <c r="A2822" s="1">
        <v>45343</v>
      </c>
      <c r="B2822" t="s">
        <v>12</v>
      </c>
      <c r="C2822" t="s">
        <v>8</v>
      </c>
      <c r="D2822" t="s">
        <v>17</v>
      </c>
      <c r="E2822">
        <v>1622.63</v>
      </c>
      <c r="F2822">
        <v>1394.95</v>
      </c>
      <c r="G2822">
        <v>2</v>
      </c>
      <c r="H2822">
        <f t="shared" si="264"/>
        <v>3245.26</v>
      </c>
      <c r="I2822">
        <f t="shared" si="268"/>
        <v>2789.9</v>
      </c>
      <c r="J2822">
        <f t="shared" si="265"/>
        <v>455.36000000000013</v>
      </c>
      <c r="K2822" s="8">
        <f t="shared" si="266"/>
        <v>0.1403154138651449</v>
      </c>
      <c r="L2822" t="str">
        <f t="shared" si="269"/>
        <v>2024-02</v>
      </c>
      <c r="M2822">
        <f t="shared" si="267"/>
        <v>455.36000000000013</v>
      </c>
    </row>
    <row r="2823" spans="1:13" x14ac:dyDescent="0.25">
      <c r="A2823" s="1">
        <v>44945</v>
      </c>
      <c r="B2823" t="s">
        <v>19</v>
      </c>
      <c r="C2823" t="s">
        <v>20</v>
      </c>
      <c r="D2823" t="s">
        <v>13</v>
      </c>
      <c r="E2823">
        <v>728.08</v>
      </c>
      <c r="F2823">
        <v>390.13</v>
      </c>
      <c r="G2823">
        <v>2</v>
      </c>
      <c r="H2823">
        <f t="shared" si="264"/>
        <v>1456.16</v>
      </c>
      <c r="I2823">
        <f t="shared" si="268"/>
        <v>780.26</v>
      </c>
      <c r="J2823">
        <f t="shared" si="265"/>
        <v>675.90000000000009</v>
      </c>
      <c r="K2823" s="8">
        <f t="shared" si="266"/>
        <v>0.46416602571146032</v>
      </c>
      <c r="L2823" t="str">
        <f t="shared" si="269"/>
        <v>2023-01</v>
      </c>
      <c r="M2823">
        <f t="shared" si="267"/>
        <v>675.90000000000009</v>
      </c>
    </row>
    <row r="2824" spans="1:13" x14ac:dyDescent="0.25">
      <c r="A2824" s="1">
        <v>44671</v>
      </c>
      <c r="B2824" t="s">
        <v>25</v>
      </c>
      <c r="C2824" t="s">
        <v>15</v>
      </c>
      <c r="D2824" t="s">
        <v>9</v>
      </c>
      <c r="E2824">
        <v>780.53</v>
      </c>
      <c r="F2824">
        <v>664.52</v>
      </c>
      <c r="G2824">
        <v>2</v>
      </c>
      <c r="H2824">
        <f t="shared" si="264"/>
        <v>1561.06</v>
      </c>
      <c r="I2824">
        <f t="shared" si="268"/>
        <v>1329.04</v>
      </c>
      <c r="J2824">
        <f t="shared" si="265"/>
        <v>232.01999999999998</v>
      </c>
      <c r="K2824" s="8">
        <f t="shared" si="266"/>
        <v>0.14862977720266998</v>
      </c>
      <c r="L2824" t="str">
        <f t="shared" si="269"/>
        <v>2022-04</v>
      </c>
      <c r="M2824">
        <f t="shared" si="267"/>
        <v>232.01999999999998</v>
      </c>
    </row>
    <row r="2825" spans="1:13" x14ac:dyDescent="0.25">
      <c r="A2825" s="1">
        <v>44814</v>
      </c>
      <c r="B2825" t="s">
        <v>25</v>
      </c>
      <c r="C2825" t="s">
        <v>15</v>
      </c>
      <c r="D2825" t="s">
        <v>18</v>
      </c>
      <c r="E2825">
        <v>1079.6600000000001</v>
      </c>
      <c r="F2825">
        <v>655.84</v>
      </c>
      <c r="G2825">
        <v>6</v>
      </c>
      <c r="H2825">
        <f t="shared" si="264"/>
        <v>6477.9600000000009</v>
      </c>
      <c r="I2825">
        <f t="shared" si="268"/>
        <v>3935.04</v>
      </c>
      <c r="J2825">
        <f t="shared" si="265"/>
        <v>2542.920000000001</v>
      </c>
      <c r="K2825" s="8">
        <f t="shared" si="266"/>
        <v>0.39254950632606572</v>
      </c>
      <c r="L2825" t="str">
        <f t="shared" si="269"/>
        <v>2022-09</v>
      </c>
      <c r="M2825">
        <f t="shared" si="267"/>
        <v>2542.920000000001</v>
      </c>
    </row>
    <row r="2826" spans="1:13" x14ac:dyDescent="0.25">
      <c r="A2826" s="1">
        <v>45416</v>
      </c>
      <c r="B2826" t="s">
        <v>23</v>
      </c>
      <c r="C2826" t="s">
        <v>11</v>
      </c>
      <c r="D2826" t="s">
        <v>9</v>
      </c>
      <c r="E2826">
        <v>576.11</v>
      </c>
      <c r="F2826">
        <v>314.83</v>
      </c>
      <c r="G2826">
        <v>5</v>
      </c>
      <c r="H2826">
        <f t="shared" si="264"/>
        <v>2880.55</v>
      </c>
      <c r="I2826">
        <f t="shared" si="268"/>
        <v>1574.1499999999999</v>
      </c>
      <c r="J2826">
        <f t="shared" si="265"/>
        <v>1306.4000000000003</v>
      </c>
      <c r="K2826" s="8">
        <f t="shared" si="266"/>
        <v>0.45352450052941284</v>
      </c>
      <c r="L2826" t="str">
        <f t="shared" si="269"/>
        <v>2024-05</v>
      </c>
      <c r="M2826">
        <f t="shared" si="267"/>
        <v>1306.4000000000003</v>
      </c>
    </row>
    <row r="2827" spans="1:13" x14ac:dyDescent="0.25">
      <c r="A2827" s="1">
        <v>44870</v>
      </c>
      <c r="B2827" t="s">
        <v>7</v>
      </c>
      <c r="C2827" t="s">
        <v>8</v>
      </c>
      <c r="D2827" t="s">
        <v>17</v>
      </c>
      <c r="E2827">
        <v>1889.09</v>
      </c>
      <c r="F2827">
        <v>1266.4100000000001</v>
      </c>
      <c r="G2827">
        <v>3</v>
      </c>
      <c r="H2827">
        <f t="shared" si="264"/>
        <v>5667.2699999999995</v>
      </c>
      <c r="I2827">
        <f t="shared" si="268"/>
        <v>3799.2300000000005</v>
      </c>
      <c r="J2827">
        <f t="shared" si="265"/>
        <v>1868.0399999999991</v>
      </c>
      <c r="K2827" s="8">
        <f t="shared" si="266"/>
        <v>0.32961902291579531</v>
      </c>
      <c r="L2827" t="str">
        <f t="shared" si="269"/>
        <v>2022-11</v>
      </c>
      <c r="M2827">
        <f t="shared" si="267"/>
        <v>1868.0399999999991</v>
      </c>
    </row>
    <row r="2828" spans="1:13" x14ac:dyDescent="0.25">
      <c r="A2828" s="1">
        <v>44586</v>
      </c>
      <c r="B2828" t="s">
        <v>25</v>
      </c>
      <c r="C2828" t="s">
        <v>15</v>
      </c>
      <c r="D2828" t="s">
        <v>13</v>
      </c>
      <c r="E2828">
        <v>1285.4100000000001</v>
      </c>
      <c r="F2828">
        <v>1067.6500000000001</v>
      </c>
      <c r="G2828">
        <v>1</v>
      </c>
      <c r="H2828">
        <f t="shared" si="264"/>
        <v>1285.4100000000001</v>
      </c>
      <c r="I2828">
        <f t="shared" si="268"/>
        <v>1067.6500000000001</v>
      </c>
      <c r="J2828">
        <f t="shared" si="265"/>
        <v>217.76</v>
      </c>
      <c r="K2828" s="8">
        <f t="shared" si="266"/>
        <v>0.16940898234804458</v>
      </c>
      <c r="L2828" t="str">
        <f t="shared" si="269"/>
        <v>2022-01</v>
      </c>
      <c r="M2828">
        <f t="shared" si="267"/>
        <v>217.76</v>
      </c>
    </row>
    <row r="2829" spans="1:13" x14ac:dyDescent="0.25">
      <c r="A2829" s="1">
        <v>45155</v>
      </c>
      <c r="B2829" t="s">
        <v>7</v>
      </c>
      <c r="C2829" t="s">
        <v>8</v>
      </c>
      <c r="D2829" t="s">
        <v>17</v>
      </c>
      <c r="E2829">
        <v>1201.56</v>
      </c>
      <c r="F2829">
        <v>840.73</v>
      </c>
      <c r="G2829">
        <v>6</v>
      </c>
      <c r="H2829">
        <f t="shared" si="264"/>
        <v>7209.36</v>
      </c>
      <c r="I2829">
        <f t="shared" si="268"/>
        <v>5044.38</v>
      </c>
      <c r="J2829">
        <f t="shared" si="265"/>
        <v>2164.9799999999996</v>
      </c>
      <c r="K2829" s="8">
        <f t="shared" si="266"/>
        <v>0.30030127500915471</v>
      </c>
      <c r="L2829" t="str">
        <f t="shared" si="269"/>
        <v>2023-08</v>
      </c>
      <c r="M2829">
        <f t="shared" si="267"/>
        <v>2164.9799999999996</v>
      </c>
    </row>
    <row r="2830" spans="1:13" x14ac:dyDescent="0.25">
      <c r="A2830" s="1">
        <v>45599</v>
      </c>
      <c r="B2830" t="s">
        <v>14</v>
      </c>
      <c r="C2830" t="s">
        <v>15</v>
      </c>
      <c r="D2830" t="s">
        <v>13</v>
      </c>
      <c r="E2830">
        <v>67.05</v>
      </c>
      <c r="F2830">
        <v>58.55</v>
      </c>
      <c r="G2830">
        <v>8</v>
      </c>
      <c r="H2830">
        <f t="shared" si="264"/>
        <v>536.4</v>
      </c>
      <c r="I2830">
        <f t="shared" si="268"/>
        <v>468.4</v>
      </c>
      <c r="J2830">
        <f t="shared" si="265"/>
        <v>68</v>
      </c>
      <c r="K2830" s="8">
        <f t="shared" si="266"/>
        <v>0.12677106636838181</v>
      </c>
      <c r="L2830" t="str">
        <f t="shared" si="269"/>
        <v>2024-11</v>
      </c>
      <c r="M2830">
        <f t="shared" si="267"/>
        <v>68</v>
      </c>
    </row>
    <row r="2831" spans="1:13" x14ac:dyDescent="0.25">
      <c r="A2831" s="1">
        <v>45235</v>
      </c>
      <c r="B2831" t="s">
        <v>22</v>
      </c>
      <c r="C2831" t="s">
        <v>8</v>
      </c>
      <c r="D2831" t="s">
        <v>18</v>
      </c>
      <c r="E2831">
        <v>1583.25</v>
      </c>
      <c r="F2831">
        <v>1086.1199999999999</v>
      </c>
      <c r="G2831">
        <v>5</v>
      </c>
      <c r="H2831">
        <f t="shared" si="264"/>
        <v>7916.25</v>
      </c>
      <c r="I2831">
        <f t="shared" si="268"/>
        <v>5430.5999999999995</v>
      </c>
      <c r="J2831">
        <f t="shared" si="265"/>
        <v>2485.6500000000005</v>
      </c>
      <c r="K2831" s="8">
        <f t="shared" si="266"/>
        <v>0.31399336807200384</v>
      </c>
      <c r="L2831" t="str">
        <f t="shared" si="269"/>
        <v>2023-11</v>
      </c>
      <c r="M2831">
        <f t="shared" si="267"/>
        <v>2485.6500000000005</v>
      </c>
    </row>
    <row r="2832" spans="1:13" x14ac:dyDescent="0.25">
      <c r="A2832" s="1">
        <v>45028</v>
      </c>
      <c r="B2832" t="s">
        <v>19</v>
      </c>
      <c r="C2832" t="s">
        <v>20</v>
      </c>
      <c r="D2832" t="s">
        <v>9</v>
      </c>
      <c r="E2832">
        <v>1719.15</v>
      </c>
      <c r="F2832">
        <v>1478.09</v>
      </c>
      <c r="G2832">
        <v>7</v>
      </c>
      <c r="H2832">
        <f t="shared" si="264"/>
        <v>12034.050000000001</v>
      </c>
      <c r="I2832">
        <f t="shared" si="268"/>
        <v>10346.629999999999</v>
      </c>
      <c r="J2832">
        <f t="shared" si="265"/>
        <v>1687.4200000000019</v>
      </c>
      <c r="K2832" s="8">
        <f t="shared" si="266"/>
        <v>0.14022045778437034</v>
      </c>
      <c r="L2832" t="str">
        <f t="shared" si="269"/>
        <v>2023-04</v>
      </c>
      <c r="M2832">
        <f t="shared" si="267"/>
        <v>1687.4200000000019</v>
      </c>
    </row>
    <row r="2833" spans="1:13" x14ac:dyDescent="0.25">
      <c r="A2833" s="1">
        <v>45567</v>
      </c>
      <c r="B2833" t="s">
        <v>14</v>
      </c>
      <c r="C2833" t="s">
        <v>15</v>
      </c>
      <c r="D2833" t="s">
        <v>17</v>
      </c>
      <c r="E2833">
        <v>1144.9000000000001</v>
      </c>
      <c r="F2833">
        <v>582.98</v>
      </c>
      <c r="G2833">
        <v>7</v>
      </c>
      <c r="H2833">
        <f t="shared" si="264"/>
        <v>8014.3000000000011</v>
      </c>
      <c r="I2833">
        <f t="shared" si="268"/>
        <v>4080.86</v>
      </c>
      <c r="J2833">
        <f t="shared" si="265"/>
        <v>3933.440000000001</v>
      </c>
      <c r="K2833" s="8">
        <f t="shared" si="266"/>
        <v>0.49080269019128314</v>
      </c>
      <c r="L2833" t="str">
        <f t="shared" si="269"/>
        <v>2024-10</v>
      </c>
      <c r="M2833">
        <f t="shared" si="267"/>
        <v>3933.440000000001</v>
      </c>
    </row>
    <row r="2834" spans="1:13" x14ac:dyDescent="0.25">
      <c r="A2834" s="1">
        <v>44670</v>
      </c>
      <c r="B2834" t="s">
        <v>7</v>
      </c>
      <c r="C2834" t="s">
        <v>8</v>
      </c>
      <c r="D2834" t="s">
        <v>9</v>
      </c>
      <c r="E2834">
        <v>1315.32</v>
      </c>
      <c r="F2834">
        <v>1170.27</v>
      </c>
      <c r="G2834">
        <v>8</v>
      </c>
      <c r="H2834">
        <f t="shared" si="264"/>
        <v>10522.56</v>
      </c>
      <c r="I2834">
        <f t="shared" si="268"/>
        <v>9362.16</v>
      </c>
      <c r="J2834">
        <f t="shared" si="265"/>
        <v>1160.3999999999996</v>
      </c>
      <c r="K2834" s="8">
        <f t="shared" si="266"/>
        <v>0.11027734695739437</v>
      </c>
      <c r="L2834" t="str">
        <f t="shared" si="269"/>
        <v>2022-04</v>
      </c>
      <c r="M2834">
        <f t="shared" si="267"/>
        <v>1160.3999999999996</v>
      </c>
    </row>
    <row r="2835" spans="1:13" x14ac:dyDescent="0.25">
      <c r="A2835" s="1">
        <v>45083</v>
      </c>
      <c r="B2835" t="s">
        <v>21</v>
      </c>
      <c r="C2835" t="s">
        <v>20</v>
      </c>
      <c r="D2835" t="s">
        <v>18</v>
      </c>
      <c r="E2835">
        <v>1778.02</v>
      </c>
      <c r="F2835">
        <v>1147.54</v>
      </c>
      <c r="G2835">
        <v>10</v>
      </c>
      <c r="H2835">
        <f t="shared" si="264"/>
        <v>17780.2</v>
      </c>
      <c r="I2835">
        <f t="shared" si="268"/>
        <v>11475.4</v>
      </c>
      <c r="J2835">
        <f t="shared" si="265"/>
        <v>6304.8000000000011</v>
      </c>
      <c r="K2835" s="8">
        <f t="shared" si="266"/>
        <v>0.35459668620150508</v>
      </c>
      <c r="L2835" t="str">
        <f t="shared" si="269"/>
        <v>2023-06</v>
      </c>
      <c r="M2835">
        <f t="shared" si="267"/>
        <v>6304.8000000000011</v>
      </c>
    </row>
    <row r="2836" spans="1:13" x14ac:dyDescent="0.25">
      <c r="A2836" s="1">
        <v>45324</v>
      </c>
      <c r="B2836" t="s">
        <v>14</v>
      </c>
      <c r="C2836" t="s">
        <v>15</v>
      </c>
      <c r="D2836" t="s">
        <v>9</v>
      </c>
      <c r="E2836">
        <v>1156.21</v>
      </c>
      <c r="F2836">
        <v>640.08000000000004</v>
      </c>
      <c r="G2836">
        <v>8</v>
      </c>
      <c r="H2836">
        <f t="shared" si="264"/>
        <v>9249.68</v>
      </c>
      <c r="I2836">
        <f t="shared" si="268"/>
        <v>5120.6400000000003</v>
      </c>
      <c r="J2836">
        <f t="shared" si="265"/>
        <v>4129.04</v>
      </c>
      <c r="K2836" s="8">
        <f t="shared" si="266"/>
        <v>0.44639814566557978</v>
      </c>
      <c r="L2836" t="str">
        <f t="shared" si="269"/>
        <v>2024-02</v>
      </c>
      <c r="M2836">
        <f t="shared" si="267"/>
        <v>4129.04</v>
      </c>
    </row>
    <row r="2837" spans="1:13" x14ac:dyDescent="0.25">
      <c r="A2837" s="1">
        <v>44655</v>
      </c>
      <c r="B2837" t="s">
        <v>10</v>
      </c>
      <c r="C2837" t="s">
        <v>11</v>
      </c>
      <c r="D2837" t="s">
        <v>18</v>
      </c>
      <c r="E2837">
        <v>307.08</v>
      </c>
      <c r="F2837">
        <v>190.89</v>
      </c>
      <c r="G2837">
        <v>7</v>
      </c>
      <c r="H2837">
        <f t="shared" si="264"/>
        <v>2149.56</v>
      </c>
      <c r="I2837">
        <f t="shared" si="268"/>
        <v>1336.23</v>
      </c>
      <c r="J2837">
        <f t="shared" si="265"/>
        <v>813.32999999999993</v>
      </c>
      <c r="K2837" s="8">
        <f t="shared" si="266"/>
        <v>0.37837045720984758</v>
      </c>
      <c r="L2837" t="str">
        <f t="shared" si="269"/>
        <v>2022-04</v>
      </c>
      <c r="M2837">
        <f t="shared" si="267"/>
        <v>813.32999999999993</v>
      </c>
    </row>
    <row r="2838" spans="1:13" x14ac:dyDescent="0.25">
      <c r="A2838" s="1">
        <v>45376</v>
      </c>
      <c r="B2838" t="s">
        <v>22</v>
      </c>
      <c r="C2838" t="s">
        <v>8</v>
      </c>
      <c r="D2838" t="s">
        <v>17</v>
      </c>
      <c r="E2838">
        <v>398.75</v>
      </c>
      <c r="F2838">
        <v>300.62</v>
      </c>
      <c r="G2838">
        <v>3</v>
      </c>
      <c r="H2838">
        <f t="shared" si="264"/>
        <v>1196.25</v>
      </c>
      <c r="I2838">
        <f t="shared" si="268"/>
        <v>901.86</v>
      </c>
      <c r="J2838">
        <f t="shared" si="265"/>
        <v>294.39</v>
      </c>
      <c r="K2838" s="8">
        <f t="shared" si="266"/>
        <v>0.24609404388714731</v>
      </c>
      <c r="L2838" t="str">
        <f t="shared" si="269"/>
        <v>2024-03</v>
      </c>
      <c r="M2838">
        <f t="shared" si="267"/>
        <v>294.39</v>
      </c>
    </row>
    <row r="2839" spans="1:13" x14ac:dyDescent="0.25">
      <c r="A2839" s="1">
        <v>45506</v>
      </c>
      <c r="B2839" t="s">
        <v>16</v>
      </c>
      <c r="C2839" t="s">
        <v>15</v>
      </c>
      <c r="D2839" t="s">
        <v>17</v>
      </c>
      <c r="E2839">
        <v>1010.68</v>
      </c>
      <c r="F2839">
        <v>663.66</v>
      </c>
      <c r="G2839">
        <v>1</v>
      </c>
      <c r="H2839">
        <f t="shared" si="264"/>
        <v>1010.68</v>
      </c>
      <c r="I2839">
        <f t="shared" si="268"/>
        <v>663.66</v>
      </c>
      <c r="J2839">
        <f t="shared" si="265"/>
        <v>347.02</v>
      </c>
      <c r="K2839" s="8">
        <f t="shared" si="266"/>
        <v>0.3433529900660941</v>
      </c>
      <c r="L2839" t="str">
        <f t="shared" si="269"/>
        <v>2024-08</v>
      </c>
      <c r="M2839">
        <f t="shared" si="267"/>
        <v>347.02</v>
      </c>
    </row>
    <row r="2840" spans="1:13" x14ac:dyDescent="0.25">
      <c r="A2840" s="1">
        <v>45030</v>
      </c>
      <c r="B2840" t="s">
        <v>14</v>
      </c>
      <c r="C2840" t="s">
        <v>15</v>
      </c>
      <c r="D2840" t="s">
        <v>18</v>
      </c>
      <c r="E2840">
        <v>1705.92</v>
      </c>
      <c r="F2840">
        <v>1086.25</v>
      </c>
      <c r="G2840">
        <v>4</v>
      </c>
      <c r="H2840">
        <f t="shared" si="264"/>
        <v>6823.68</v>
      </c>
      <c r="I2840">
        <f t="shared" si="268"/>
        <v>4345</v>
      </c>
      <c r="J2840">
        <f t="shared" si="265"/>
        <v>2478.6800000000003</v>
      </c>
      <c r="K2840" s="8">
        <f t="shared" si="266"/>
        <v>0.3632468111048584</v>
      </c>
      <c r="L2840" t="str">
        <f t="shared" si="269"/>
        <v>2023-04</v>
      </c>
      <c r="M2840">
        <f t="shared" si="267"/>
        <v>2478.6800000000003</v>
      </c>
    </row>
    <row r="2841" spans="1:13" x14ac:dyDescent="0.25">
      <c r="A2841" s="1">
        <v>45469</v>
      </c>
      <c r="B2841" t="s">
        <v>25</v>
      </c>
      <c r="C2841" t="s">
        <v>15</v>
      </c>
      <c r="D2841" t="s">
        <v>9</v>
      </c>
      <c r="E2841">
        <v>1719.37</v>
      </c>
      <c r="F2841">
        <v>1027.07</v>
      </c>
      <c r="G2841">
        <v>8</v>
      </c>
      <c r="H2841">
        <f t="shared" si="264"/>
        <v>13754.96</v>
      </c>
      <c r="I2841">
        <f t="shared" si="268"/>
        <v>8216.56</v>
      </c>
      <c r="J2841">
        <f t="shared" si="265"/>
        <v>5538.4</v>
      </c>
      <c r="K2841" s="8">
        <f t="shared" si="266"/>
        <v>0.40264748134491124</v>
      </c>
      <c r="L2841" t="str">
        <f t="shared" si="269"/>
        <v>2024-06</v>
      </c>
      <c r="M2841">
        <f t="shared" si="267"/>
        <v>5538.4</v>
      </c>
    </row>
    <row r="2842" spans="1:13" x14ac:dyDescent="0.25">
      <c r="A2842" s="1">
        <v>44881</v>
      </c>
      <c r="B2842" t="s">
        <v>25</v>
      </c>
      <c r="C2842" t="s">
        <v>15</v>
      </c>
      <c r="D2842" t="s">
        <v>18</v>
      </c>
      <c r="E2842">
        <v>1141.49</v>
      </c>
      <c r="F2842">
        <v>628.79999999999995</v>
      </c>
      <c r="G2842">
        <v>7</v>
      </c>
      <c r="H2842">
        <f t="shared" si="264"/>
        <v>7990.43</v>
      </c>
      <c r="I2842">
        <f t="shared" si="268"/>
        <v>4401.5999999999995</v>
      </c>
      <c r="J2842">
        <f t="shared" si="265"/>
        <v>3588.8300000000008</v>
      </c>
      <c r="K2842" s="8">
        <f t="shared" si="266"/>
        <v>0.44914103496307467</v>
      </c>
      <c r="L2842" t="str">
        <f t="shared" si="269"/>
        <v>2022-11</v>
      </c>
      <c r="M2842">
        <f t="shared" si="267"/>
        <v>3588.8300000000008</v>
      </c>
    </row>
    <row r="2843" spans="1:13" x14ac:dyDescent="0.25">
      <c r="A2843" s="1">
        <v>45094</v>
      </c>
      <c r="B2843" t="s">
        <v>7</v>
      </c>
      <c r="C2843" t="s">
        <v>8</v>
      </c>
      <c r="D2843" t="s">
        <v>13</v>
      </c>
      <c r="E2843">
        <v>506.3</v>
      </c>
      <c r="F2843">
        <v>312.70999999999998</v>
      </c>
      <c r="G2843">
        <v>4</v>
      </c>
      <c r="H2843">
        <f t="shared" si="264"/>
        <v>2025.2</v>
      </c>
      <c r="I2843">
        <f t="shared" si="268"/>
        <v>1250.8399999999999</v>
      </c>
      <c r="J2843">
        <f t="shared" si="265"/>
        <v>774.36000000000013</v>
      </c>
      <c r="K2843" s="8">
        <f t="shared" si="266"/>
        <v>0.38236223582856022</v>
      </c>
      <c r="L2843" t="str">
        <f t="shared" si="269"/>
        <v>2023-06</v>
      </c>
      <c r="M2843">
        <f t="shared" si="267"/>
        <v>774.36000000000013</v>
      </c>
    </row>
    <row r="2844" spans="1:13" x14ac:dyDescent="0.25">
      <c r="A2844" s="1">
        <v>44873</v>
      </c>
      <c r="B2844" t="s">
        <v>21</v>
      </c>
      <c r="C2844" t="s">
        <v>20</v>
      </c>
      <c r="D2844" t="s">
        <v>13</v>
      </c>
      <c r="E2844">
        <v>913.41</v>
      </c>
      <c r="F2844">
        <v>629.04</v>
      </c>
      <c r="G2844">
        <v>3</v>
      </c>
      <c r="H2844">
        <f t="shared" si="264"/>
        <v>2740.23</v>
      </c>
      <c r="I2844">
        <f t="shared" si="268"/>
        <v>1887.12</v>
      </c>
      <c r="J2844">
        <f t="shared" si="265"/>
        <v>853.11000000000013</v>
      </c>
      <c r="K2844" s="8">
        <f t="shared" si="266"/>
        <v>0.31132788123624666</v>
      </c>
      <c r="L2844" t="str">
        <f t="shared" si="269"/>
        <v>2022-11</v>
      </c>
      <c r="M2844">
        <f t="shared" si="267"/>
        <v>853.11000000000013</v>
      </c>
    </row>
    <row r="2845" spans="1:13" x14ac:dyDescent="0.25">
      <c r="A2845" s="1">
        <v>45002</v>
      </c>
      <c r="B2845" t="s">
        <v>22</v>
      </c>
      <c r="C2845" t="s">
        <v>8</v>
      </c>
      <c r="D2845" t="s">
        <v>13</v>
      </c>
      <c r="E2845">
        <v>396.58</v>
      </c>
      <c r="F2845">
        <v>230.01</v>
      </c>
      <c r="G2845">
        <v>1</v>
      </c>
      <c r="H2845">
        <f t="shared" si="264"/>
        <v>396.58</v>
      </c>
      <c r="I2845">
        <f t="shared" si="268"/>
        <v>230.01</v>
      </c>
      <c r="J2845">
        <f t="shared" si="265"/>
        <v>166.57</v>
      </c>
      <c r="K2845" s="8">
        <f t="shared" si="266"/>
        <v>0.42001613797972664</v>
      </c>
      <c r="L2845" t="str">
        <f t="shared" si="269"/>
        <v>2023-03</v>
      </c>
      <c r="M2845">
        <f t="shared" si="267"/>
        <v>166.57</v>
      </c>
    </row>
    <row r="2846" spans="1:13" x14ac:dyDescent="0.25">
      <c r="A2846" s="1">
        <v>45206</v>
      </c>
      <c r="B2846" t="s">
        <v>21</v>
      </c>
      <c r="C2846" t="s">
        <v>20</v>
      </c>
      <c r="D2846" t="s">
        <v>17</v>
      </c>
      <c r="E2846">
        <v>724.75</v>
      </c>
      <c r="F2846">
        <v>486.59</v>
      </c>
      <c r="G2846">
        <v>2</v>
      </c>
      <c r="H2846">
        <f t="shared" si="264"/>
        <v>1449.5</v>
      </c>
      <c r="I2846">
        <f t="shared" si="268"/>
        <v>973.18</v>
      </c>
      <c r="J2846">
        <f t="shared" si="265"/>
        <v>476.32000000000005</v>
      </c>
      <c r="K2846" s="8">
        <f t="shared" si="266"/>
        <v>0.32860986547085203</v>
      </c>
      <c r="L2846" t="str">
        <f t="shared" si="269"/>
        <v>2023-10</v>
      </c>
      <c r="M2846">
        <f t="shared" si="267"/>
        <v>476.32000000000005</v>
      </c>
    </row>
    <row r="2847" spans="1:13" x14ac:dyDescent="0.25">
      <c r="A2847" s="1">
        <v>45335</v>
      </c>
      <c r="B2847" t="s">
        <v>14</v>
      </c>
      <c r="C2847" t="s">
        <v>15</v>
      </c>
      <c r="D2847" t="s">
        <v>18</v>
      </c>
      <c r="E2847">
        <v>202.31</v>
      </c>
      <c r="F2847">
        <v>168.92</v>
      </c>
      <c r="G2847">
        <v>2</v>
      </c>
      <c r="H2847">
        <f t="shared" si="264"/>
        <v>404.62</v>
      </c>
      <c r="I2847">
        <f t="shared" si="268"/>
        <v>337.84</v>
      </c>
      <c r="J2847">
        <f t="shared" si="265"/>
        <v>66.78000000000003</v>
      </c>
      <c r="K2847" s="8">
        <f t="shared" si="266"/>
        <v>0.16504374474815883</v>
      </c>
      <c r="L2847" t="str">
        <f t="shared" si="269"/>
        <v>2024-02</v>
      </c>
      <c r="M2847">
        <f t="shared" si="267"/>
        <v>66.78000000000003</v>
      </c>
    </row>
    <row r="2848" spans="1:13" x14ac:dyDescent="0.25">
      <c r="A2848" s="1">
        <v>45163</v>
      </c>
      <c r="B2848" t="s">
        <v>25</v>
      </c>
      <c r="C2848" t="s">
        <v>15</v>
      </c>
      <c r="D2848" t="s">
        <v>13</v>
      </c>
      <c r="E2848">
        <v>1633.79</v>
      </c>
      <c r="F2848">
        <v>1118.45</v>
      </c>
      <c r="G2848">
        <v>10</v>
      </c>
      <c r="H2848">
        <f t="shared" si="264"/>
        <v>16337.9</v>
      </c>
      <c r="I2848">
        <f t="shared" si="268"/>
        <v>11184.5</v>
      </c>
      <c r="J2848">
        <f t="shared" si="265"/>
        <v>5153.3999999999996</v>
      </c>
      <c r="K2848" s="8">
        <f t="shared" si="266"/>
        <v>0.31542609515298781</v>
      </c>
      <c r="L2848" t="str">
        <f t="shared" si="269"/>
        <v>2023-08</v>
      </c>
      <c r="M2848">
        <f t="shared" si="267"/>
        <v>5153.3999999999996</v>
      </c>
    </row>
    <row r="2849" spans="1:13" x14ac:dyDescent="0.25">
      <c r="A2849" s="1">
        <v>45375</v>
      </c>
      <c r="B2849" t="s">
        <v>19</v>
      </c>
      <c r="C2849" t="s">
        <v>20</v>
      </c>
      <c r="D2849" t="s">
        <v>17</v>
      </c>
      <c r="E2849">
        <v>1087.3</v>
      </c>
      <c r="F2849">
        <v>873.43</v>
      </c>
      <c r="G2849">
        <v>9</v>
      </c>
      <c r="H2849">
        <f t="shared" si="264"/>
        <v>9785.6999999999989</v>
      </c>
      <c r="I2849">
        <f t="shared" si="268"/>
        <v>7860.87</v>
      </c>
      <c r="J2849">
        <f t="shared" si="265"/>
        <v>1924.829999999999</v>
      </c>
      <c r="K2849" s="8">
        <f t="shared" si="266"/>
        <v>0.19669824335509972</v>
      </c>
      <c r="L2849" t="str">
        <f t="shared" si="269"/>
        <v>2024-03</v>
      </c>
      <c r="M2849">
        <f t="shared" si="267"/>
        <v>1924.829999999999</v>
      </c>
    </row>
    <row r="2850" spans="1:13" x14ac:dyDescent="0.25">
      <c r="A2850" s="1">
        <v>44966</v>
      </c>
      <c r="B2850" t="s">
        <v>21</v>
      </c>
      <c r="C2850" t="s">
        <v>20</v>
      </c>
      <c r="D2850" t="s">
        <v>17</v>
      </c>
      <c r="E2850">
        <v>1948.06</v>
      </c>
      <c r="F2850">
        <v>1083.82</v>
      </c>
      <c r="G2850">
        <v>4</v>
      </c>
      <c r="H2850">
        <f t="shared" si="264"/>
        <v>7792.24</v>
      </c>
      <c r="I2850">
        <f t="shared" si="268"/>
        <v>4335.28</v>
      </c>
      <c r="J2850">
        <f t="shared" si="265"/>
        <v>3456.96</v>
      </c>
      <c r="K2850" s="8">
        <f t="shared" si="266"/>
        <v>0.44364136628235273</v>
      </c>
      <c r="L2850" t="str">
        <f t="shared" si="269"/>
        <v>2023-02</v>
      </c>
      <c r="M2850">
        <f t="shared" si="267"/>
        <v>3456.96</v>
      </c>
    </row>
    <row r="2851" spans="1:13" x14ac:dyDescent="0.25">
      <c r="A2851" s="1">
        <v>44893</v>
      </c>
      <c r="B2851" t="s">
        <v>22</v>
      </c>
      <c r="C2851" t="s">
        <v>8</v>
      </c>
      <c r="D2851" t="s">
        <v>18</v>
      </c>
      <c r="E2851">
        <v>1160.3</v>
      </c>
      <c r="F2851">
        <v>768.68</v>
      </c>
      <c r="G2851">
        <v>9</v>
      </c>
      <c r="H2851">
        <f t="shared" si="264"/>
        <v>10442.699999999999</v>
      </c>
      <c r="I2851">
        <f t="shared" si="268"/>
        <v>6918.12</v>
      </c>
      <c r="J2851">
        <f t="shared" si="265"/>
        <v>3524.579999999999</v>
      </c>
      <c r="K2851" s="8">
        <f t="shared" si="266"/>
        <v>0.33751615961389292</v>
      </c>
      <c r="L2851" t="str">
        <f t="shared" si="269"/>
        <v>2022-11</v>
      </c>
      <c r="M2851">
        <f t="shared" si="267"/>
        <v>3524.579999999999</v>
      </c>
    </row>
    <row r="2852" spans="1:13" x14ac:dyDescent="0.25">
      <c r="A2852" s="1">
        <v>44944</v>
      </c>
      <c r="B2852" t="s">
        <v>12</v>
      </c>
      <c r="C2852" t="s">
        <v>8</v>
      </c>
      <c r="D2852" t="s">
        <v>18</v>
      </c>
      <c r="E2852">
        <v>1927.47</v>
      </c>
      <c r="F2852">
        <v>1640.59</v>
      </c>
      <c r="G2852">
        <v>2</v>
      </c>
      <c r="H2852">
        <f t="shared" si="264"/>
        <v>3854.94</v>
      </c>
      <c r="I2852">
        <f t="shared" si="268"/>
        <v>3281.18</v>
      </c>
      <c r="J2852">
        <f t="shared" si="265"/>
        <v>573.76000000000022</v>
      </c>
      <c r="K2852" s="8">
        <f t="shared" si="266"/>
        <v>0.14883759539707497</v>
      </c>
      <c r="L2852" t="str">
        <f t="shared" si="269"/>
        <v>2023-01</v>
      </c>
      <c r="M2852">
        <f t="shared" si="267"/>
        <v>573.76000000000022</v>
      </c>
    </row>
    <row r="2853" spans="1:13" x14ac:dyDescent="0.25">
      <c r="A2853" s="1">
        <v>44915</v>
      </c>
      <c r="B2853" t="s">
        <v>23</v>
      </c>
      <c r="C2853" t="s">
        <v>11</v>
      </c>
      <c r="D2853" t="s">
        <v>18</v>
      </c>
      <c r="E2853">
        <v>1199.23</v>
      </c>
      <c r="F2853">
        <v>635.83000000000004</v>
      </c>
      <c r="G2853">
        <v>9</v>
      </c>
      <c r="H2853">
        <f t="shared" si="264"/>
        <v>10793.07</v>
      </c>
      <c r="I2853">
        <f t="shared" si="268"/>
        <v>5722.47</v>
      </c>
      <c r="J2853">
        <f t="shared" si="265"/>
        <v>5070.5999999999995</v>
      </c>
      <c r="K2853" s="8">
        <f t="shared" si="266"/>
        <v>0.4698014559342244</v>
      </c>
      <c r="L2853" t="str">
        <f t="shared" si="269"/>
        <v>2022-12</v>
      </c>
      <c r="M2853">
        <f t="shared" si="267"/>
        <v>5070.5999999999995</v>
      </c>
    </row>
    <row r="2854" spans="1:13" x14ac:dyDescent="0.25">
      <c r="A2854" s="1">
        <v>45386</v>
      </c>
      <c r="B2854" t="s">
        <v>7</v>
      </c>
      <c r="C2854" t="s">
        <v>8</v>
      </c>
      <c r="D2854" t="s">
        <v>13</v>
      </c>
      <c r="E2854">
        <v>976.9</v>
      </c>
      <c r="F2854">
        <v>644.08000000000004</v>
      </c>
      <c r="G2854">
        <v>1</v>
      </c>
      <c r="H2854">
        <f t="shared" si="264"/>
        <v>976.9</v>
      </c>
      <c r="I2854">
        <f t="shared" si="268"/>
        <v>644.08000000000004</v>
      </c>
      <c r="J2854">
        <f t="shared" si="265"/>
        <v>332.81999999999994</v>
      </c>
      <c r="K2854" s="8">
        <f t="shared" si="266"/>
        <v>0.34068993755758004</v>
      </c>
      <c r="L2854" t="str">
        <f t="shared" si="269"/>
        <v>2024-04</v>
      </c>
      <c r="M2854">
        <f t="shared" si="267"/>
        <v>332.81999999999994</v>
      </c>
    </row>
    <row r="2855" spans="1:13" x14ac:dyDescent="0.25">
      <c r="A2855" s="1">
        <v>44970</v>
      </c>
      <c r="B2855" t="s">
        <v>25</v>
      </c>
      <c r="C2855" t="s">
        <v>15</v>
      </c>
      <c r="D2855" t="s">
        <v>17</v>
      </c>
      <c r="E2855">
        <v>118.09</v>
      </c>
      <c r="F2855">
        <v>67.22</v>
      </c>
      <c r="G2855">
        <v>8</v>
      </c>
      <c r="H2855">
        <f t="shared" si="264"/>
        <v>944.72</v>
      </c>
      <c r="I2855">
        <f t="shared" si="268"/>
        <v>537.76</v>
      </c>
      <c r="J2855">
        <f t="shared" si="265"/>
        <v>406.96000000000004</v>
      </c>
      <c r="K2855" s="8">
        <f t="shared" si="266"/>
        <v>0.43077313913117116</v>
      </c>
      <c r="L2855" t="str">
        <f t="shared" si="269"/>
        <v>2023-02</v>
      </c>
      <c r="M2855">
        <f t="shared" si="267"/>
        <v>406.96000000000004</v>
      </c>
    </row>
    <row r="2856" spans="1:13" x14ac:dyDescent="0.25">
      <c r="A2856" s="1">
        <v>45366</v>
      </c>
      <c r="B2856" t="s">
        <v>10</v>
      </c>
      <c r="C2856" t="s">
        <v>11</v>
      </c>
      <c r="D2856" t="s">
        <v>18</v>
      </c>
      <c r="E2856">
        <v>687.24</v>
      </c>
      <c r="F2856">
        <v>343.76</v>
      </c>
      <c r="G2856">
        <v>1</v>
      </c>
      <c r="H2856">
        <f t="shared" si="264"/>
        <v>687.24</v>
      </c>
      <c r="I2856">
        <f t="shared" si="268"/>
        <v>343.76</v>
      </c>
      <c r="J2856">
        <f t="shared" si="265"/>
        <v>343.48</v>
      </c>
      <c r="K2856" s="8">
        <f t="shared" si="266"/>
        <v>0.499796286595658</v>
      </c>
      <c r="L2856" t="str">
        <f t="shared" si="269"/>
        <v>2024-03</v>
      </c>
      <c r="M2856">
        <f t="shared" si="267"/>
        <v>343.48</v>
      </c>
    </row>
    <row r="2857" spans="1:13" x14ac:dyDescent="0.25">
      <c r="A2857" s="1">
        <v>45394</v>
      </c>
      <c r="B2857" t="s">
        <v>14</v>
      </c>
      <c r="C2857" t="s">
        <v>15</v>
      </c>
      <c r="D2857" t="s">
        <v>17</v>
      </c>
      <c r="E2857">
        <v>1549.95</v>
      </c>
      <c r="F2857">
        <v>1062.1400000000001</v>
      </c>
      <c r="G2857">
        <v>2</v>
      </c>
      <c r="H2857">
        <f t="shared" si="264"/>
        <v>3099.9</v>
      </c>
      <c r="I2857">
        <f t="shared" si="268"/>
        <v>2124.2800000000002</v>
      </c>
      <c r="J2857">
        <f t="shared" si="265"/>
        <v>975.61999999999989</v>
      </c>
      <c r="K2857" s="8">
        <f t="shared" si="266"/>
        <v>0.31472628149295134</v>
      </c>
      <c r="L2857" t="str">
        <f t="shared" si="269"/>
        <v>2024-04</v>
      </c>
      <c r="M2857">
        <f t="shared" si="267"/>
        <v>975.61999999999989</v>
      </c>
    </row>
    <row r="2858" spans="1:13" x14ac:dyDescent="0.25">
      <c r="A2858" s="1">
        <v>45127</v>
      </c>
      <c r="B2858" t="s">
        <v>24</v>
      </c>
      <c r="C2858" t="s">
        <v>20</v>
      </c>
      <c r="D2858" t="s">
        <v>9</v>
      </c>
      <c r="E2858">
        <v>1613.88</v>
      </c>
      <c r="F2858">
        <v>1292.23</v>
      </c>
      <c r="G2858">
        <v>2</v>
      </c>
      <c r="H2858">
        <f t="shared" si="264"/>
        <v>3227.76</v>
      </c>
      <c r="I2858">
        <f t="shared" si="268"/>
        <v>2584.46</v>
      </c>
      <c r="J2858">
        <f t="shared" si="265"/>
        <v>643.30000000000018</v>
      </c>
      <c r="K2858" s="8">
        <f t="shared" si="266"/>
        <v>0.19930230252559056</v>
      </c>
      <c r="L2858" t="str">
        <f t="shared" si="269"/>
        <v>2023-07</v>
      </c>
      <c r="M2858">
        <f t="shared" si="267"/>
        <v>643.30000000000018</v>
      </c>
    </row>
    <row r="2859" spans="1:13" x14ac:dyDescent="0.25">
      <c r="A2859" s="1">
        <v>44657</v>
      </c>
      <c r="B2859" t="s">
        <v>12</v>
      </c>
      <c r="C2859" t="s">
        <v>8</v>
      </c>
      <c r="D2859" t="s">
        <v>18</v>
      </c>
      <c r="E2859">
        <v>1787.28</v>
      </c>
      <c r="F2859">
        <v>1088.7</v>
      </c>
      <c r="G2859">
        <v>4</v>
      </c>
      <c r="H2859">
        <f t="shared" si="264"/>
        <v>7149.12</v>
      </c>
      <c r="I2859">
        <f t="shared" si="268"/>
        <v>4354.8</v>
      </c>
      <c r="J2859">
        <f t="shared" si="265"/>
        <v>2794.3199999999997</v>
      </c>
      <c r="K2859" s="8">
        <f t="shared" si="266"/>
        <v>0.39086209211763123</v>
      </c>
      <c r="L2859" t="str">
        <f t="shared" si="269"/>
        <v>2022-04</v>
      </c>
      <c r="M2859">
        <f t="shared" si="267"/>
        <v>2794.3199999999997</v>
      </c>
    </row>
    <row r="2860" spans="1:13" x14ac:dyDescent="0.25">
      <c r="A2860" s="1">
        <v>45162</v>
      </c>
      <c r="B2860" t="s">
        <v>23</v>
      </c>
      <c r="C2860" t="s">
        <v>11</v>
      </c>
      <c r="D2860" t="s">
        <v>13</v>
      </c>
      <c r="E2860">
        <v>238.52</v>
      </c>
      <c r="F2860">
        <v>214.12</v>
      </c>
      <c r="G2860">
        <v>10</v>
      </c>
      <c r="H2860">
        <f t="shared" si="264"/>
        <v>2385.2000000000003</v>
      </c>
      <c r="I2860">
        <f t="shared" si="268"/>
        <v>2141.1999999999998</v>
      </c>
      <c r="J2860">
        <f t="shared" si="265"/>
        <v>244.00000000000045</v>
      </c>
      <c r="K2860" s="8">
        <f t="shared" si="266"/>
        <v>0.10229750125775634</v>
      </c>
      <c r="L2860" t="str">
        <f t="shared" si="269"/>
        <v>2023-08</v>
      </c>
      <c r="M2860">
        <f t="shared" si="267"/>
        <v>244.00000000000045</v>
      </c>
    </row>
    <row r="2861" spans="1:13" x14ac:dyDescent="0.25">
      <c r="A2861" s="1">
        <v>45271</v>
      </c>
      <c r="B2861" t="s">
        <v>23</v>
      </c>
      <c r="C2861" t="s">
        <v>11</v>
      </c>
      <c r="D2861" t="s">
        <v>9</v>
      </c>
      <c r="E2861">
        <v>1015.49</v>
      </c>
      <c r="F2861">
        <v>619.99</v>
      </c>
      <c r="G2861">
        <v>8</v>
      </c>
      <c r="H2861">
        <f t="shared" si="264"/>
        <v>8123.92</v>
      </c>
      <c r="I2861">
        <f t="shared" si="268"/>
        <v>4959.92</v>
      </c>
      <c r="J2861">
        <f t="shared" si="265"/>
        <v>3164</v>
      </c>
      <c r="K2861" s="8">
        <f t="shared" si="266"/>
        <v>0.38946715378782654</v>
      </c>
      <c r="L2861" t="str">
        <f t="shared" si="269"/>
        <v>2023-12</v>
      </c>
      <c r="M2861">
        <f t="shared" si="267"/>
        <v>3164</v>
      </c>
    </row>
    <row r="2862" spans="1:13" x14ac:dyDescent="0.25">
      <c r="A2862" s="1">
        <v>45571</v>
      </c>
      <c r="B2862" t="s">
        <v>16</v>
      </c>
      <c r="C2862" t="s">
        <v>15</v>
      </c>
      <c r="D2862" t="s">
        <v>9</v>
      </c>
      <c r="E2862">
        <v>1453.41</v>
      </c>
      <c r="F2862">
        <v>841.27</v>
      </c>
      <c r="G2862">
        <v>2</v>
      </c>
      <c r="H2862">
        <f t="shared" si="264"/>
        <v>2906.82</v>
      </c>
      <c r="I2862">
        <f t="shared" si="268"/>
        <v>1682.54</v>
      </c>
      <c r="J2862">
        <f t="shared" si="265"/>
        <v>1224.2800000000002</v>
      </c>
      <c r="K2862" s="8">
        <f t="shared" si="266"/>
        <v>0.42117502975760457</v>
      </c>
      <c r="L2862" t="str">
        <f t="shared" si="269"/>
        <v>2024-10</v>
      </c>
      <c r="M2862">
        <f t="shared" si="267"/>
        <v>1224.2800000000002</v>
      </c>
    </row>
    <row r="2863" spans="1:13" x14ac:dyDescent="0.25">
      <c r="A2863" s="1">
        <v>45410</v>
      </c>
      <c r="B2863" t="s">
        <v>10</v>
      </c>
      <c r="C2863" t="s">
        <v>11</v>
      </c>
      <c r="D2863" t="s">
        <v>9</v>
      </c>
      <c r="E2863">
        <v>1161.29</v>
      </c>
      <c r="F2863">
        <v>612.62</v>
      </c>
      <c r="G2863">
        <v>10</v>
      </c>
      <c r="H2863">
        <f t="shared" si="264"/>
        <v>11612.9</v>
      </c>
      <c r="I2863">
        <f t="shared" si="268"/>
        <v>6126.2</v>
      </c>
      <c r="J2863">
        <f t="shared" si="265"/>
        <v>5486.7</v>
      </c>
      <c r="K2863" s="8">
        <f t="shared" si="266"/>
        <v>0.47246596457387907</v>
      </c>
      <c r="L2863" t="str">
        <f t="shared" si="269"/>
        <v>2024-04</v>
      </c>
      <c r="M2863">
        <f t="shared" si="267"/>
        <v>5486.7</v>
      </c>
    </row>
    <row r="2864" spans="1:13" x14ac:dyDescent="0.25">
      <c r="A2864" s="1">
        <v>45630</v>
      </c>
      <c r="B2864" t="s">
        <v>7</v>
      </c>
      <c r="C2864" t="s">
        <v>8</v>
      </c>
      <c r="D2864" t="s">
        <v>17</v>
      </c>
      <c r="E2864">
        <v>1137.74</v>
      </c>
      <c r="F2864">
        <v>716.19</v>
      </c>
      <c r="G2864">
        <v>7</v>
      </c>
      <c r="H2864">
        <f t="shared" si="264"/>
        <v>7964.18</v>
      </c>
      <c r="I2864">
        <f t="shared" si="268"/>
        <v>5013.33</v>
      </c>
      <c r="J2864">
        <f t="shared" si="265"/>
        <v>2950.8500000000004</v>
      </c>
      <c r="K2864" s="8">
        <f t="shared" si="266"/>
        <v>0.3705152319510609</v>
      </c>
      <c r="L2864" t="str">
        <f t="shared" si="269"/>
        <v>2024-12</v>
      </c>
      <c r="M2864">
        <f t="shared" si="267"/>
        <v>2950.8500000000004</v>
      </c>
    </row>
    <row r="2865" spans="1:13" x14ac:dyDescent="0.25">
      <c r="A2865" s="1">
        <v>44729</v>
      </c>
      <c r="B2865" t="s">
        <v>23</v>
      </c>
      <c r="C2865" t="s">
        <v>11</v>
      </c>
      <c r="D2865" t="s">
        <v>17</v>
      </c>
      <c r="E2865">
        <v>917.43</v>
      </c>
      <c r="F2865">
        <v>653.39</v>
      </c>
      <c r="G2865">
        <v>9</v>
      </c>
      <c r="H2865">
        <f t="shared" si="264"/>
        <v>8256.869999999999</v>
      </c>
      <c r="I2865">
        <f t="shared" si="268"/>
        <v>5880.51</v>
      </c>
      <c r="J2865">
        <f t="shared" si="265"/>
        <v>2376.3599999999988</v>
      </c>
      <c r="K2865" s="8">
        <f t="shared" si="266"/>
        <v>0.28780397414516629</v>
      </c>
      <c r="L2865" t="str">
        <f t="shared" si="269"/>
        <v>2022-06</v>
      </c>
      <c r="M2865">
        <f t="shared" si="267"/>
        <v>2376.3599999999988</v>
      </c>
    </row>
    <row r="2866" spans="1:13" x14ac:dyDescent="0.25">
      <c r="A2866" s="1">
        <v>44859</v>
      </c>
      <c r="B2866" t="s">
        <v>10</v>
      </c>
      <c r="C2866" t="s">
        <v>11</v>
      </c>
      <c r="D2866" t="s">
        <v>18</v>
      </c>
      <c r="E2866">
        <v>1544.13</v>
      </c>
      <c r="F2866">
        <v>1233.1600000000001</v>
      </c>
      <c r="G2866">
        <v>2</v>
      </c>
      <c r="H2866">
        <f t="shared" si="264"/>
        <v>3088.26</v>
      </c>
      <c r="I2866">
        <f t="shared" si="268"/>
        <v>2466.3200000000002</v>
      </c>
      <c r="J2866">
        <f t="shared" si="265"/>
        <v>621.94000000000005</v>
      </c>
      <c r="K2866" s="8">
        <f t="shared" si="266"/>
        <v>0.2013884841302222</v>
      </c>
      <c r="L2866" t="str">
        <f t="shared" si="269"/>
        <v>2022-10</v>
      </c>
      <c r="M2866">
        <f t="shared" si="267"/>
        <v>621.94000000000005</v>
      </c>
    </row>
    <row r="2867" spans="1:13" x14ac:dyDescent="0.25">
      <c r="A2867" s="1">
        <v>45040</v>
      </c>
      <c r="B2867" t="s">
        <v>25</v>
      </c>
      <c r="C2867" t="s">
        <v>15</v>
      </c>
      <c r="D2867" t="s">
        <v>9</v>
      </c>
      <c r="E2867">
        <v>321.01</v>
      </c>
      <c r="F2867">
        <v>226.61</v>
      </c>
      <c r="G2867">
        <v>6</v>
      </c>
      <c r="H2867">
        <f t="shared" si="264"/>
        <v>1926.06</v>
      </c>
      <c r="I2867">
        <f t="shared" si="268"/>
        <v>1359.66</v>
      </c>
      <c r="J2867">
        <f t="shared" si="265"/>
        <v>566.39999999999986</v>
      </c>
      <c r="K2867" s="8">
        <f t="shared" si="266"/>
        <v>0.29407183576835605</v>
      </c>
      <c r="L2867" t="str">
        <f t="shared" si="269"/>
        <v>2023-04</v>
      </c>
      <c r="M2867">
        <f t="shared" si="267"/>
        <v>566.39999999999986</v>
      </c>
    </row>
    <row r="2868" spans="1:13" x14ac:dyDescent="0.25">
      <c r="A2868" s="1">
        <v>44612</v>
      </c>
      <c r="B2868" t="s">
        <v>14</v>
      </c>
      <c r="C2868" t="s">
        <v>15</v>
      </c>
      <c r="D2868" t="s">
        <v>13</v>
      </c>
      <c r="E2868">
        <v>869.09</v>
      </c>
      <c r="F2868">
        <v>605</v>
      </c>
      <c r="G2868">
        <v>9</v>
      </c>
      <c r="H2868">
        <f t="shared" si="264"/>
        <v>7821.81</v>
      </c>
      <c r="I2868">
        <f t="shared" si="268"/>
        <v>5445</v>
      </c>
      <c r="J2868">
        <f t="shared" si="265"/>
        <v>2376.8100000000004</v>
      </c>
      <c r="K2868" s="8">
        <f t="shared" si="266"/>
        <v>0.30386956471711796</v>
      </c>
      <c r="L2868" t="str">
        <f t="shared" si="269"/>
        <v>2022-02</v>
      </c>
      <c r="M2868">
        <f t="shared" si="267"/>
        <v>2376.8100000000004</v>
      </c>
    </row>
    <row r="2869" spans="1:13" x14ac:dyDescent="0.25">
      <c r="A2869" s="1">
        <v>45080</v>
      </c>
      <c r="B2869" t="s">
        <v>7</v>
      </c>
      <c r="C2869" t="s">
        <v>8</v>
      </c>
      <c r="D2869" t="s">
        <v>17</v>
      </c>
      <c r="E2869">
        <v>1658.17</v>
      </c>
      <c r="F2869">
        <v>1416.04</v>
      </c>
      <c r="G2869">
        <v>6</v>
      </c>
      <c r="H2869">
        <f t="shared" si="264"/>
        <v>9949.02</v>
      </c>
      <c r="I2869">
        <f t="shared" si="268"/>
        <v>8496.24</v>
      </c>
      <c r="J2869">
        <f t="shared" si="265"/>
        <v>1452.7800000000007</v>
      </c>
      <c r="K2869" s="8">
        <f t="shared" si="266"/>
        <v>0.14602242230893098</v>
      </c>
      <c r="L2869" t="str">
        <f t="shared" si="269"/>
        <v>2023-06</v>
      </c>
      <c r="M2869">
        <f t="shared" si="267"/>
        <v>1452.7800000000007</v>
      </c>
    </row>
    <row r="2870" spans="1:13" x14ac:dyDescent="0.25">
      <c r="A2870" s="1">
        <v>45651</v>
      </c>
      <c r="B2870" t="s">
        <v>22</v>
      </c>
      <c r="C2870" t="s">
        <v>8</v>
      </c>
      <c r="D2870" t="s">
        <v>18</v>
      </c>
      <c r="E2870">
        <v>1633.27</v>
      </c>
      <c r="F2870">
        <v>856.18</v>
      </c>
      <c r="G2870">
        <v>1</v>
      </c>
      <c r="H2870">
        <f t="shared" si="264"/>
        <v>1633.27</v>
      </c>
      <c r="I2870">
        <f t="shared" si="268"/>
        <v>856.18</v>
      </c>
      <c r="J2870">
        <f t="shared" si="265"/>
        <v>777.09</v>
      </c>
      <c r="K2870" s="8">
        <f t="shared" si="266"/>
        <v>0.47578783667121788</v>
      </c>
      <c r="L2870" t="str">
        <f t="shared" si="269"/>
        <v>2024-12</v>
      </c>
      <c r="M2870">
        <f t="shared" si="267"/>
        <v>777.09</v>
      </c>
    </row>
    <row r="2871" spans="1:13" x14ac:dyDescent="0.25">
      <c r="A2871" s="1">
        <v>45301</v>
      </c>
      <c r="B2871" t="s">
        <v>19</v>
      </c>
      <c r="C2871" t="s">
        <v>20</v>
      </c>
      <c r="D2871" t="s">
        <v>13</v>
      </c>
      <c r="E2871">
        <v>1165.46</v>
      </c>
      <c r="F2871">
        <v>913.95</v>
      </c>
      <c r="G2871">
        <v>6</v>
      </c>
      <c r="H2871">
        <f t="shared" si="264"/>
        <v>6992.76</v>
      </c>
      <c r="I2871">
        <f t="shared" si="268"/>
        <v>5483.7000000000007</v>
      </c>
      <c r="J2871">
        <f t="shared" si="265"/>
        <v>1509.0599999999995</v>
      </c>
      <c r="K2871" s="8">
        <f t="shared" si="266"/>
        <v>0.21580320216910054</v>
      </c>
      <c r="L2871" t="str">
        <f t="shared" si="269"/>
        <v>2024-01</v>
      </c>
      <c r="M2871">
        <f t="shared" si="267"/>
        <v>1509.0599999999995</v>
      </c>
    </row>
    <row r="2872" spans="1:13" x14ac:dyDescent="0.25">
      <c r="A2872" s="1">
        <v>44627</v>
      </c>
      <c r="B2872" t="s">
        <v>23</v>
      </c>
      <c r="C2872" t="s">
        <v>11</v>
      </c>
      <c r="D2872" t="s">
        <v>18</v>
      </c>
      <c r="E2872">
        <v>1572.25</v>
      </c>
      <c r="F2872">
        <v>1091.45</v>
      </c>
      <c r="G2872">
        <v>2</v>
      </c>
      <c r="H2872">
        <f t="shared" si="264"/>
        <v>3144.5</v>
      </c>
      <c r="I2872">
        <f t="shared" si="268"/>
        <v>2182.9</v>
      </c>
      <c r="J2872">
        <f t="shared" si="265"/>
        <v>961.59999999999991</v>
      </c>
      <c r="K2872" s="8">
        <f t="shared" si="266"/>
        <v>0.30580378438543487</v>
      </c>
      <c r="L2872" t="str">
        <f t="shared" si="269"/>
        <v>2022-03</v>
      </c>
      <c r="M2872">
        <f t="shared" si="267"/>
        <v>961.59999999999991</v>
      </c>
    </row>
    <row r="2873" spans="1:13" x14ac:dyDescent="0.25">
      <c r="A2873" s="1">
        <v>45335</v>
      </c>
      <c r="B2873" t="s">
        <v>14</v>
      </c>
      <c r="C2873" t="s">
        <v>15</v>
      </c>
      <c r="D2873" t="s">
        <v>13</v>
      </c>
      <c r="E2873">
        <v>969.03</v>
      </c>
      <c r="F2873">
        <v>686.77</v>
      </c>
      <c r="G2873">
        <v>1</v>
      </c>
      <c r="H2873">
        <f t="shared" si="264"/>
        <v>969.03</v>
      </c>
      <c r="I2873">
        <f t="shared" si="268"/>
        <v>686.77</v>
      </c>
      <c r="J2873">
        <f t="shared" si="265"/>
        <v>282.26</v>
      </c>
      <c r="K2873" s="8">
        <f t="shared" si="266"/>
        <v>0.29128097169334283</v>
      </c>
      <c r="L2873" t="str">
        <f t="shared" si="269"/>
        <v>2024-02</v>
      </c>
      <c r="M2873">
        <f t="shared" si="267"/>
        <v>282.26</v>
      </c>
    </row>
    <row r="2874" spans="1:13" x14ac:dyDescent="0.25">
      <c r="A2874" s="1">
        <v>45464</v>
      </c>
      <c r="B2874" t="s">
        <v>7</v>
      </c>
      <c r="C2874" t="s">
        <v>8</v>
      </c>
      <c r="D2874" t="s">
        <v>9</v>
      </c>
      <c r="E2874">
        <v>1320.47</v>
      </c>
      <c r="F2874">
        <v>830.25</v>
      </c>
      <c r="G2874">
        <v>3</v>
      </c>
      <c r="H2874">
        <f t="shared" si="264"/>
        <v>3961.41</v>
      </c>
      <c r="I2874">
        <f t="shared" si="268"/>
        <v>2490.75</v>
      </c>
      <c r="J2874">
        <f t="shared" si="265"/>
        <v>1470.6599999999999</v>
      </c>
      <c r="K2874" s="8">
        <f t="shared" si="266"/>
        <v>0.37124660158882822</v>
      </c>
      <c r="L2874" t="str">
        <f t="shared" si="269"/>
        <v>2024-06</v>
      </c>
      <c r="M2874">
        <f t="shared" si="267"/>
        <v>1470.6599999999999</v>
      </c>
    </row>
    <row r="2875" spans="1:13" x14ac:dyDescent="0.25">
      <c r="A2875" s="1">
        <v>44977</v>
      </c>
      <c r="B2875" t="s">
        <v>23</v>
      </c>
      <c r="C2875" t="s">
        <v>11</v>
      </c>
      <c r="D2875" t="s">
        <v>18</v>
      </c>
      <c r="E2875">
        <v>1033.43</v>
      </c>
      <c r="F2875">
        <v>589.27</v>
      </c>
      <c r="G2875">
        <v>10</v>
      </c>
      <c r="H2875">
        <f t="shared" si="264"/>
        <v>10334.300000000001</v>
      </c>
      <c r="I2875">
        <f t="shared" si="268"/>
        <v>5892.7</v>
      </c>
      <c r="J2875">
        <f t="shared" si="265"/>
        <v>4441.6000000000013</v>
      </c>
      <c r="K2875" s="8">
        <f t="shared" si="266"/>
        <v>0.42979205171129159</v>
      </c>
      <c r="L2875" t="str">
        <f t="shared" si="269"/>
        <v>2023-02</v>
      </c>
      <c r="M2875">
        <f t="shared" si="267"/>
        <v>4441.6000000000013</v>
      </c>
    </row>
    <row r="2876" spans="1:13" x14ac:dyDescent="0.25">
      <c r="A2876" s="1">
        <v>44950</v>
      </c>
      <c r="B2876" t="s">
        <v>14</v>
      </c>
      <c r="C2876" t="s">
        <v>15</v>
      </c>
      <c r="D2876" t="s">
        <v>13</v>
      </c>
      <c r="E2876">
        <v>1651.32</v>
      </c>
      <c r="F2876">
        <v>1471.54</v>
      </c>
      <c r="G2876">
        <v>4</v>
      </c>
      <c r="H2876">
        <f t="shared" si="264"/>
        <v>6605.28</v>
      </c>
      <c r="I2876">
        <f t="shared" si="268"/>
        <v>5886.16</v>
      </c>
      <c r="J2876">
        <f t="shared" si="265"/>
        <v>719.11999999999989</v>
      </c>
      <c r="K2876" s="8">
        <f t="shared" si="266"/>
        <v>0.10887047937407648</v>
      </c>
      <c r="L2876" t="str">
        <f t="shared" si="269"/>
        <v>2023-01</v>
      </c>
      <c r="M2876">
        <f t="shared" si="267"/>
        <v>719.11999999999989</v>
      </c>
    </row>
    <row r="2877" spans="1:13" x14ac:dyDescent="0.25">
      <c r="A2877" s="1">
        <v>45440</v>
      </c>
      <c r="B2877" t="s">
        <v>25</v>
      </c>
      <c r="C2877" t="s">
        <v>15</v>
      </c>
      <c r="D2877" t="s">
        <v>9</v>
      </c>
      <c r="E2877">
        <v>89.43</v>
      </c>
      <c r="F2877">
        <v>44.91</v>
      </c>
      <c r="G2877">
        <v>4</v>
      </c>
      <c r="H2877">
        <f t="shared" si="264"/>
        <v>357.72</v>
      </c>
      <c r="I2877">
        <f t="shared" si="268"/>
        <v>179.64</v>
      </c>
      <c r="J2877">
        <f t="shared" si="265"/>
        <v>178.08000000000004</v>
      </c>
      <c r="K2877" s="8">
        <f t="shared" si="266"/>
        <v>0.49781952364978205</v>
      </c>
      <c r="L2877" t="str">
        <f t="shared" si="269"/>
        <v>2024-05</v>
      </c>
      <c r="M2877">
        <f t="shared" si="267"/>
        <v>178.08000000000004</v>
      </c>
    </row>
    <row r="2878" spans="1:13" x14ac:dyDescent="0.25">
      <c r="A2878" s="1">
        <v>44969</v>
      </c>
      <c r="B2878" t="s">
        <v>19</v>
      </c>
      <c r="C2878" t="s">
        <v>20</v>
      </c>
      <c r="D2878" t="s">
        <v>18</v>
      </c>
      <c r="E2878">
        <v>53.34</v>
      </c>
      <c r="F2878">
        <v>28.46</v>
      </c>
      <c r="G2878">
        <v>6</v>
      </c>
      <c r="H2878">
        <f t="shared" si="264"/>
        <v>320.04000000000002</v>
      </c>
      <c r="I2878">
        <f t="shared" si="268"/>
        <v>170.76</v>
      </c>
      <c r="J2878">
        <f t="shared" si="265"/>
        <v>149.28000000000003</v>
      </c>
      <c r="K2878" s="8">
        <f t="shared" si="266"/>
        <v>0.46644169478815156</v>
      </c>
      <c r="L2878" t="str">
        <f t="shared" si="269"/>
        <v>2023-02</v>
      </c>
      <c r="M2878">
        <f t="shared" si="267"/>
        <v>149.28000000000003</v>
      </c>
    </row>
    <row r="2879" spans="1:13" x14ac:dyDescent="0.25">
      <c r="A2879" s="1">
        <v>44723</v>
      </c>
      <c r="B2879" t="s">
        <v>22</v>
      </c>
      <c r="C2879" t="s">
        <v>8</v>
      </c>
      <c r="D2879" t="s">
        <v>17</v>
      </c>
      <c r="E2879">
        <v>303.29000000000002</v>
      </c>
      <c r="F2879">
        <v>210.67</v>
      </c>
      <c r="G2879">
        <v>4</v>
      </c>
      <c r="H2879">
        <f t="shared" si="264"/>
        <v>1213.1600000000001</v>
      </c>
      <c r="I2879">
        <f t="shared" si="268"/>
        <v>842.68</v>
      </c>
      <c r="J2879">
        <f t="shared" si="265"/>
        <v>370.48000000000013</v>
      </c>
      <c r="K2879" s="8">
        <f t="shared" si="266"/>
        <v>0.30538428566718329</v>
      </c>
      <c r="L2879" t="str">
        <f t="shared" si="269"/>
        <v>2022-06</v>
      </c>
      <c r="M2879">
        <f t="shared" si="267"/>
        <v>370.48000000000013</v>
      </c>
    </row>
    <row r="2880" spans="1:13" x14ac:dyDescent="0.25">
      <c r="A2880" s="1">
        <v>45264</v>
      </c>
      <c r="B2880" t="s">
        <v>22</v>
      </c>
      <c r="C2880" t="s">
        <v>8</v>
      </c>
      <c r="D2880" t="s">
        <v>9</v>
      </c>
      <c r="E2880">
        <v>926.79</v>
      </c>
      <c r="F2880">
        <v>763.58</v>
      </c>
      <c r="G2880">
        <v>2</v>
      </c>
      <c r="H2880">
        <f t="shared" si="264"/>
        <v>1853.58</v>
      </c>
      <c r="I2880">
        <f t="shared" si="268"/>
        <v>1527.16</v>
      </c>
      <c r="J2880">
        <f t="shared" si="265"/>
        <v>326.41999999999985</v>
      </c>
      <c r="K2880" s="8">
        <f t="shared" si="266"/>
        <v>0.17610246118322373</v>
      </c>
      <c r="L2880" t="str">
        <f t="shared" si="269"/>
        <v>2023-12</v>
      </c>
      <c r="M2880">
        <f t="shared" si="267"/>
        <v>326.41999999999985</v>
      </c>
    </row>
    <row r="2881" spans="1:13" x14ac:dyDescent="0.25">
      <c r="A2881" s="1">
        <v>45293</v>
      </c>
      <c r="B2881" t="s">
        <v>23</v>
      </c>
      <c r="C2881" t="s">
        <v>11</v>
      </c>
      <c r="D2881" t="s">
        <v>18</v>
      </c>
      <c r="E2881">
        <v>1301.8699999999999</v>
      </c>
      <c r="F2881">
        <v>1023.29</v>
      </c>
      <c r="G2881">
        <v>7</v>
      </c>
      <c r="H2881">
        <f t="shared" si="264"/>
        <v>9113.09</v>
      </c>
      <c r="I2881">
        <f t="shared" si="268"/>
        <v>7163.03</v>
      </c>
      <c r="J2881">
        <f t="shared" si="265"/>
        <v>1950.0600000000004</v>
      </c>
      <c r="K2881" s="8">
        <f t="shared" si="266"/>
        <v>0.21398449922035231</v>
      </c>
      <c r="L2881" t="str">
        <f t="shared" si="269"/>
        <v>2024-01</v>
      </c>
      <c r="M2881">
        <f t="shared" si="267"/>
        <v>1950.0600000000004</v>
      </c>
    </row>
    <row r="2882" spans="1:13" x14ac:dyDescent="0.25">
      <c r="A2882" s="1">
        <v>44779</v>
      </c>
      <c r="B2882" t="s">
        <v>23</v>
      </c>
      <c r="C2882" t="s">
        <v>11</v>
      </c>
      <c r="D2882" t="s">
        <v>17</v>
      </c>
      <c r="E2882">
        <v>282.47000000000003</v>
      </c>
      <c r="F2882">
        <v>250.85</v>
      </c>
      <c r="G2882">
        <v>6</v>
      </c>
      <c r="H2882">
        <f t="shared" si="264"/>
        <v>1694.8200000000002</v>
      </c>
      <c r="I2882">
        <f t="shared" si="268"/>
        <v>1505.1</v>
      </c>
      <c r="J2882">
        <f t="shared" si="265"/>
        <v>189.72000000000025</v>
      </c>
      <c r="K2882" s="8">
        <f t="shared" si="266"/>
        <v>0.11194109108931936</v>
      </c>
      <c r="L2882" t="str">
        <f t="shared" si="269"/>
        <v>2022-08</v>
      </c>
      <c r="M2882">
        <f t="shared" si="267"/>
        <v>189.72000000000025</v>
      </c>
    </row>
    <row r="2883" spans="1:13" x14ac:dyDescent="0.25">
      <c r="A2883" s="1">
        <v>44819</v>
      </c>
      <c r="B2883" t="s">
        <v>14</v>
      </c>
      <c r="C2883" t="s">
        <v>15</v>
      </c>
      <c r="D2883" t="s">
        <v>13</v>
      </c>
      <c r="E2883">
        <v>1788.88</v>
      </c>
      <c r="F2883">
        <v>1451.39</v>
      </c>
      <c r="G2883">
        <v>1</v>
      </c>
      <c r="H2883">
        <f t="shared" ref="H2883:H2946" si="270">E2883*G2883</f>
        <v>1788.88</v>
      </c>
      <c r="I2883">
        <f t="shared" si="268"/>
        <v>1451.39</v>
      </c>
      <c r="J2883">
        <f t="shared" ref="J2883:J2946" si="271">H2883-I2883</f>
        <v>337.49</v>
      </c>
      <c r="K2883" s="8">
        <f t="shared" ref="K2883:K2946" si="272">(H2883-I2883)/H2883</f>
        <v>0.18865994365189392</v>
      </c>
      <c r="L2883" t="str">
        <f t="shared" si="269"/>
        <v>2022-09</v>
      </c>
      <c r="M2883">
        <f t="shared" ref="M2883:M2946" si="273">H2883-I2883</f>
        <v>337.49</v>
      </c>
    </row>
    <row r="2884" spans="1:13" x14ac:dyDescent="0.25">
      <c r="A2884" s="1">
        <v>45254</v>
      </c>
      <c r="B2884" t="s">
        <v>19</v>
      </c>
      <c r="C2884" t="s">
        <v>20</v>
      </c>
      <c r="D2884" t="s">
        <v>18</v>
      </c>
      <c r="E2884">
        <v>583.1</v>
      </c>
      <c r="F2884">
        <v>384.26</v>
      </c>
      <c r="G2884">
        <v>5</v>
      </c>
      <c r="H2884">
        <f t="shared" si="270"/>
        <v>2915.5</v>
      </c>
      <c r="I2884">
        <f t="shared" ref="I2884:I2947" si="274">F2884*G2884</f>
        <v>1921.3</v>
      </c>
      <c r="J2884">
        <f t="shared" si="271"/>
        <v>994.2</v>
      </c>
      <c r="K2884" s="8">
        <f t="shared" si="272"/>
        <v>0.34100497341793862</v>
      </c>
      <c r="L2884" t="str">
        <f t="shared" ref="L2884:L2947" si="275">TEXT(A2884,"rrrr-mm")</f>
        <v>2023-11</v>
      </c>
      <c r="M2884">
        <f t="shared" si="273"/>
        <v>994.2</v>
      </c>
    </row>
    <row r="2885" spans="1:13" x14ac:dyDescent="0.25">
      <c r="A2885" s="1">
        <v>45050</v>
      </c>
      <c r="B2885" t="s">
        <v>23</v>
      </c>
      <c r="C2885" t="s">
        <v>11</v>
      </c>
      <c r="D2885" t="s">
        <v>17</v>
      </c>
      <c r="E2885">
        <v>349.79</v>
      </c>
      <c r="F2885">
        <v>198.62</v>
      </c>
      <c r="G2885">
        <v>9</v>
      </c>
      <c r="H2885">
        <f t="shared" si="270"/>
        <v>3148.11</v>
      </c>
      <c r="I2885">
        <f t="shared" si="274"/>
        <v>1787.58</v>
      </c>
      <c r="J2885">
        <f t="shared" si="271"/>
        <v>1360.5300000000002</v>
      </c>
      <c r="K2885" s="8">
        <f t="shared" si="272"/>
        <v>0.4321735898682067</v>
      </c>
      <c r="L2885" t="str">
        <f t="shared" si="275"/>
        <v>2023-05</v>
      </c>
      <c r="M2885">
        <f t="shared" si="273"/>
        <v>1360.5300000000002</v>
      </c>
    </row>
    <row r="2886" spans="1:13" x14ac:dyDescent="0.25">
      <c r="A2886" s="1">
        <v>44777</v>
      </c>
      <c r="B2886" t="s">
        <v>19</v>
      </c>
      <c r="C2886" t="s">
        <v>20</v>
      </c>
      <c r="D2886" t="s">
        <v>13</v>
      </c>
      <c r="E2886">
        <v>1204.21</v>
      </c>
      <c r="F2886">
        <v>837.2</v>
      </c>
      <c r="G2886">
        <v>3</v>
      </c>
      <c r="H2886">
        <f t="shared" si="270"/>
        <v>3612.63</v>
      </c>
      <c r="I2886">
        <f t="shared" si="274"/>
        <v>2511.6000000000004</v>
      </c>
      <c r="J2886">
        <f t="shared" si="271"/>
        <v>1101.0299999999997</v>
      </c>
      <c r="K2886" s="8">
        <f t="shared" si="272"/>
        <v>0.30477242341452065</v>
      </c>
      <c r="L2886" t="str">
        <f t="shared" si="275"/>
        <v>2022-08</v>
      </c>
      <c r="M2886">
        <f t="shared" si="273"/>
        <v>1101.0299999999997</v>
      </c>
    </row>
    <row r="2887" spans="1:13" x14ac:dyDescent="0.25">
      <c r="A2887" s="1">
        <v>44837</v>
      </c>
      <c r="B2887" t="s">
        <v>19</v>
      </c>
      <c r="C2887" t="s">
        <v>20</v>
      </c>
      <c r="D2887" t="s">
        <v>9</v>
      </c>
      <c r="E2887">
        <v>206.96</v>
      </c>
      <c r="F2887">
        <v>133.19</v>
      </c>
      <c r="G2887">
        <v>6</v>
      </c>
      <c r="H2887">
        <f t="shared" si="270"/>
        <v>1241.76</v>
      </c>
      <c r="I2887">
        <f t="shared" si="274"/>
        <v>799.14</v>
      </c>
      <c r="J2887">
        <f t="shared" si="271"/>
        <v>442.62</v>
      </c>
      <c r="K2887" s="8">
        <f t="shared" si="272"/>
        <v>0.35644568998840354</v>
      </c>
      <c r="L2887" t="str">
        <f t="shared" si="275"/>
        <v>2022-10</v>
      </c>
      <c r="M2887">
        <f t="shared" si="273"/>
        <v>442.62</v>
      </c>
    </row>
    <row r="2888" spans="1:13" x14ac:dyDescent="0.25">
      <c r="A2888" s="1">
        <v>45012</v>
      </c>
      <c r="B2888" t="s">
        <v>21</v>
      </c>
      <c r="C2888" t="s">
        <v>20</v>
      </c>
      <c r="D2888" t="s">
        <v>18</v>
      </c>
      <c r="E2888">
        <v>1835.43</v>
      </c>
      <c r="F2888">
        <v>1509.66</v>
      </c>
      <c r="G2888">
        <v>3</v>
      </c>
      <c r="H2888">
        <f t="shared" si="270"/>
        <v>5506.29</v>
      </c>
      <c r="I2888">
        <f t="shared" si="274"/>
        <v>4528.9800000000005</v>
      </c>
      <c r="J2888">
        <f t="shared" si="271"/>
        <v>977.30999999999949</v>
      </c>
      <c r="K2888" s="8">
        <f t="shared" si="272"/>
        <v>0.1774897435478334</v>
      </c>
      <c r="L2888" t="str">
        <f t="shared" si="275"/>
        <v>2023-03</v>
      </c>
      <c r="M2888">
        <f t="shared" si="273"/>
        <v>977.30999999999949</v>
      </c>
    </row>
    <row r="2889" spans="1:13" x14ac:dyDescent="0.25">
      <c r="A2889" s="1">
        <v>45169</v>
      </c>
      <c r="B2889" t="s">
        <v>16</v>
      </c>
      <c r="C2889" t="s">
        <v>15</v>
      </c>
      <c r="D2889" t="s">
        <v>13</v>
      </c>
      <c r="E2889">
        <v>766.79</v>
      </c>
      <c r="F2889">
        <v>603.53</v>
      </c>
      <c r="G2889">
        <v>9</v>
      </c>
      <c r="H2889">
        <f t="shared" si="270"/>
        <v>6901.11</v>
      </c>
      <c r="I2889">
        <f t="shared" si="274"/>
        <v>5431.7699999999995</v>
      </c>
      <c r="J2889">
        <f t="shared" si="271"/>
        <v>1469.3400000000001</v>
      </c>
      <c r="K2889" s="8">
        <f t="shared" si="272"/>
        <v>0.21291357477275397</v>
      </c>
      <c r="L2889" t="str">
        <f t="shared" si="275"/>
        <v>2023-08</v>
      </c>
      <c r="M2889">
        <f t="shared" si="273"/>
        <v>1469.3400000000001</v>
      </c>
    </row>
    <row r="2890" spans="1:13" x14ac:dyDescent="0.25">
      <c r="A2890" s="1">
        <v>44844</v>
      </c>
      <c r="B2890" t="s">
        <v>7</v>
      </c>
      <c r="C2890" t="s">
        <v>8</v>
      </c>
      <c r="D2890" t="s">
        <v>13</v>
      </c>
      <c r="E2890">
        <v>1548.71</v>
      </c>
      <c r="F2890">
        <v>1169.45</v>
      </c>
      <c r="G2890">
        <v>6</v>
      </c>
      <c r="H2890">
        <f t="shared" si="270"/>
        <v>9292.26</v>
      </c>
      <c r="I2890">
        <f t="shared" si="274"/>
        <v>7016.7000000000007</v>
      </c>
      <c r="J2890">
        <f t="shared" si="271"/>
        <v>2275.5599999999995</v>
      </c>
      <c r="K2890" s="8">
        <f t="shared" si="272"/>
        <v>0.24488768071491751</v>
      </c>
      <c r="L2890" t="str">
        <f t="shared" si="275"/>
        <v>2022-10</v>
      </c>
      <c r="M2890">
        <f t="shared" si="273"/>
        <v>2275.5599999999995</v>
      </c>
    </row>
    <row r="2891" spans="1:13" x14ac:dyDescent="0.25">
      <c r="A2891" s="1">
        <v>45116</v>
      </c>
      <c r="B2891" t="s">
        <v>21</v>
      </c>
      <c r="C2891" t="s">
        <v>20</v>
      </c>
      <c r="D2891" t="s">
        <v>18</v>
      </c>
      <c r="E2891">
        <v>798.28</v>
      </c>
      <c r="F2891">
        <v>420.49</v>
      </c>
      <c r="G2891">
        <v>3</v>
      </c>
      <c r="H2891">
        <f t="shared" si="270"/>
        <v>2394.84</v>
      </c>
      <c r="I2891">
        <f t="shared" si="274"/>
        <v>1261.47</v>
      </c>
      <c r="J2891">
        <f t="shared" si="271"/>
        <v>1133.3700000000001</v>
      </c>
      <c r="K2891" s="8">
        <f t="shared" si="272"/>
        <v>0.47325499824622941</v>
      </c>
      <c r="L2891" t="str">
        <f t="shared" si="275"/>
        <v>2023-07</v>
      </c>
      <c r="M2891">
        <f t="shared" si="273"/>
        <v>1133.3700000000001</v>
      </c>
    </row>
    <row r="2892" spans="1:13" x14ac:dyDescent="0.25">
      <c r="A2892" s="1">
        <v>45607</v>
      </c>
      <c r="B2892" t="s">
        <v>7</v>
      </c>
      <c r="C2892" t="s">
        <v>8</v>
      </c>
      <c r="D2892" t="s">
        <v>13</v>
      </c>
      <c r="E2892">
        <v>1477.13</v>
      </c>
      <c r="F2892">
        <v>1118.94</v>
      </c>
      <c r="G2892">
        <v>10</v>
      </c>
      <c r="H2892">
        <f t="shared" si="270"/>
        <v>14771.300000000001</v>
      </c>
      <c r="I2892">
        <f t="shared" si="274"/>
        <v>11189.400000000001</v>
      </c>
      <c r="J2892">
        <f t="shared" si="271"/>
        <v>3581.8999999999996</v>
      </c>
      <c r="K2892" s="8">
        <f t="shared" si="272"/>
        <v>0.24249050523650589</v>
      </c>
      <c r="L2892" t="str">
        <f t="shared" si="275"/>
        <v>2024-11</v>
      </c>
      <c r="M2892">
        <f t="shared" si="273"/>
        <v>3581.8999999999996</v>
      </c>
    </row>
    <row r="2893" spans="1:13" x14ac:dyDescent="0.25">
      <c r="A2893" s="1">
        <v>45588</v>
      </c>
      <c r="B2893" t="s">
        <v>23</v>
      </c>
      <c r="C2893" t="s">
        <v>11</v>
      </c>
      <c r="D2893" t="s">
        <v>9</v>
      </c>
      <c r="E2893">
        <v>1011.41</v>
      </c>
      <c r="F2893">
        <v>579.97</v>
      </c>
      <c r="G2893">
        <v>6</v>
      </c>
      <c r="H2893">
        <f t="shared" si="270"/>
        <v>6068.46</v>
      </c>
      <c r="I2893">
        <f t="shared" si="274"/>
        <v>3479.82</v>
      </c>
      <c r="J2893">
        <f t="shared" si="271"/>
        <v>2588.64</v>
      </c>
      <c r="K2893" s="8">
        <f t="shared" si="272"/>
        <v>0.42657280430290384</v>
      </c>
      <c r="L2893" t="str">
        <f t="shared" si="275"/>
        <v>2024-10</v>
      </c>
      <c r="M2893">
        <f t="shared" si="273"/>
        <v>2588.64</v>
      </c>
    </row>
    <row r="2894" spans="1:13" x14ac:dyDescent="0.25">
      <c r="A2894" s="1">
        <v>45082</v>
      </c>
      <c r="B2894" t="s">
        <v>25</v>
      </c>
      <c r="C2894" t="s">
        <v>15</v>
      </c>
      <c r="D2894" t="s">
        <v>13</v>
      </c>
      <c r="E2894">
        <v>236.15</v>
      </c>
      <c r="F2894">
        <v>196.7</v>
      </c>
      <c r="G2894">
        <v>4</v>
      </c>
      <c r="H2894">
        <f t="shared" si="270"/>
        <v>944.6</v>
      </c>
      <c r="I2894">
        <f t="shared" si="274"/>
        <v>786.8</v>
      </c>
      <c r="J2894">
        <f t="shared" si="271"/>
        <v>157.80000000000007</v>
      </c>
      <c r="K2894" s="8">
        <f t="shared" si="272"/>
        <v>0.16705483802667803</v>
      </c>
      <c r="L2894" t="str">
        <f t="shared" si="275"/>
        <v>2023-06</v>
      </c>
      <c r="M2894">
        <f t="shared" si="273"/>
        <v>157.80000000000007</v>
      </c>
    </row>
    <row r="2895" spans="1:13" x14ac:dyDescent="0.25">
      <c r="A2895" s="1">
        <v>45491</v>
      </c>
      <c r="B2895" t="s">
        <v>23</v>
      </c>
      <c r="C2895" t="s">
        <v>11</v>
      </c>
      <c r="D2895" t="s">
        <v>17</v>
      </c>
      <c r="E2895">
        <v>1386.76</v>
      </c>
      <c r="F2895">
        <v>818.27</v>
      </c>
      <c r="G2895">
        <v>2</v>
      </c>
      <c r="H2895">
        <f t="shared" si="270"/>
        <v>2773.52</v>
      </c>
      <c r="I2895">
        <f t="shared" si="274"/>
        <v>1636.54</v>
      </c>
      <c r="J2895">
        <f t="shared" si="271"/>
        <v>1136.98</v>
      </c>
      <c r="K2895" s="8">
        <f t="shared" si="272"/>
        <v>0.40994115780668611</v>
      </c>
      <c r="L2895" t="str">
        <f t="shared" si="275"/>
        <v>2024-07</v>
      </c>
      <c r="M2895">
        <f t="shared" si="273"/>
        <v>1136.98</v>
      </c>
    </row>
    <row r="2896" spans="1:13" x14ac:dyDescent="0.25">
      <c r="A2896" s="1">
        <v>45216</v>
      </c>
      <c r="B2896" t="s">
        <v>7</v>
      </c>
      <c r="C2896" t="s">
        <v>8</v>
      </c>
      <c r="D2896" t="s">
        <v>18</v>
      </c>
      <c r="E2896">
        <v>371.75</v>
      </c>
      <c r="F2896">
        <v>252.35</v>
      </c>
      <c r="G2896">
        <v>10</v>
      </c>
      <c r="H2896">
        <f t="shared" si="270"/>
        <v>3717.5</v>
      </c>
      <c r="I2896">
        <f t="shared" si="274"/>
        <v>2523.5</v>
      </c>
      <c r="J2896">
        <f t="shared" si="271"/>
        <v>1194</v>
      </c>
      <c r="K2896" s="8">
        <f t="shared" si="272"/>
        <v>0.3211835911230666</v>
      </c>
      <c r="L2896" t="str">
        <f t="shared" si="275"/>
        <v>2023-10</v>
      </c>
      <c r="M2896">
        <f t="shared" si="273"/>
        <v>1194</v>
      </c>
    </row>
    <row r="2897" spans="1:13" x14ac:dyDescent="0.25">
      <c r="A2897" s="1">
        <v>45438</v>
      </c>
      <c r="B2897" t="s">
        <v>24</v>
      </c>
      <c r="C2897" t="s">
        <v>20</v>
      </c>
      <c r="D2897" t="s">
        <v>13</v>
      </c>
      <c r="E2897">
        <v>1380.16</v>
      </c>
      <c r="F2897">
        <v>918.45</v>
      </c>
      <c r="G2897">
        <v>10</v>
      </c>
      <c r="H2897">
        <f t="shared" si="270"/>
        <v>13801.6</v>
      </c>
      <c r="I2897">
        <f t="shared" si="274"/>
        <v>9184.5</v>
      </c>
      <c r="J2897">
        <f t="shared" si="271"/>
        <v>4617.1000000000004</v>
      </c>
      <c r="K2897" s="8">
        <f t="shared" si="272"/>
        <v>0.33453367725481103</v>
      </c>
      <c r="L2897" t="str">
        <f t="shared" si="275"/>
        <v>2024-05</v>
      </c>
      <c r="M2897">
        <f t="shared" si="273"/>
        <v>4617.1000000000004</v>
      </c>
    </row>
    <row r="2898" spans="1:13" x14ac:dyDescent="0.25">
      <c r="A2898" s="1">
        <v>44744</v>
      </c>
      <c r="B2898" t="s">
        <v>25</v>
      </c>
      <c r="C2898" t="s">
        <v>15</v>
      </c>
      <c r="D2898" t="s">
        <v>17</v>
      </c>
      <c r="E2898">
        <v>802.11</v>
      </c>
      <c r="F2898">
        <v>681.97</v>
      </c>
      <c r="G2898">
        <v>5</v>
      </c>
      <c r="H2898">
        <f t="shared" si="270"/>
        <v>4010.55</v>
      </c>
      <c r="I2898">
        <f t="shared" si="274"/>
        <v>3409.8500000000004</v>
      </c>
      <c r="J2898">
        <f t="shared" si="271"/>
        <v>600.69999999999982</v>
      </c>
      <c r="K2898" s="8">
        <f t="shared" si="272"/>
        <v>0.1497799553677176</v>
      </c>
      <c r="L2898" t="str">
        <f t="shared" si="275"/>
        <v>2022-07</v>
      </c>
      <c r="M2898">
        <f t="shared" si="273"/>
        <v>600.69999999999982</v>
      </c>
    </row>
    <row r="2899" spans="1:13" x14ac:dyDescent="0.25">
      <c r="A2899" s="1">
        <v>45497</v>
      </c>
      <c r="B2899" t="s">
        <v>7</v>
      </c>
      <c r="C2899" t="s">
        <v>8</v>
      </c>
      <c r="D2899" t="s">
        <v>17</v>
      </c>
      <c r="E2899">
        <v>903.77</v>
      </c>
      <c r="F2899">
        <v>610.20000000000005</v>
      </c>
      <c r="G2899">
        <v>9</v>
      </c>
      <c r="H2899">
        <f t="shared" si="270"/>
        <v>8133.93</v>
      </c>
      <c r="I2899">
        <f t="shared" si="274"/>
        <v>5491.8</v>
      </c>
      <c r="J2899">
        <f t="shared" si="271"/>
        <v>2642.13</v>
      </c>
      <c r="K2899" s="8">
        <f t="shared" si="272"/>
        <v>0.32482821956913815</v>
      </c>
      <c r="L2899" t="str">
        <f t="shared" si="275"/>
        <v>2024-07</v>
      </c>
      <c r="M2899">
        <f t="shared" si="273"/>
        <v>2642.13</v>
      </c>
    </row>
    <row r="2900" spans="1:13" x14ac:dyDescent="0.25">
      <c r="A2900" s="1">
        <v>45434</v>
      </c>
      <c r="B2900" t="s">
        <v>10</v>
      </c>
      <c r="C2900" t="s">
        <v>11</v>
      </c>
      <c r="D2900" t="s">
        <v>13</v>
      </c>
      <c r="E2900">
        <v>537.85</v>
      </c>
      <c r="F2900">
        <v>329.26</v>
      </c>
      <c r="G2900">
        <v>9</v>
      </c>
      <c r="H2900">
        <f t="shared" si="270"/>
        <v>4840.6500000000005</v>
      </c>
      <c r="I2900">
        <f t="shared" si="274"/>
        <v>2963.34</v>
      </c>
      <c r="J2900">
        <f t="shared" si="271"/>
        <v>1877.3100000000004</v>
      </c>
      <c r="K2900" s="8">
        <f t="shared" si="272"/>
        <v>0.38782188342474672</v>
      </c>
      <c r="L2900" t="str">
        <f t="shared" si="275"/>
        <v>2024-05</v>
      </c>
      <c r="M2900">
        <f t="shared" si="273"/>
        <v>1877.3100000000004</v>
      </c>
    </row>
    <row r="2901" spans="1:13" x14ac:dyDescent="0.25">
      <c r="A2901" s="1">
        <v>44857</v>
      </c>
      <c r="B2901" t="s">
        <v>19</v>
      </c>
      <c r="C2901" t="s">
        <v>20</v>
      </c>
      <c r="D2901" t="s">
        <v>9</v>
      </c>
      <c r="E2901">
        <v>930.95</v>
      </c>
      <c r="F2901">
        <v>773.5</v>
      </c>
      <c r="G2901">
        <v>7</v>
      </c>
      <c r="H2901">
        <f t="shared" si="270"/>
        <v>6516.6500000000005</v>
      </c>
      <c r="I2901">
        <f t="shared" si="274"/>
        <v>5414.5</v>
      </c>
      <c r="J2901">
        <f t="shared" si="271"/>
        <v>1102.1500000000005</v>
      </c>
      <c r="K2901" s="8">
        <f t="shared" si="272"/>
        <v>0.16912830979107371</v>
      </c>
      <c r="L2901" t="str">
        <f t="shared" si="275"/>
        <v>2022-10</v>
      </c>
      <c r="M2901">
        <f t="shared" si="273"/>
        <v>1102.1500000000005</v>
      </c>
    </row>
    <row r="2902" spans="1:13" x14ac:dyDescent="0.25">
      <c r="A2902" s="1">
        <v>44934</v>
      </c>
      <c r="B2902" t="s">
        <v>12</v>
      </c>
      <c r="C2902" t="s">
        <v>8</v>
      </c>
      <c r="D2902" t="s">
        <v>13</v>
      </c>
      <c r="E2902">
        <v>380.35</v>
      </c>
      <c r="F2902">
        <v>292.57</v>
      </c>
      <c r="G2902">
        <v>4</v>
      </c>
      <c r="H2902">
        <f t="shared" si="270"/>
        <v>1521.4</v>
      </c>
      <c r="I2902">
        <f t="shared" si="274"/>
        <v>1170.28</v>
      </c>
      <c r="J2902">
        <f t="shared" si="271"/>
        <v>351.12000000000012</v>
      </c>
      <c r="K2902" s="8">
        <f t="shared" si="272"/>
        <v>0.23078743262784285</v>
      </c>
      <c r="L2902" t="str">
        <f t="shared" si="275"/>
        <v>2023-01</v>
      </c>
      <c r="M2902">
        <f t="shared" si="273"/>
        <v>351.12000000000012</v>
      </c>
    </row>
    <row r="2903" spans="1:13" x14ac:dyDescent="0.25">
      <c r="A2903" s="1">
        <v>44948</v>
      </c>
      <c r="B2903" t="s">
        <v>23</v>
      </c>
      <c r="C2903" t="s">
        <v>11</v>
      </c>
      <c r="D2903" t="s">
        <v>9</v>
      </c>
      <c r="E2903">
        <v>1962.21</v>
      </c>
      <c r="F2903">
        <v>1465.56</v>
      </c>
      <c r="G2903">
        <v>1</v>
      </c>
      <c r="H2903">
        <f t="shared" si="270"/>
        <v>1962.21</v>
      </c>
      <c r="I2903">
        <f t="shared" si="274"/>
        <v>1465.56</v>
      </c>
      <c r="J2903">
        <f t="shared" si="271"/>
        <v>496.65000000000009</v>
      </c>
      <c r="K2903" s="8">
        <f t="shared" si="272"/>
        <v>0.25310746556179009</v>
      </c>
      <c r="L2903" t="str">
        <f t="shared" si="275"/>
        <v>2023-01</v>
      </c>
      <c r="M2903">
        <f t="shared" si="273"/>
        <v>496.65000000000009</v>
      </c>
    </row>
    <row r="2904" spans="1:13" x14ac:dyDescent="0.25">
      <c r="A2904" s="1">
        <v>45351</v>
      </c>
      <c r="B2904" t="s">
        <v>12</v>
      </c>
      <c r="C2904" t="s">
        <v>8</v>
      </c>
      <c r="D2904" t="s">
        <v>13</v>
      </c>
      <c r="E2904">
        <v>1432.69</v>
      </c>
      <c r="F2904">
        <v>962.81</v>
      </c>
      <c r="G2904">
        <v>3</v>
      </c>
      <c r="H2904">
        <f t="shared" si="270"/>
        <v>4298.07</v>
      </c>
      <c r="I2904">
        <f t="shared" si="274"/>
        <v>2888.43</v>
      </c>
      <c r="J2904">
        <f t="shared" si="271"/>
        <v>1409.6399999999999</v>
      </c>
      <c r="K2904" s="8">
        <f t="shared" si="272"/>
        <v>0.32797046116047435</v>
      </c>
      <c r="L2904" t="str">
        <f t="shared" si="275"/>
        <v>2024-02</v>
      </c>
      <c r="M2904">
        <f t="shared" si="273"/>
        <v>1409.6399999999999</v>
      </c>
    </row>
    <row r="2905" spans="1:13" x14ac:dyDescent="0.25">
      <c r="A2905" s="1">
        <v>45507</v>
      </c>
      <c r="B2905" t="s">
        <v>10</v>
      </c>
      <c r="C2905" t="s">
        <v>11</v>
      </c>
      <c r="D2905" t="s">
        <v>13</v>
      </c>
      <c r="E2905">
        <v>1759.93</v>
      </c>
      <c r="F2905">
        <v>1355.44</v>
      </c>
      <c r="G2905">
        <v>9</v>
      </c>
      <c r="H2905">
        <f t="shared" si="270"/>
        <v>15839.37</v>
      </c>
      <c r="I2905">
        <f t="shared" si="274"/>
        <v>12198.960000000001</v>
      </c>
      <c r="J2905">
        <f t="shared" si="271"/>
        <v>3640.41</v>
      </c>
      <c r="K2905" s="8">
        <f t="shared" si="272"/>
        <v>0.2298330047217787</v>
      </c>
      <c r="L2905" t="str">
        <f t="shared" si="275"/>
        <v>2024-08</v>
      </c>
      <c r="M2905">
        <f t="shared" si="273"/>
        <v>3640.41</v>
      </c>
    </row>
    <row r="2906" spans="1:13" x14ac:dyDescent="0.25">
      <c r="A2906" s="1">
        <v>44831</v>
      </c>
      <c r="B2906" t="s">
        <v>12</v>
      </c>
      <c r="C2906" t="s">
        <v>8</v>
      </c>
      <c r="D2906" t="s">
        <v>17</v>
      </c>
      <c r="E2906">
        <v>1363.53</v>
      </c>
      <c r="F2906">
        <v>696.77</v>
      </c>
      <c r="G2906">
        <v>3</v>
      </c>
      <c r="H2906">
        <f t="shared" si="270"/>
        <v>4090.59</v>
      </c>
      <c r="I2906">
        <f t="shared" si="274"/>
        <v>2090.31</v>
      </c>
      <c r="J2906">
        <f t="shared" si="271"/>
        <v>2000.2800000000002</v>
      </c>
      <c r="K2906" s="8">
        <f t="shared" si="272"/>
        <v>0.48899547498038182</v>
      </c>
      <c r="L2906" t="str">
        <f t="shared" si="275"/>
        <v>2022-09</v>
      </c>
      <c r="M2906">
        <f t="shared" si="273"/>
        <v>2000.2800000000002</v>
      </c>
    </row>
    <row r="2907" spans="1:13" x14ac:dyDescent="0.25">
      <c r="A2907" s="1">
        <v>44788</v>
      </c>
      <c r="B2907" t="s">
        <v>12</v>
      </c>
      <c r="C2907" t="s">
        <v>8</v>
      </c>
      <c r="D2907" t="s">
        <v>17</v>
      </c>
      <c r="E2907">
        <v>1612.14</v>
      </c>
      <c r="F2907">
        <v>1152.67</v>
      </c>
      <c r="G2907">
        <v>5</v>
      </c>
      <c r="H2907">
        <f t="shared" si="270"/>
        <v>8060.7000000000007</v>
      </c>
      <c r="I2907">
        <f t="shared" si="274"/>
        <v>5763.35</v>
      </c>
      <c r="J2907">
        <f t="shared" si="271"/>
        <v>2297.3500000000004</v>
      </c>
      <c r="K2907" s="8">
        <f t="shared" si="272"/>
        <v>0.28500626496458126</v>
      </c>
      <c r="L2907" t="str">
        <f t="shared" si="275"/>
        <v>2022-08</v>
      </c>
      <c r="M2907">
        <f t="shared" si="273"/>
        <v>2297.3500000000004</v>
      </c>
    </row>
    <row r="2908" spans="1:13" x14ac:dyDescent="0.25">
      <c r="A2908" s="1">
        <v>44785</v>
      </c>
      <c r="B2908" t="s">
        <v>7</v>
      </c>
      <c r="C2908" t="s">
        <v>8</v>
      </c>
      <c r="D2908" t="s">
        <v>17</v>
      </c>
      <c r="E2908">
        <v>289.33</v>
      </c>
      <c r="F2908">
        <v>245.12</v>
      </c>
      <c r="G2908">
        <v>6</v>
      </c>
      <c r="H2908">
        <f t="shared" si="270"/>
        <v>1735.98</v>
      </c>
      <c r="I2908">
        <f t="shared" si="274"/>
        <v>1470.72</v>
      </c>
      <c r="J2908">
        <f t="shared" si="271"/>
        <v>265.26</v>
      </c>
      <c r="K2908" s="8">
        <f t="shared" si="272"/>
        <v>0.15280129955414232</v>
      </c>
      <c r="L2908" t="str">
        <f t="shared" si="275"/>
        <v>2022-08</v>
      </c>
      <c r="M2908">
        <f t="shared" si="273"/>
        <v>265.26</v>
      </c>
    </row>
    <row r="2909" spans="1:13" x14ac:dyDescent="0.25">
      <c r="A2909" s="1">
        <v>45170</v>
      </c>
      <c r="B2909" t="s">
        <v>12</v>
      </c>
      <c r="C2909" t="s">
        <v>8</v>
      </c>
      <c r="D2909" t="s">
        <v>9</v>
      </c>
      <c r="E2909">
        <v>543</v>
      </c>
      <c r="F2909">
        <v>428.03</v>
      </c>
      <c r="G2909">
        <v>2</v>
      </c>
      <c r="H2909">
        <f t="shared" si="270"/>
        <v>1086</v>
      </c>
      <c r="I2909">
        <f t="shared" si="274"/>
        <v>856.06</v>
      </c>
      <c r="J2909">
        <f t="shared" si="271"/>
        <v>229.94000000000005</v>
      </c>
      <c r="K2909" s="8">
        <f t="shared" si="272"/>
        <v>0.21173112338858199</v>
      </c>
      <c r="L2909" t="str">
        <f t="shared" si="275"/>
        <v>2023-09</v>
      </c>
      <c r="M2909">
        <f t="shared" si="273"/>
        <v>229.94000000000005</v>
      </c>
    </row>
    <row r="2910" spans="1:13" x14ac:dyDescent="0.25">
      <c r="A2910" s="1">
        <v>45112</v>
      </c>
      <c r="B2910" t="s">
        <v>23</v>
      </c>
      <c r="C2910" t="s">
        <v>11</v>
      </c>
      <c r="D2910" t="s">
        <v>13</v>
      </c>
      <c r="E2910">
        <v>991.64</v>
      </c>
      <c r="F2910">
        <v>849.78</v>
      </c>
      <c r="G2910">
        <v>5</v>
      </c>
      <c r="H2910">
        <f t="shared" si="270"/>
        <v>4958.2</v>
      </c>
      <c r="I2910">
        <f t="shared" si="274"/>
        <v>4248.8999999999996</v>
      </c>
      <c r="J2910">
        <f t="shared" si="271"/>
        <v>709.30000000000018</v>
      </c>
      <c r="K2910" s="8">
        <f t="shared" si="272"/>
        <v>0.14305594772296401</v>
      </c>
      <c r="L2910" t="str">
        <f t="shared" si="275"/>
        <v>2023-07</v>
      </c>
      <c r="M2910">
        <f t="shared" si="273"/>
        <v>709.30000000000018</v>
      </c>
    </row>
    <row r="2911" spans="1:13" x14ac:dyDescent="0.25">
      <c r="A2911" s="1">
        <v>45112</v>
      </c>
      <c r="B2911" t="s">
        <v>10</v>
      </c>
      <c r="C2911" t="s">
        <v>11</v>
      </c>
      <c r="D2911" t="s">
        <v>9</v>
      </c>
      <c r="E2911">
        <v>543.12</v>
      </c>
      <c r="F2911">
        <v>318.77</v>
      </c>
      <c r="G2911">
        <v>1</v>
      </c>
      <c r="H2911">
        <f t="shared" si="270"/>
        <v>543.12</v>
      </c>
      <c r="I2911">
        <f t="shared" si="274"/>
        <v>318.77</v>
      </c>
      <c r="J2911">
        <f t="shared" si="271"/>
        <v>224.35000000000002</v>
      </c>
      <c r="K2911" s="8">
        <f t="shared" si="272"/>
        <v>0.4130762998968921</v>
      </c>
      <c r="L2911" t="str">
        <f t="shared" si="275"/>
        <v>2023-07</v>
      </c>
      <c r="M2911">
        <f t="shared" si="273"/>
        <v>224.35000000000002</v>
      </c>
    </row>
    <row r="2912" spans="1:13" x14ac:dyDescent="0.25">
      <c r="A2912" s="1">
        <v>44614</v>
      </c>
      <c r="B2912" t="s">
        <v>24</v>
      </c>
      <c r="C2912" t="s">
        <v>20</v>
      </c>
      <c r="D2912" t="s">
        <v>13</v>
      </c>
      <c r="E2912">
        <v>517.47</v>
      </c>
      <c r="F2912">
        <v>311.36</v>
      </c>
      <c r="G2912">
        <v>6</v>
      </c>
      <c r="H2912">
        <f t="shared" si="270"/>
        <v>3104.82</v>
      </c>
      <c r="I2912">
        <f t="shared" si="274"/>
        <v>1868.16</v>
      </c>
      <c r="J2912">
        <f t="shared" si="271"/>
        <v>1236.6600000000001</v>
      </c>
      <c r="K2912" s="8">
        <f t="shared" si="272"/>
        <v>0.39830328328212267</v>
      </c>
      <c r="L2912" t="str">
        <f t="shared" si="275"/>
        <v>2022-02</v>
      </c>
      <c r="M2912">
        <f t="shared" si="273"/>
        <v>1236.6600000000001</v>
      </c>
    </row>
    <row r="2913" spans="1:13" x14ac:dyDescent="0.25">
      <c r="A2913" s="1">
        <v>44905</v>
      </c>
      <c r="B2913" t="s">
        <v>22</v>
      </c>
      <c r="C2913" t="s">
        <v>8</v>
      </c>
      <c r="D2913" t="s">
        <v>9</v>
      </c>
      <c r="E2913">
        <v>765.59</v>
      </c>
      <c r="F2913">
        <v>445.24</v>
      </c>
      <c r="G2913">
        <v>6</v>
      </c>
      <c r="H2913">
        <f t="shared" si="270"/>
        <v>4593.54</v>
      </c>
      <c r="I2913">
        <f t="shared" si="274"/>
        <v>2671.44</v>
      </c>
      <c r="J2913">
        <f t="shared" si="271"/>
        <v>1922.1</v>
      </c>
      <c r="K2913" s="8">
        <f t="shared" si="272"/>
        <v>0.4184354550085555</v>
      </c>
      <c r="L2913" t="str">
        <f t="shared" si="275"/>
        <v>2022-12</v>
      </c>
      <c r="M2913">
        <f t="shared" si="273"/>
        <v>1922.1</v>
      </c>
    </row>
    <row r="2914" spans="1:13" x14ac:dyDescent="0.25">
      <c r="A2914" s="1">
        <v>44723</v>
      </c>
      <c r="B2914" t="s">
        <v>14</v>
      </c>
      <c r="C2914" t="s">
        <v>15</v>
      </c>
      <c r="D2914" t="s">
        <v>17</v>
      </c>
      <c r="E2914">
        <v>1631.81</v>
      </c>
      <c r="F2914">
        <v>1109.1300000000001</v>
      </c>
      <c r="G2914">
        <v>9</v>
      </c>
      <c r="H2914">
        <f t="shared" si="270"/>
        <v>14686.289999999999</v>
      </c>
      <c r="I2914">
        <f t="shared" si="274"/>
        <v>9982.1700000000019</v>
      </c>
      <c r="J2914">
        <f t="shared" si="271"/>
        <v>4704.1199999999972</v>
      </c>
      <c r="K2914" s="8">
        <f t="shared" si="272"/>
        <v>0.32030689847469968</v>
      </c>
      <c r="L2914" t="str">
        <f t="shared" si="275"/>
        <v>2022-06</v>
      </c>
      <c r="M2914">
        <f t="shared" si="273"/>
        <v>4704.1199999999972</v>
      </c>
    </row>
    <row r="2915" spans="1:13" x14ac:dyDescent="0.25">
      <c r="A2915" s="1">
        <v>45218</v>
      </c>
      <c r="B2915" t="s">
        <v>7</v>
      </c>
      <c r="C2915" t="s">
        <v>8</v>
      </c>
      <c r="D2915" t="s">
        <v>13</v>
      </c>
      <c r="E2915">
        <v>1024.79</v>
      </c>
      <c r="F2915">
        <v>562.46</v>
      </c>
      <c r="G2915">
        <v>9</v>
      </c>
      <c r="H2915">
        <f t="shared" si="270"/>
        <v>9223.11</v>
      </c>
      <c r="I2915">
        <f t="shared" si="274"/>
        <v>5062.1400000000003</v>
      </c>
      <c r="J2915">
        <f t="shared" si="271"/>
        <v>4160.97</v>
      </c>
      <c r="K2915" s="8">
        <f t="shared" si="272"/>
        <v>0.4511460884669054</v>
      </c>
      <c r="L2915" t="str">
        <f t="shared" si="275"/>
        <v>2023-10</v>
      </c>
      <c r="M2915">
        <f t="shared" si="273"/>
        <v>4160.97</v>
      </c>
    </row>
    <row r="2916" spans="1:13" x14ac:dyDescent="0.25">
      <c r="A2916" s="1">
        <v>45516</v>
      </c>
      <c r="B2916" t="s">
        <v>19</v>
      </c>
      <c r="C2916" t="s">
        <v>20</v>
      </c>
      <c r="D2916" t="s">
        <v>9</v>
      </c>
      <c r="E2916">
        <v>32.270000000000003</v>
      </c>
      <c r="F2916">
        <v>24.21</v>
      </c>
      <c r="G2916">
        <v>2</v>
      </c>
      <c r="H2916">
        <f t="shared" si="270"/>
        <v>64.540000000000006</v>
      </c>
      <c r="I2916">
        <f t="shared" si="274"/>
        <v>48.42</v>
      </c>
      <c r="J2916">
        <f t="shared" si="271"/>
        <v>16.120000000000005</v>
      </c>
      <c r="K2916" s="8">
        <f t="shared" si="272"/>
        <v>0.24976758599318258</v>
      </c>
      <c r="L2916" t="str">
        <f t="shared" si="275"/>
        <v>2024-08</v>
      </c>
      <c r="M2916">
        <f t="shared" si="273"/>
        <v>16.120000000000005</v>
      </c>
    </row>
    <row r="2917" spans="1:13" x14ac:dyDescent="0.25">
      <c r="A2917" s="1">
        <v>45118</v>
      </c>
      <c r="B2917" t="s">
        <v>24</v>
      </c>
      <c r="C2917" t="s">
        <v>20</v>
      </c>
      <c r="D2917" t="s">
        <v>18</v>
      </c>
      <c r="E2917">
        <v>1119.8</v>
      </c>
      <c r="F2917">
        <v>922.3</v>
      </c>
      <c r="G2917">
        <v>1</v>
      </c>
      <c r="H2917">
        <f t="shared" si="270"/>
        <v>1119.8</v>
      </c>
      <c r="I2917">
        <f t="shared" si="274"/>
        <v>922.3</v>
      </c>
      <c r="J2917">
        <f t="shared" si="271"/>
        <v>197.5</v>
      </c>
      <c r="K2917" s="8">
        <f t="shared" si="272"/>
        <v>0.17637078049651725</v>
      </c>
      <c r="L2917" t="str">
        <f t="shared" si="275"/>
        <v>2023-07</v>
      </c>
      <c r="M2917">
        <f t="shared" si="273"/>
        <v>197.5</v>
      </c>
    </row>
    <row r="2918" spans="1:13" x14ac:dyDescent="0.25">
      <c r="A2918" s="1">
        <v>45502</v>
      </c>
      <c r="B2918" t="s">
        <v>12</v>
      </c>
      <c r="C2918" t="s">
        <v>8</v>
      </c>
      <c r="D2918" t="s">
        <v>17</v>
      </c>
      <c r="E2918">
        <v>1177.57</v>
      </c>
      <c r="F2918">
        <v>1029.32</v>
      </c>
      <c r="G2918">
        <v>3</v>
      </c>
      <c r="H2918">
        <f t="shared" si="270"/>
        <v>3532.71</v>
      </c>
      <c r="I2918">
        <f t="shared" si="274"/>
        <v>3087.96</v>
      </c>
      <c r="J2918">
        <f t="shared" si="271"/>
        <v>444.75</v>
      </c>
      <c r="K2918" s="8">
        <f t="shared" si="272"/>
        <v>0.12589485126149613</v>
      </c>
      <c r="L2918" t="str">
        <f t="shared" si="275"/>
        <v>2024-07</v>
      </c>
      <c r="M2918">
        <f t="shared" si="273"/>
        <v>444.75</v>
      </c>
    </row>
    <row r="2919" spans="1:13" x14ac:dyDescent="0.25">
      <c r="A2919" s="1">
        <v>45568</v>
      </c>
      <c r="B2919" t="s">
        <v>25</v>
      </c>
      <c r="C2919" t="s">
        <v>15</v>
      </c>
      <c r="D2919" t="s">
        <v>9</v>
      </c>
      <c r="E2919">
        <v>115.2</v>
      </c>
      <c r="F2919">
        <v>93.27</v>
      </c>
      <c r="G2919">
        <v>3</v>
      </c>
      <c r="H2919">
        <f t="shared" si="270"/>
        <v>345.6</v>
      </c>
      <c r="I2919">
        <f t="shared" si="274"/>
        <v>279.81</v>
      </c>
      <c r="J2919">
        <f t="shared" si="271"/>
        <v>65.79000000000002</v>
      </c>
      <c r="K2919" s="8">
        <f t="shared" si="272"/>
        <v>0.19036458333333339</v>
      </c>
      <c r="L2919" t="str">
        <f t="shared" si="275"/>
        <v>2024-10</v>
      </c>
      <c r="M2919">
        <f t="shared" si="273"/>
        <v>65.79000000000002</v>
      </c>
    </row>
    <row r="2920" spans="1:13" x14ac:dyDescent="0.25">
      <c r="A2920" s="1">
        <v>45407</v>
      </c>
      <c r="B2920" t="s">
        <v>7</v>
      </c>
      <c r="C2920" t="s">
        <v>8</v>
      </c>
      <c r="D2920" t="s">
        <v>17</v>
      </c>
      <c r="E2920">
        <v>1765.68</v>
      </c>
      <c r="F2920">
        <v>1563.7</v>
      </c>
      <c r="G2920">
        <v>1</v>
      </c>
      <c r="H2920">
        <f t="shared" si="270"/>
        <v>1765.68</v>
      </c>
      <c r="I2920">
        <f t="shared" si="274"/>
        <v>1563.7</v>
      </c>
      <c r="J2920">
        <f t="shared" si="271"/>
        <v>201.98000000000002</v>
      </c>
      <c r="K2920" s="8">
        <f t="shared" si="272"/>
        <v>0.11439218884509085</v>
      </c>
      <c r="L2920" t="str">
        <f t="shared" si="275"/>
        <v>2024-04</v>
      </c>
      <c r="M2920">
        <f t="shared" si="273"/>
        <v>201.98000000000002</v>
      </c>
    </row>
    <row r="2921" spans="1:13" x14ac:dyDescent="0.25">
      <c r="A2921" s="1">
        <v>45003</v>
      </c>
      <c r="B2921" t="s">
        <v>14</v>
      </c>
      <c r="C2921" t="s">
        <v>15</v>
      </c>
      <c r="D2921" t="s">
        <v>13</v>
      </c>
      <c r="E2921">
        <v>855.77</v>
      </c>
      <c r="F2921">
        <v>769.4</v>
      </c>
      <c r="G2921">
        <v>4</v>
      </c>
      <c r="H2921">
        <f t="shared" si="270"/>
        <v>3423.08</v>
      </c>
      <c r="I2921">
        <f t="shared" si="274"/>
        <v>3077.6</v>
      </c>
      <c r="J2921">
        <f t="shared" si="271"/>
        <v>345.48</v>
      </c>
      <c r="K2921" s="8">
        <f t="shared" si="272"/>
        <v>0.10092665085244867</v>
      </c>
      <c r="L2921" t="str">
        <f t="shared" si="275"/>
        <v>2023-03</v>
      </c>
      <c r="M2921">
        <f t="shared" si="273"/>
        <v>345.48</v>
      </c>
    </row>
    <row r="2922" spans="1:13" x14ac:dyDescent="0.25">
      <c r="A2922" s="1">
        <v>45012</v>
      </c>
      <c r="B2922" t="s">
        <v>14</v>
      </c>
      <c r="C2922" t="s">
        <v>15</v>
      </c>
      <c r="D2922" t="s">
        <v>9</v>
      </c>
      <c r="E2922">
        <v>1467.09</v>
      </c>
      <c r="F2922">
        <v>786</v>
      </c>
      <c r="G2922">
        <v>8</v>
      </c>
      <c r="H2922">
        <f t="shared" si="270"/>
        <v>11736.72</v>
      </c>
      <c r="I2922">
        <f t="shared" si="274"/>
        <v>6288</v>
      </c>
      <c r="J2922">
        <f t="shared" si="271"/>
        <v>5448.7199999999993</v>
      </c>
      <c r="K2922" s="8">
        <f t="shared" si="272"/>
        <v>0.4642455473079361</v>
      </c>
      <c r="L2922" t="str">
        <f t="shared" si="275"/>
        <v>2023-03</v>
      </c>
      <c r="M2922">
        <f t="shared" si="273"/>
        <v>5448.7199999999993</v>
      </c>
    </row>
    <row r="2923" spans="1:13" x14ac:dyDescent="0.25">
      <c r="A2923" s="1">
        <v>44593</v>
      </c>
      <c r="B2923" t="s">
        <v>22</v>
      </c>
      <c r="C2923" t="s">
        <v>8</v>
      </c>
      <c r="D2923" t="s">
        <v>9</v>
      </c>
      <c r="E2923">
        <v>305.24</v>
      </c>
      <c r="F2923">
        <v>196.74</v>
      </c>
      <c r="G2923">
        <v>5</v>
      </c>
      <c r="H2923">
        <f t="shared" si="270"/>
        <v>1526.2</v>
      </c>
      <c r="I2923">
        <f t="shared" si="274"/>
        <v>983.7</v>
      </c>
      <c r="J2923">
        <f t="shared" si="271"/>
        <v>542.5</v>
      </c>
      <c r="K2923" s="8">
        <f t="shared" si="272"/>
        <v>0.35545800026208885</v>
      </c>
      <c r="L2923" t="str">
        <f t="shared" si="275"/>
        <v>2022-02</v>
      </c>
      <c r="M2923">
        <f t="shared" si="273"/>
        <v>542.5</v>
      </c>
    </row>
    <row r="2924" spans="1:13" x14ac:dyDescent="0.25">
      <c r="A2924" s="1">
        <v>45287</v>
      </c>
      <c r="B2924" t="s">
        <v>22</v>
      </c>
      <c r="C2924" t="s">
        <v>8</v>
      </c>
      <c r="D2924" t="s">
        <v>18</v>
      </c>
      <c r="E2924">
        <v>1306.2</v>
      </c>
      <c r="F2924">
        <v>1097.76</v>
      </c>
      <c r="G2924">
        <v>7</v>
      </c>
      <c r="H2924">
        <f t="shared" si="270"/>
        <v>9143.4</v>
      </c>
      <c r="I2924">
        <f t="shared" si="274"/>
        <v>7684.32</v>
      </c>
      <c r="J2924">
        <f t="shared" si="271"/>
        <v>1459.08</v>
      </c>
      <c r="K2924" s="8">
        <f t="shared" si="272"/>
        <v>0.15957740009186955</v>
      </c>
      <c r="L2924" t="str">
        <f t="shared" si="275"/>
        <v>2023-12</v>
      </c>
      <c r="M2924">
        <f t="shared" si="273"/>
        <v>1459.08</v>
      </c>
    </row>
    <row r="2925" spans="1:13" x14ac:dyDescent="0.25">
      <c r="A2925" s="1">
        <v>44665</v>
      </c>
      <c r="B2925" t="s">
        <v>19</v>
      </c>
      <c r="C2925" t="s">
        <v>20</v>
      </c>
      <c r="D2925" t="s">
        <v>18</v>
      </c>
      <c r="E2925">
        <v>1762.44</v>
      </c>
      <c r="F2925">
        <v>1176.1300000000001</v>
      </c>
      <c r="G2925">
        <v>6</v>
      </c>
      <c r="H2925">
        <f t="shared" si="270"/>
        <v>10574.64</v>
      </c>
      <c r="I2925">
        <f t="shared" si="274"/>
        <v>7056.7800000000007</v>
      </c>
      <c r="J2925">
        <f t="shared" si="271"/>
        <v>3517.8599999999988</v>
      </c>
      <c r="K2925" s="8">
        <f t="shared" si="272"/>
        <v>0.33266948094686899</v>
      </c>
      <c r="L2925" t="str">
        <f t="shared" si="275"/>
        <v>2022-04</v>
      </c>
      <c r="M2925">
        <f t="shared" si="273"/>
        <v>3517.8599999999988</v>
      </c>
    </row>
    <row r="2926" spans="1:13" x14ac:dyDescent="0.25">
      <c r="A2926" s="1">
        <v>44868</v>
      </c>
      <c r="B2926" t="s">
        <v>25</v>
      </c>
      <c r="C2926" t="s">
        <v>15</v>
      </c>
      <c r="D2926" t="s">
        <v>9</v>
      </c>
      <c r="E2926">
        <v>317.47000000000003</v>
      </c>
      <c r="F2926">
        <v>261.48</v>
      </c>
      <c r="G2926">
        <v>7</v>
      </c>
      <c r="H2926">
        <f t="shared" si="270"/>
        <v>2222.29</v>
      </c>
      <c r="I2926">
        <f t="shared" si="274"/>
        <v>1830.3600000000001</v>
      </c>
      <c r="J2926">
        <f t="shared" si="271"/>
        <v>391.92999999999984</v>
      </c>
      <c r="K2926" s="8">
        <f t="shared" si="272"/>
        <v>0.17636312092481171</v>
      </c>
      <c r="L2926" t="str">
        <f t="shared" si="275"/>
        <v>2022-11</v>
      </c>
      <c r="M2926">
        <f t="shared" si="273"/>
        <v>391.92999999999984</v>
      </c>
    </row>
    <row r="2927" spans="1:13" x14ac:dyDescent="0.25">
      <c r="A2927" s="1">
        <v>44587</v>
      </c>
      <c r="B2927" t="s">
        <v>16</v>
      </c>
      <c r="C2927" t="s">
        <v>15</v>
      </c>
      <c r="D2927" t="s">
        <v>18</v>
      </c>
      <c r="E2927">
        <v>541.66999999999996</v>
      </c>
      <c r="F2927">
        <v>286.8</v>
      </c>
      <c r="G2927">
        <v>3</v>
      </c>
      <c r="H2927">
        <f t="shared" si="270"/>
        <v>1625.0099999999998</v>
      </c>
      <c r="I2927">
        <f t="shared" si="274"/>
        <v>860.40000000000009</v>
      </c>
      <c r="J2927">
        <f t="shared" si="271"/>
        <v>764.60999999999967</v>
      </c>
      <c r="K2927" s="8">
        <f t="shared" si="272"/>
        <v>0.47052633522255233</v>
      </c>
      <c r="L2927" t="str">
        <f t="shared" si="275"/>
        <v>2022-01</v>
      </c>
      <c r="M2927">
        <f t="shared" si="273"/>
        <v>764.60999999999967</v>
      </c>
    </row>
    <row r="2928" spans="1:13" x14ac:dyDescent="0.25">
      <c r="A2928" s="1">
        <v>45484</v>
      </c>
      <c r="B2928" t="s">
        <v>23</v>
      </c>
      <c r="C2928" t="s">
        <v>11</v>
      </c>
      <c r="D2928" t="s">
        <v>13</v>
      </c>
      <c r="E2928">
        <v>724.81</v>
      </c>
      <c r="F2928">
        <v>518.96</v>
      </c>
      <c r="G2928">
        <v>5</v>
      </c>
      <c r="H2928">
        <f t="shared" si="270"/>
        <v>3624.0499999999997</v>
      </c>
      <c r="I2928">
        <f t="shared" si="274"/>
        <v>2594.8000000000002</v>
      </c>
      <c r="J2928">
        <f t="shared" si="271"/>
        <v>1029.2499999999995</v>
      </c>
      <c r="K2928" s="8">
        <f t="shared" si="272"/>
        <v>0.28400546350077943</v>
      </c>
      <c r="L2928" t="str">
        <f t="shared" si="275"/>
        <v>2024-07</v>
      </c>
      <c r="M2928">
        <f t="shared" si="273"/>
        <v>1029.2499999999995</v>
      </c>
    </row>
    <row r="2929" spans="1:13" x14ac:dyDescent="0.25">
      <c r="A2929" s="1">
        <v>45559</v>
      </c>
      <c r="B2929" t="s">
        <v>22</v>
      </c>
      <c r="C2929" t="s">
        <v>8</v>
      </c>
      <c r="D2929" t="s">
        <v>17</v>
      </c>
      <c r="E2929">
        <v>660.39</v>
      </c>
      <c r="F2929">
        <v>400.47</v>
      </c>
      <c r="G2929">
        <v>9</v>
      </c>
      <c r="H2929">
        <f t="shared" si="270"/>
        <v>5943.51</v>
      </c>
      <c r="I2929">
        <f t="shared" si="274"/>
        <v>3604.2300000000005</v>
      </c>
      <c r="J2929">
        <f t="shared" si="271"/>
        <v>2339.2799999999997</v>
      </c>
      <c r="K2929" s="8">
        <f t="shared" si="272"/>
        <v>0.39358560850406571</v>
      </c>
      <c r="L2929" t="str">
        <f t="shared" si="275"/>
        <v>2024-09</v>
      </c>
      <c r="M2929">
        <f t="shared" si="273"/>
        <v>2339.2799999999997</v>
      </c>
    </row>
    <row r="2930" spans="1:13" x14ac:dyDescent="0.25">
      <c r="A2930" s="1">
        <v>45195</v>
      </c>
      <c r="B2930" t="s">
        <v>25</v>
      </c>
      <c r="C2930" t="s">
        <v>15</v>
      </c>
      <c r="D2930" t="s">
        <v>13</v>
      </c>
      <c r="E2930">
        <v>1106.9000000000001</v>
      </c>
      <c r="F2930">
        <v>873.78</v>
      </c>
      <c r="G2930">
        <v>4</v>
      </c>
      <c r="H2930">
        <f t="shared" si="270"/>
        <v>4427.6000000000004</v>
      </c>
      <c r="I2930">
        <f t="shared" si="274"/>
        <v>3495.12</v>
      </c>
      <c r="J2930">
        <f t="shared" si="271"/>
        <v>932.48000000000047</v>
      </c>
      <c r="K2930" s="8">
        <f t="shared" si="272"/>
        <v>0.21060619748848144</v>
      </c>
      <c r="L2930" t="str">
        <f t="shared" si="275"/>
        <v>2023-09</v>
      </c>
      <c r="M2930">
        <f t="shared" si="273"/>
        <v>932.48000000000047</v>
      </c>
    </row>
    <row r="2931" spans="1:13" x14ac:dyDescent="0.25">
      <c r="A2931" s="1">
        <v>45454</v>
      </c>
      <c r="B2931" t="s">
        <v>24</v>
      </c>
      <c r="C2931" t="s">
        <v>20</v>
      </c>
      <c r="D2931" t="s">
        <v>17</v>
      </c>
      <c r="E2931">
        <v>1660.4</v>
      </c>
      <c r="F2931">
        <v>1123.53</v>
      </c>
      <c r="G2931">
        <v>1</v>
      </c>
      <c r="H2931">
        <f t="shared" si="270"/>
        <v>1660.4</v>
      </c>
      <c r="I2931">
        <f t="shared" si="274"/>
        <v>1123.53</v>
      </c>
      <c r="J2931">
        <f t="shared" si="271"/>
        <v>536.87000000000012</v>
      </c>
      <c r="K2931" s="8">
        <f t="shared" si="272"/>
        <v>0.3233377499397736</v>
      </c>
      <c r="L2931" t="str">
        <f t="shared" si="275"/>
        <v>2024-06</v>
      </c>
      <c r="M2931">
        <f t="shared" si="273"/>
        <v>536.87000000000012</v>
      </c>
    </row>
    <row r="2932" spans="1:13" x14ac:dyDescent="0.25">
      <c r="A2932" s="1">
        <v>45578</v>
      </c>
      <c r="B2932" t="s">
        <v>14</v>
      </c>
      <c r="C2932" t="s">
        <v>15</v>
      </c>
      <c r="D2932" t="s">
        <v>18</v>
      </c>
      <c r="E2932">
        <v>1590.28</v>
      </c>
      <c r="F2932">
        <v>1048.22</v>
      </c>
      <c r="G2932">
        <v>4</v>
      </c>
      <c r="H2932">
        <f t="shared" si="270"/>
        <v>6361.12</v>
      </c>
      <c r="I2932">
        <f t="shared" si="274"/>
        <v>4192.88</v>
      </c>
      <c r="J2932">
        <f t="shared" si="271"/>
        <v>2168.2399999999998</v>
      </c>
      <c r="K2932" s="8">
        <f t="shared" si="272"/>
        <v>0.34085821364791102</v>
      </c>
      <c r="L2932" t="str">
        <f t="shared" si="275"/>
        <v>2024-10</v>
      </c>
      <c r="M2932">
        <f t="shared" si="273"/>
        <v>2168.2399999999998</v>
      </c>
    </row>
    <row r="2933" spans="1:13" x14ac:dyDescent="0.25">
      <c r="A2933" s="1">
        <v>44865</v>
      </c>
      <c r="B2933" t="s">
        <v>23</v>
      </c>
      <c r="C2933" t="s">
        <v>11</v>
      </c>
      <c r="D2933" t="s">
        <v>18</v>
      </c>
      <c r="E2933">
        <v>1070.0899999999999</v>
      </c>
      <c r="F2933">
        <v>691.81</v>
      </c>
      <c r="G2933">
        <v>8</v>
      </c>
      <c r="H2933">
        <f t="shared" si="270"/>
        <v>8560.7199999999993</v>
      </c>
      <c r="I2933">
        <f t="shared" si="274"/>
        <v>5534.48</v>
      </c>
      <c r="J2933">
        <f t="shared" si="271"/>
        <v>3026.24</v>
      </c>
      <c r="K2933" s="8">
        <f t="shared" si="272"/>
        <v>0.35350297638516387</v>
      </c>
      <c r="L2933" t="str">
        <f t="shared" si="275"/>
        <v>2022-10</v>
      </c>
      <c r="M2933">
        <f t="shared" si="273"/>
        <v>3026.24</v>
      </c>
    </row>
    <row r="2934" spans="1:13" x14ac:dyDescent="0.25">
      <c r="A2934" s="1">
        <v>45511</v>
      </c>
      <c r="B2934" t="s">
        <v>21</v>
      </c>
      <c r="C2934" t="s">
        <v>20</v>
      </c>
      <c r="D2934" t="s">
        <v>9</v>
      </c>
      <c r="E2934">
        <v>1226.98</v>
      </c>
      <c r="F2934">
        <v>985.93</v>
      </c>
      <c r="G2934">
        <v>1</v>
      </c>
      <c r="H2934">
        <f t="shared" si="270"/>
        <v>1226.98</v>
      </c>
      <c r="I2934">
        <f t="shared" si="274"/>
        <v>985.93</v>
      </c>
      <c r="J2934">
        <f t="shared" si="271"/>
        <v>241.05000000000007</v>
      </c>
      <c r="K2934" s="8">
        <f t="shared" si="272"/>
        <v>0.19645796997506076</v>
      </c>
      <c r="L2934" t="str">
        <f t="shared" si="275"/>
        <v>2024-08</v>
      </c>
      <c r="M2934">
        <f t="shared" si="273"/>
        <v>241.05000000000007</v>
      </c>
    </row>
    <row r="2935" spans="1:13" x14ac:dyDescent="0.25">
      <c r="A2935" s="1">
        <v>45509</v>
      </c>
      <c r="B2935" t="s">
        <v>23</v>
      </c>
      <c r="C2935" t="s">
        <v>11</v>
      </c>
      <c r="D2935" t="s">
        <v>17</v>
      </c>
      <c r="E2935">
        <v>173.97</v>
      </c>
      <c r="F2935">
        <v>122.96</v>
      </c>
      <c r="G2935">
        <v>5</v>
      </c>
      <c r="H2935">
        <f t="shared" si="270"/>
        <v>869.85</v>
      </c>
      <c r="I2935">
        <f t="shared" si="274"/>
        <v>614.79999999999995</v>
      </c>
      <c r="J2935">
        <f t="shared" si="271"/>
        <v>255.05000000000007</v>
      </c>
      <c r="K2935" s="8">
        <f t="shared" si="272"/>
        <v>0.29321147324251312</v>
      </c>
      <c r="L2935" t="str">
        <f t="shared" si="275"/>
        <v>2024-08</v>
      </c>
      <c r="M2935">
        <f t="shared" si="273"/>
        <v>255.05000000000007</v>
      </c>
    </row>
    <row r="2936" spans="1:13" x14ac:dyDescent="0.25">
      <c r="A2936" s="1">
        <v>45496</v>
      </c>
      <c r="B2936" t="s">
        <v>16</v>
      </c>
      <c r="C2936" t="s">
        <v>15</v>
      </c>
      <c r="D2936" t="s">
        <v>13</v>
      </c>
      <c r="E2936">
        <v>1478.14</v>
      </c>
      <c r="F2936">
        <v>1102.6400000000001</v>
      </c>
      <c r="G2936">
        <v>3</v>
      </c>
      <c r="H2936">
        <f t="shared" si="270"/>
        <v>4434.42</v>
      </c>
      <c r="I2936">
        <f t="shared" si="274"/>
        <v>3307.92</v>
      </c>
      <c r="J2936">
        <f t="shared" si="271"/>
        <v>1126.5</v>
      </c>
      <c r="K2936" s="8">
        <f t="shared" si="272"/>
        <v>0.25403547701841506</v>
      </c>
      <c r="L2936" t="str">
        <f t="shared" si="275"/>
        <v>2024-07</v>
      </c>
      <c r="M2936">
        <f t="shared" si="273"/>
        <v>1126.5</v>
      </c>
    </row>
    <row r="2937" spans="1:13" x14ac:dyDescent="0.25">
      <c r="A2937" s="1">
        <v>45484</v>
      </c>
      <c r="B2937" t="s">
        <v>16</v>
      </c>
      <c r="C2937" t="s">
        <v>15</v>
      </c>
      <c r="D2937" t="s">
        <v>18</v>
      </c>
      <c r="E2937">
        <v>86.45</v>
      </c>
      <c r="F2937">
        <v>69.540000000000006</v>
      </c>
      <c r="G2937">
        <v>4</v>
      </c>
      <c r="H2937">
        <f t="shared" si="270"/>
        <v>345.8</v>
      </c>
      <c r="I2937">
        <f t="shared" si="274"/>
        <v>278.16000000000003</v>
      </c>
      <c r="J2937">
        <f t="shared" si="271"/>
        <v>67.639999999999986</v>
      </c>
      <c r="K2937" s="8">
        <f t="shared" si="272"/>
        <v>0.19560439560439555</v>
      </c>
      <c r="L2937" t="str">
        <f t="shared" si="275"/>
        <v>2024-07</v>
      </c>
      <c r="M2937">
        <f t="shared" si="273"/>
        <v>67.639999999999986</v>
      </c>
    </row>
    <row r="2938" spans="1:13" x14ac:dyDescent="0.25">
      <c r="A2938" s="1">
        <v>45034</v>
      </c>
      <c r="B2938" t="s">
        <v>7</v>
      </c>
      <c r="C2938" t="s">
        <v>8</v>
      </c>
      <c r="D2938" t="s">
        <v>9</v>
      </c>
      <c r="E2938">
        <v>886.63</v>
      </c>
      <c r="F2938">
        <v>785.39</v>
      </c>
      <c r="G2938">
        <v>1</v>
      </c>
      <c r="H2938">
        <f t="shared" si="270"/>
        <v>886.63</v>
      </c>
      <c r="I2938">
        <f t="shared" si="274"/>
        <v>785.39</v>
      </c>
      <c r="J2938">
        <f t="shared" si="271"/>
        <v>101.24000000000001</v>
      </c>
      <c r="K2938" s="8">
        <f t="shared" si="272"/>
        <v>0.11418517307106686</v>
      </c>
      <c r="L2938" t="str">
        <f t="shared" si="275"/>
        <v>2023-04</v>
      </c>
      <c r="M2938">
        <f t="shared" si="273"/>
        <v>101.24000000000001</v>
      </c>
    </row>
    <row r="2939" spans="1:13" x14ac:dyDescent="0.25">
      <c r="A2939" s="1">
        <v>45175</v>
      </c>
      <c r="B2939" t="s">
        <v>21</v>
      </c>
      <c r="C2939" t="s">
        <v>20</v>
      </c>
      <c r="D2939" t="s">
        <v>13</v>
      </c>
      <c r="E2939">
        <v>1749.47</v>
      </c>
      <c r="F2939">
        <v>1521.68</v>
      </c>
      <c r="G2939">
        <v>9</v>
      </c>
      <c r="H2939">
        <f t="shared" si="270"/>
        <v>15745.23</v>
      </c>
      <c r="I2939">
        <f t="shared" si="274"/>
        <v>13695.12</v>
      </c>
      <c r="J2939">
        <f t="shared" si="271"/>
        <v>2050.1099999999988</v>
      </c>
      <c r="K2939" s="8">
        <f t="shared" si="272"/>
        <v>0.13020514784477577</v>
      </c>
      <c r="L2939" t="str">
        <f t="shared" si="275"/>
        <v>2023-09</v>
      </c>
      <c r="M2939">
        <f t="shared" si="273"/>
        <v>2050.1099999999988</v>
      </c>
    </row>
    <row r="2940" spans="1:13" x14ac:dyDescent="0.25">
      <c r="A2940" s="1">
        <v>45436</v>
      </c>
      <c r="B2940" t="s">
        <v>22</v>
      </c>
      <c r="C2940" t="s">
        <v>8</v>
      </c>
      <c r="D2940" t="s">
        <v>18</v>
      </c>
      <c r="E2940">
        <v>1558.43</v>
      </c>
      <c r="F2940">
        <v>1239.81</v>
      </c>
      <c r="G2940">
        <v>3</v>
      </c>
      <c r="H2940">
        <f t="shared" si="270"/>
        <v>4675.29</v>
      </c>
      <c r="I2940">
        <f t="shared" si="274"/>
        <v>3719.43</v>
      </c>
      <c r="J2940">
        <f t="shared" si="271"/>
        <v>955.86000000000013</v>
      </c>
      <c r="K2940" s="8">
        <f t="shared" si="272"/>
        <v>0.20444934966601006</v>
      </c>
      <c r="L2940" t="str">
        <f t="shared" si="275"/>
        <v>2024-05</v>
      </c>
      <c r="M2940">
        <f t="shared" si="273"/>
        <v>955.86000000000013</v>
      </c>
    </row>
    <row r="2941" spans="1:13" x14ac:dyDescent="0.25">
      <c r="A2941" s="1">
        <v>44593</v>
      </c>
      <c r="B2941" t="s">
        <v>10</v>
      </c>
      <c r="C2941" t="s">
        <v>11</v>
      </c>
      <c r="D2941" t="s">
        <v>17</v>
      </c>
      <c r="E2941">
        <v>743.16</v>
      </c>
      <c r="F2941">
        <v>492.21</v>
      </c>
      <c r="G2941">
        <v>1</v>
      </c>
      <c r="H2941">
        <f t="shared" si="270"/>
        <v>743.16</v>
      </c>
      <c r="I2941">
        <f t="shared" si="274"/>
        <v>492.21</v>
      </c>
      <c r="J2941">
        <f t="shared" si="271"/>
        <v>250.95</v>
      </c>
      <c r="K2941" s="8">
        <f t="shared" si="272"/>
        <v>0.33767963830130793</v>
      </c>
      <c r="L2941" t="str">
        <f t="shared" si="275"/>
        <v>2022-02</v>
      </c>
      <c r="M2941">
        <f t="shared" si="273"/>
        <v>250.95</v>
      </c>
    </row>
    <row r="2942" spans="1:13" x14ac:dyDescent="0.25">
      <c r="A2942" s="1">
        <v>45493</v>
      </c>
      <c r="B2942" t="s">
        <v>14</v>
      </c>
      <c r="C2942" t="s">
        <v>15</v>
      </c>
      <c r="D2942" t="s">
        <v>9</v>
      </c>
      <c r="E2942">
        <v>1729.16</v>
      </c>
      <c r="F2942">
        <v>874.39</v>
      </c>
      <c r="G2942">
        <v>1</v>
      </c>
      <c r="H2942">
        <f t="shared" si="270"/>
        <v>1729.16</v>
      </c>
      <c r="I2942">
        <f t="shared" si="274"/>
        <v>874.39</v>
      </c>
      <c r="J2942">
        <f t="shared" si="271"/>
        <v>854.7700000000001</v>
      </c>
      <c r="K2942" s="8">
        <f t="shared" si="272"/>
        <v>0.4943267251150848</v>
      </c>
      <c r="L2942" t="str">
        <f t="shared" si="275"/>
        <v>2024-07</v>
      </c>
      <c r="M2942">
        <f t="shared" si="273"/>
        <v>854.7700000000001</v>
      </c>
    </row>
    <row r="2943" spans="1:13" x14ac:dyDescent="0.25">
      <c r="A2943" s="1">
        <v>44867</v>
      </c>
      <c r="B2943" t="s">
        <v>19</v>
      </c>
      <c r="C2943" t="s">
        <v>20</v>
      </c>
      <c r="D2943" t="s">
        <v>9</v>
      </c>
      <c r="E2943">
        <v>819.48</v>
      </c>
      <c r="F2943">
        <v>571.84</v>
      </c>
      <c r="G2943">
        <v>10</v>
      </c>
      <c r="H2943">
        <f t="shared" si="270"/>
        <v>8194.7999999999993</v>
      </c>
      <c r="I2943">
        <f t="shared" si="274"/>
        <v>5718.4000000000005</v>
      </c>
      <c r="J2943">
        <f t="shared" si="271"/>
        <v>2476.3999999999987</v>
      </c>
      <c r="K2943" s="8">
        <f t="shared" si="272"/>
        <v>0.30219163371894359</v>
      </c>
      <c r="L2943" t="str">
        <f t="shared" si="275"/>
        <v>2022-11</v>
      </c>
      <c r="M2943">
        <f t="shared" si="273"/>
        <v>2476.3999999999987</v>
      </c>
    </row>
    <row r="2944" spans="1:13" x14ac:dyDescent="0.25">
      <c r="A2944" s="1">
        <v>44954</v>
      </c>
      <c r="B2944" t="s">
        <v>10</v>
      </c>
      <c r="C2944" t="s">
        <v>11</v>
      </c>
      <c r="D2944" t="s">
        <v>18</v>
      </c>
      <c r="E2944">
        <v>834.86</v>
      </c>
      <c r="F2944">
        <v>540.80999999999995</v>
      </c>
      <c r="G2944">
        <v>10</v>
      </c>
      <c r="H2944">
        <f t="shared" si="270"/>
        <v>8348.6</v>
      </c>
      <c r="I2944">
        <f t="shared" si="274"/>
        <v>5408.0999999999995</v>
      </c>
      <c r="J2944">
        <f t="shared" si="271"/>
        <v>2940.5000000000009</v>
      </c>
      <c r="K2944" s="8">
        <f t="shared" si="272"/>
        <v>0.35221474259157232</v>
      </c>
      <c r="L2944" t="str">
        <f t="shared" si="275"/>
        <v>2023-01</v>
      </c>
      <c r="M2944">
        <f t="shared" si="273"/>
        <v>2940.5000000000009</v>
      </c>
    </row>
    <row r="2945" spans="1:13" x14ac:dyDescent="0.25">
      <c r="A2945" s="1">
        <v>45299</v>
      </c>
      <c r="B2945" t="s">
        <v>19</v>
      </c>
      <c r="C2945" t="s">
        <v>20</v>
      </c>
      <c r="D2945" t="s">
        <v>18</v>
      </c>
      <c r="E2945">
        <v>846.04</v>
      </c>
      <c r="F2945">
        <v>628.16999999999996</v>
      </c>
      <c r="G2945">
        <v>4</v>
      </c>
      <c r="H2945">
        <f t="shared" si="270"/>
        <v>3384.16</v>
      </c>
      <c r="I2945">
        <f t="shared" si="274"/>
        <v>2512.6799999999998</v>
      </c>
      <c r="J2945">
        <f t="shared" si="271"/>
        <v>871.48</v>
      </c>
      <c r="K2945" s="8">
        <f t="shared" si="272"/>
        <v>0.25751737506500877</v>
      </c>
      <c r="L2945" t="str">
        <f t="shared" si="275"/>
        <v>2024-01</v>
      </c>
      <c r="M2945">
        <f t="shared" si="273"/>
        <v>871.48</v>
      </c>
    </row>
    <row r="2946" spans="1:13" x14ac:dyDescent="0.25">
      <c r="A2946" s="1">
        <v>45533</v>
      </c>
      <c r="B2946" t="s">
        <v>14</v>
      </c>
      <c r="C2946" t="s">
        <v>15</v>
      </c>
      <c r="D2946" t="s">
        <v>18</v>
      </c>
      <c r="E2946">
        <v>931.96</v>
      </c>
      <c r="F2946">
        <v>814.65</v>
      </c>
      <c r="G2946">
        <v>4</v>
      </c>
      <c r="H2946">
        <f t="shared" si="270"/>
        <v>3727.84</v>
      </c>
      <c r="I2946">
        <f t="shared" si="274"/>
        <v>3258.6</v>
      </c>
      <c r="J2946">
        <f t="shared" si="271"/>
        <v>469.24000000000024</v>
      </c>
      <c r="K2946" s="8">
        <f t="shared" si="272"/>
        <v>0.12587450105154732</v>
      </c>
      <c r="L2946" t="str">
        <f t="shared" si="275"/>
        <v>2024-08</v>
      </c>
      <c r="M2946">
        <f t="shared" si="273"/>
        <v>469.24000000000024</v>
      </c>
    </row>
    <row r="2947" spans="1:13" x14ac:dyDescent="0.25">
      <c r="A2947" s="1">
        <v>44668</v>
      </c>
      <c r="B2947" t="s">
        <v>25</v>
      </c>
      <c r="C2947" t="s">
        <v>15</v>
      </c>
      <c r="D2947" t="s">
        <v>13</v>
      </c>
      <c r="E2947">
        <v>567.12</v>
      </c>
      <c r="F2947">
        <v>401.47</v>
      </c>
      <c r="G2947">
        <v>8</v>
      </c>
      <c r="H2947">
        <f t="shared" ref="H2947:H3010" si="276">E2947*G2947</f>
        <v>4536.96</v>
      </c>
      <c r="I2947">
        <f t="shared" si="274"/>
        <v>3211.76</v>
      </c>
      <c r="J2947">
        <f t="shared" ref="J2947:J3010" si="277">H2947-I2947</f>
        <v>1325.1999999999998</v>
      </c>
      <c r="K2947" s="8">
        <f t="shared" ref="K2947:K3010" si="278">(H2947-I2947)/H2947</f>
        <v>0.29208985752574407</v>
      </c>
      <c r="L2947" t="str">
        <f t="shared" si="275"/>
        <v>2022-04</v>
      </c>
      <c r="M2947">
        <f t="shared" ref="M2947:M3010" si="279">H2947-I2947</f>
        <v>1325.1999999999998</v>
      </c>
    </row>
    <row r="2948" spans="1:13" x14ac:dyDescent="0.25">
      <c r="A2948" s="1">
        <v>45244</v>
      </c>
      <c r="B2948" t="s">
        <v>25</v>
      </c>
      <c r="C2948" t="s">
        <v>15</v>
      </c>
      <c r="D2948" t="s">
        <v>17</v>
      </c>
      <c r="E2948">
        <v>1795.28</v>
      </c>
      <c r="F2948">
        <v>1153.1099999999999</v>
      </c>
      <c r="G2948">
        <v>5</v>
      </c>
      <c r="H2948">
        <f t="shared" si="276"/>
        <v>8976.4</v>
      </c>
      <c r="I2948">
        <f t="shared" ref="I2948:I3011" si="280">F2948*G2948</f>
        <v>5765.5499999999993</v>
      </c>
      <c r="J2948">
        <f t="shared" si="277"/>
        <v>3210.8500000000004</v>
      </c>
      <c r="K2948" s="8">
        <f t="shared" si="278"/>
        <v>0.357699077581213</v>
      </c>
      <c r="L2948" t="str">
        <f t="shared" ref="L2948:L3011" si="281">TEXT(A2948,"rrrr-mm")</f>
        <v>2023-11</v>
      </c>
      <c r="M2948">
        <f t="shared" si="279"/>
        <v>3210.8500000000004</v>
      </c>
    </row>
    <row r="2949" spans="1:13" x14ac:dyDescent="0.25">
      <c r="A2949" s="1">
        <v>45434</v>
      </c>
      <c r="B2949" t="s">
        <v>12</v>
      </c>
      <c r="C2949" t="s">
        <v>8</v>
      </c>
      <c r="D2949" t="s">
        <v>17</v>
      </c>
      <c r="E2949">
        <v>97.44</v>
      </c>
      <c r="F2949">
        <v>76.87</v>
      </c>
      <c r="G2949">
        <v>10</v>
      </c>
      <c r="H2949">
        <f t="shared" si="276"/>
        <v>974.4</v>
      </c>
      <c r="I2949">
        <f t="shared" si="280"/>
        <v>768.7</v>
      </c>
      <c r="J2949">
        <f t="shared" si="277"/>
        <v>205.69999999999993</v>
      </c>
      <c r="K2949" s="8">
        <f t="shared" si="278"/>
        <v>0.2111042692939244</v>
      </c>
      <c r="L2949" t="str">
        <f t="shared" si="281"/>
        <v>2024-05</v>
      </c>
      <c r="M2949">
        <f t="shared" si="279"/>
        <v>205.69999999999993</v>
      </c>
    </row>
    <row r="2950" spans="1:13" x14ac:dyDescent="0.25">
      <c r="A2950" s="1">
        <v>45049</v>
      </c>
      <c r="B2950" t="s">
        <v>24</v>
      </c>
      <c r="C2950" t="s">
        <v>20</v>
      </c>
      <c r="D2950" t="s">
        <v>18</v>
      </c>
      <c r="E2950">
        <v>970.7</v>
      </c>
      <c r="F2950">
        <v>731.64</v>
      </c>
      <c r="G2950">
        <v>8</v>
      </c>
      <c r="H2950">
        <f t="shared" si="276"/>
        <v>7765.6</v>
      </c>
      <c r="I2950">
        <f t="shared" si="280"/>
        <v>5853.12</v>
      </c>
      <c r="J2950">
        <f t="shared" si="277"/>
        <v>1912.4800000000005</v>
      </c>
      <c r="K2950" s="8">
        <f t="shared" si="278"/>
        <v>0.24627588338312562</v>
      </c>
      <c r="L2950" t="str">
        <f t="shared" si="281"/>
        <v>2023-05</v>
      </c>
      <c r="M2950">
        <f t="shared" si="279"/>
        <v>1912.4800000000005</v>
      </c>
    </row>
    <row r="2951" spans="1:13" x14ac:dyDescent="0.25">
      <c r="A2951" s="1">
        <v>44636</v>
      </c>
      <c r="B2951" t="s">
        <v>16</v>
      </c>
      <c r="C2951" t="s">
        <v>15</v>
      </c>
      <c r="D2951" t="s">
        <v>13</v>
      </c>
      <c r="E2951">
        <v>1841</v>
      </c>
      <c r="F2951">
        <v>1500.93</v>
      </c>
      <c r="G2951">
        <v>3</v>
      </c>
      <c r="H2951">
        <f t="shared" si="276"/>
        <v>5523</v>
      </c>
      <c r="I2951">
        <f t="shared" si="280"/>
        <v>4502.79</v>
      </c>
      <c r="J2951">
        <f t="shared" si="277"/>
        <v>1020.21</v>
      </c>
      <c r="K2951" s="8">
        <f t="shared" si="278"/>
        <v>0.18472026072786529</v>
      </c>
      <c r="L2951" t="str">
        <f t="shared" si="281"/>
        <v>2022-03</v>
      </c>
      <c r="M2951">
        <f t="shared" si="279"/>
        <v>1020.21</v>
      </c>
    </row>
    <row r="2952" spans="1:13" x14ac:dyDescent="0.25">
      <c r="A2952" s="1">
        <v>44806</v>
      </c>
      <c r="B2952" t="s">
        <v>24</v>
      </c>
      <c r="C2952" t="s">
        <v>20</v>
      </c>
      <c r="D2952" t="s">
        <v>9</v>
      </c>
      <c r="E2952">
        <v>1074.52</v>
      </c>
      <c r="F2952">
        <v>675.54</v>
      </c>
      <c r="G2952">
        <v>4</v>
      </c>
      <c r="H2952">
        <f t="shared" si="276"/>
        <v>4298.08</v>
      </c>
      <c r="I2952">
        <f t="shared" si="280"/>
        <v>2702.16</v>
      </c>
      <c r="J2952">
        <f t="shared" si="277"/>
        <v>1595.92</v>
      </c>
      <c r="K2952" s="8">
        <f t="shared" si="278"/>
        <v>0.37130998027026024</v>
      </c>
      <c r="L2952" t="str">
        <f t="shared" si="281"/>
        <v>2022-09</v>
      </c>
      <c r="M2952">
        <f t="shared" si="279"/>
        <v>1595.92</v>
      </c>
    </row>
    <row r="2953" spans="1:13" x14ac:dyDescent="0.25">
      <c r="A2953" s="1">
        <v>45320</v>
      </c>
      <c r="B2953" t="s">
        <v>14</v>
      </c>
      <c r="C2953" t="s">
        <v>15</v>
      </c>
      <c r="D2953" t="s">
        <v>13</v>
      </c>
      <c r="E2953">
        <v>1091.45</v>
      </c>
      <c r="F2953">
        <v>886.94</v>
      </c>
      <c r="G2953">
        <v>3</v>
      </c>
      <c r="H2953">
        <f t="shared" si="276"/>
        <v>3274.3500000000004</v>
      </c>
      <c r="I2953">
        <f t="shared" si="280"/>
        <v>2660.82</v>
      </c>
      <c r="J2953">
        <f t="shared" si="277"/>
        <v>613.5300000000002</v>
      </c>
      <c r="K2953" s="8">
        <f t="shared" si="278"/>
        <v>0.1873745934307573</v>
      </c>
      <c r="L2953" t="str">
        <f t="shared" si="281"/>
        <v>2024-01</v>
      </c>
      <c r="M2953">
        <f t="shared" si="279"/>
        <v>613.5300000000002</v>
      </c>
    </row>
    <row r="2954" spans="1:13" x14ac:dyDescent="0.25">
      <c r="A2954" s="1">
        <v>45135</v>
      </c>
      <c r="B2954" t="s">
        <v>25</v>
      </c>
      <c r="C2954" t="s">
        <v>15</v>
      </c>
      <c r="D2954" t="s">
        <v>9</v>
      </c>
      <c r="E2954">
        <v>97.75</v>
      </c>
      <c r="F2954">
        <v>57.05</v>
      </c>
      <c r="G2954">
        <v>2</v>
      </c>
      <c r="H2954">
        <f t="shared" si="276"/>
        <v>195.5</v>
      </c>
      <c r="I2954">
        <f t="shared" si="280"/>
        <v>114.1</v>
      </c>
      <c r="J2954">
        <f t="shared" si="277"/>
        <v>81.400000000000006</v>
      </c>
      <c r="K2954" s="8">
        <f t="shared" si="278"/>
        <v>0.41636828644501284</v>
      </c>
      <c r="L2954" t="str">
        <f t="shared" si="281"/>
        <v>2023-07</v>
      </c>
      <c r="M2954">
        <f t="shared" si="279"/>
        <v>81.400000000000006</v>
      </c>
    </row>
    <row r="2955" spans="1:13" x14ac:dyDescent="0.25">
      <c r="A2955" s="1">
        <v>44918</v>
      </c>
      <c r="B2955" t="s">
        <v>12</v>
      </c>
      <c r="C2955" t="s">
        <v>8</v>
      </c>
      <c r="D2955" t="s">
        <v>9</v>
      </c>
      <c r="E2955">
        <v>147.15</v>
      </c>
      <c r="F2955">
        <v>74.7</v>
      </c>
      <c r="G2955">
        <v>1</v>
      </c>
      <c r="H2955">
        <f t="shared" si="276"/>
        <v>147.15</v>
      </c>
      <c r="I2955">
        <f t="shared" si="280"/>
        <v>74.7</v>
      </c>
      <c r="J2955">
        <f t="shared" si="277"/>
        <v>72.45</v>
      </c>
      <c r="K2955" s="8">
        <f t="shared" si="278"/>
        <v>0.49235474006116209</v>
      </c>
      <c r="L2955" t="str">
        <f t="shared" si="281"/>
        <v>2022-12</v>
      </c>
      <c r="M2955">
        <f t="shared" si="279"/>
        <v>72.45</v>
      </c>
    </row>
    <row r="2956" spans="1:13" x14ac:dyDescent="0.25">
      <c r="A2956" s="1">
        <v>45478</v>
      </c>
      <c r="B2956" t="s">
        <v>10</v>
      </c>
      <c r="C2956" t="s">
        <v>11</v>
      </c>
      <c r="D2956" t="s">
        <v>9</v>
      </c>
      <c r="E2956">
        <v>615.64</v>
      </c>
      <c r="F2956">
        <v>369.45</v>
      </c>
      <c r="G2956">
        <v>5</v>
      </c>
      <c r="H2956">
        <f t="shared" si="276"/>
        <v>3078.2</v>
      </c>
      <c r="I2956">
        <f t="shared" si="280"/>
        <v>1847.25</v>
      </c>
      <c r="J2956">
        <f t="shared" si="277"/>
        <v>1230.9499999999998</v>
      </c>
      <c r="K2956" s="8">
        <f t="shared" si="278"/>
        <v>0.39989279449028647</v>
      </c>
      <c r="L2956" t="str">
        <f t="shared" si="281"/>
        <v>2024-07</v>
      </c>
      <c r="M2956">
        <f t="shared" si="279"/>
        <v>1230.9499999999998</v>
      </c>
    </row>
    <row r="2957" spans="1:13" x14ac:dyDescent="0.25">
      <c r="A2957" s="1">
        <v>44869</v>
      </c>
      <c r="B2957" t="s">
        <v>12</v>
      </c>
      <c r="C2957" t="s">
        <v>8</v>
      </c>
      <c r="D2957" t="s">
        <v>18</v>
      </c>
      <c r="E2957">
        <v>312.75</v>
      </c>
      <c r="F2957">
        <v>261.73</v>
      </c>
      <c r="G2957">
        <v>2</v>
      </c>
      <c r="H2957">
        <f t="shared" si="276"/>
        <v>625.5</v>
      </c>
      <c r="I2957">
        <f t="shared" si="280"/>
        <v>523.46</v>
      </c>
      <c r="J2957">
        <f t="shared" si="277"/>
        <v>102.03999999999996</v>
      </c>
      <c r="K2957" s="8">
        <f t="shared" si="278"/>
        <v>0.1631334932054356</v>
      </c>
      <c r="L2957" t="str">
        <f t="shared" si="281"/>
        <v>2022-11</v>
      </c>
      <c r="M2957">
        <f t="shared" si="279"/>
        <v>102.03999999999996</v>
      </c>
    </row>
    <row r="2958" spans="1:13" x14ac:dyDescent="0.25">
      <c r="A2958" s="1">
        <v>45031</v>
      </c>
      <c r="B2958" t="s">
        <v>16</v>
      </c>
      <c r="C2958" t="s">
        <v>15</v>
      </c>
      <c r="D2958" t="s">
        <v>17</v>
      </c>
      <c r="E2958">
        <v>839.99</v>
      </c>
      <c r="F2958">
        <v>620.89</v>
      </c>
      <c r="G2958">
        <v>9</v>
      </c>
      <c r="H2958">
        <f t="shared" si="276"/>
        <v>7559.91</v>
      </c>
      <c r="I2958">
        <f t="shared" si="280"/>
        <v>5588.01</v>
      </c>
      <c r="J2958">
        <f t="shared" si="277"/>
        <v>1971.8999999999996</v>
      </c>
      <c r="K2958" s="8">
        <f t="shared" si="278"/>
        <v>0.26083643852903005</v>
      </c>
      <c r="L2958" t="str">
        <f t="shared" si="281"/>
        <v>2023-04</v>
      </c>
      <c r="M2958">
        <f t="shared" si="279"/>
        <v>1971.8999999999996</v>
      </c>
    </row>
    <row r="2959" spans="1:13" x14ac:dyDescent="0.25">
      <c r="A2959" s="1">
        <v>45512</v>
      </c>
      <c r="B2959" t="s">
        <v>22</v>
      </c>
      <c r="C2959" t="s">
        <v>8</v>
      </c>
      <c r="D2959" t="s">
        <v>13</v>
      </c>
      <c r="E2959">
        <v>1088.3499999999999</v>
      </c>
      <c r="F2959">
        <v>803.89</v>
      </c>
      <c r="G2959">
        <v>3</v>
      </c>
      <c r="H2959">
        <f t="shared" si="276"/>
        <v>3265.0499999999997</v>
      </c>
      <c r="I2959">
        <f t="shared" si="280"/>
        <v>2411.67</v>
      </c>
      <c r="J2959">
        <f t="shared" si="277"/>
        <v>853.37999999999965</v>
      </c>
      <c r="K2959" s="8">
        <f t="shared" si="278"/>
        <v>0.26136812606238796</v>
      </c>
      <c r="L2959" t="str">
        <f t="shared" si="281"/>
        <v>2024-08</v>
      </c>
      <c r="M2959">
        <f t="shared" si="279"/>
        <v>853.37999999999965</v>
      </c>
    </row>
    <row r="2960" spans="1:13" x14ac:dyDescent="0.25">
      <c r="A2960" s="1">
        <v>44590</v>
      </c>
      <c r="B2960" t="s">
        <v>19</v>
      </c>
      <c r="C2960" t="s">
        <v>20</v>
      </c>
      <c r="D2960" t="s">
        <v>18</v>
      </c>
      <c r="E2960">
        <v>1724.09</v>
      </c>
      <c r="F2960">
        <v>1162.31</v>
      </c>
      <c r="G2960">
        <v>3</v>
      </c>
      <c r="H2960">
        <f t="shared" si="276"/>
        <v>5172.2699999999995</v>
      </c>
      <c r="I2960">
        <f t="shared" si="280"/>
        <v>3486.93</v>
      </c>
      <c r="J2960">
        <f t="shared" si="277"/>
        <v>1685.3399999999997</v>
      </c>
      <c r="K2960" s="8">
        <f t="shared" si="278"/>
        <v>0.3258414583925433</v>
      </c>
      <c r="L2960" t="str">
        <f t="shared" si="281"/>
        <v>2022-01</v>
      </c>
      <c r="M2960">
        <f t="shared" si="279"/>
        <v>1685.3399999999997</v>
      </c>
    </row>
    <row r="2961" spans="1:13" x14ac:dyDescent="0.25">
      <c r="A2961" s="1">
        <v>44873</v>
      </c>
      <c r="B2961" t="s">
        <v>10</v>
      </c>
      <c r="C2961" t="s">
        <v>11</v>
      </c>
      <c r="D2961" t="s">
        <v>9</v>
      </c>
      <c r="E2961">
        <v>1390.5</v>
      </c>
      <c r="F2961">
        <v>1010.39</v>
      </c>
      <c r="G2961">
        <v>4</v>
      </c>
      <c r="H2961">
        <f t="shared" si="276"/>
        <v>5562</v>
      </c>
      <c r="I2961">
        <f t="shared" si="280"/>
        <v>4041.56</v>
      </c>
      <c r="J2961">
        <f t="shared" si="277"/>
        <v>1520.44</v>
      </c>
      <c r="K2961" s="8">
        <f t="shared" si="278"/>
        <v>0.2733620999640417</v>
      </c>
      <c r="L2961" t="str">
        <f t="shared" si="281"/>
        <v>2022-11</v>
      </c>
      <c r="M2961">
        <f t="shared" si="279"/>
        <v>1520.44</v>
      </c>
    </row>
    <row r="2962" spans="1:13" x14ac:dyDescent="0.25">
      <c r="A2962" s="1">
        <v>45182</v>
      </c>
      <c r="B2962" t="s">
        <v>14</v>
      </c>
      <c r="C2962" t="s">
        <v>15</v>
      </c>
      <c r="D2962" t="s">
        <v>17</v>
      </c>
      <c r="E2962">
        <v>652.89</v>
      </c>
      <c r="F2962">
        <v>425.51</v>
      </c>
      <c r="G2962">
        <v>2</v>
      </c>
      <c r="H2962">
        <f t="shared" si="276"/>
        <v>1305.78</v>
      </c>
      <c r="I2962">
        <f t="shared" si="280"/>
        <v>851.02</v>
      </c>
      <c r="J2962">
        <f t="shared" si="277"/>
        <v>454.76</v>
      </c>
      <c r="K2962" s="8">
        <f t="shared" si="278"/>
        <v>0.34826693623734473</v>
      </c>
      <c r="L2962" t="str">
        <f t="shared" si="281"/>
        <v>2023-09</v>
      </c>
      <c r="M2962">
        <f t="shared" si="279"/>
        <v>454.76</v>
      </c>
    </row>
    <row r="2963" spans="1:13" x14ac:dyDescent="0.25">
      <c r="A2963" s="1">
        <v>44878</v>
      </c>
      <c r="B2963" t="s">
        <v>19</v>
      </c>
      <c r="C2963" t="s">
        <v>20</v>
      </c>
      <c r="D2963" t="s">
        <v>18</v>
      </c>
      <c r="E2963">
        <v>633.85</v>
      </c>
      <c r="F2963">
        <v>545.44000000000005</v>
      </c>
      <c r="G2963">
        <v>9</v>
      </c>
      <c r="H2963">
        <f t="shared" si="276"/>
        <v>5704.6500000000005</v>
      </c>
      <c r="I2963">
        <f t="shared" si="280"/>
        <v>4908.9600000000009</v>
      </c>
      <c r="J2963">
        <f t="shared" si="277"/>
        <v>795.6899999999996</v>
      </c>
      <c r="K2963" s="8">
        <f t="shared" si="278"/>
        <v>0.13948094975151842</v>
      </c>
      <c r="L2963" t="str">
        <f t="shared" si="281"/>
        <v>2022-11</v>
      </c>
      <c r="M2963">
        <f t="shared" si="279"/>
        <v>795.6899999999996</v>
      </c>
    </row>
    <row r="2964" spans="1:13" x14ac:dyDescent="0.25">
      <c r="A2964" s="1">
        <v>44963</v>
      </c>
      <c r="B2964" t="s">
        <v>25</v>
      </c>
      <c r="C2964" t="s">
        <v>15</v>
      </c>
      <c r="D2964" t="s">
        <v>9</v>
      </c>
      <c r="E2964">
        <v>1561.56</v>
      </c>
      <c r="F2964">
        <v>1150.92</v>
      </c>
      <c r="G2964">
        <v>1</v>
      </c>
      <c r="H2964">
        <f t="shared" si="276"/>
        <v>1561.56</v>
      </c>
      <c r="I2964">
        <f t="shared" si="280"/>
        <v>1150.92</v>
      </c>
      <c r="J2964">
        <f t="shared" si="277"/>
        <v>410.63999999999987</v>
      </c>
      <c r="K2964" s="8">
        <f t="shared" si="278"/>
        <v>0.26296780142933984</v>
      </c>
      <c r="L2964" t="str">
        <f t="shared" si="281"/>
        <v>2023-02</v>
      </c>
      <c r="M2964">
        <f t="shared" si="279"/>
        <v>410.63999999999987</v>
      </c>
    </row>
    <row r="2965" spans="1:13" x14ac:dyDescent="0.25">
      <c r="A2965" s="1">
        <v>45581</v>
      </c>
      <c r="B2965" t="s">
        <v>22</v>
      </c>
      <c r="C2965" t="s">
        <v>8</v>
      </c>
      <c r="D2965" t="s">
        <v>17</v>
      </c>
      <c r="E2965">
        <v>919.4</v>
      </c>
      <c r="F2965">
        <v>596.37</v>
      </c>
      <c r="G2965">
        <v>7</v>
      </c>
      <c r="H2965">
        <f t="shared" si="276"/>
        <v>6435.8</v>
      </c>
      <c r="I2965">
        <f t="shared" si="280"/>
        <v>4174.59</v>
      </c>
      <c r="J2965">
        <f t="shared" si="277"/>
        <v>2261.21</v>
      </c>
      <c r="K2965" s="8">
        <f t="shared" si="278"/>
        <v>0.35134870567761584</v>
      </c>
      <c r="L2965" t="str">
        <f t="shared" si="281"/>
        <v>2024-10</v>
      </c>
      <c r="M2965">
        <f t="shared" si="279"/>
        <v>2261.21</v>
      </c>
    </row>
    <row r="2966" spans="1:13" x14ac:dyDescent="0.25">
      <c r="A2966" s="1">
        <v>45458</v>
      </c>
      <c r="B2966" t="s">
        <v>7</v>
      </c>
      <c r="C2966" t="s">
        <v>8</v>
      </c>
      <c r="D2966" t="s">
        <v>13</v>
      </c>
      <c r="E2966">
        <v>83.72</v>
      </c>
      <c r="F2966">
        <v>44.65</v>
      </c>
      <c r="G2966">
        <v>8</v>
      </c>
      <c r="H2966">
        <f t="shared" si="276"/>
        <v>669.76</v>
      </c>
      <c r="I2966">
        <f t="shared" si="280"/>
        <v>357.2</v>
      </c>
      <c r="J2966">
        <f t="shared" si="277"/>
        <v>312.56</v>
      </c>
      <c r="K2966" s="8">
        <f t="shared" si="278"/>
        <v>0.46667462971810797</v>
      </c>
      <c r="L2966" t="str">
        <f t="shared" si="281"/>
        <v>2024-06</v>
      </c>
      <c r="M2966">
        <f t="shared" si="279"/>
        <v>312.56</v>
      </c>
    </row>
    <row r="2967" spans="1:13" x14ac:dyDescent="0.25">
      <c r="A2967" s="1">
        <v>45154</v>
      </c>
      <c r="B2967" t="s">
        <v>12</v>
      </c>
      <c r="C2967" t="s">
        <v>8</v>
      </c>
      <c r="D2967" t="s">
        <v>17</v>
      </c>
      <c r="E2967">
        <v>1319.36</v>
      </c>
      <c r="F2967">
        <v>1105.67</v>
      </c>
      <c r="G2967">
        <v>3</v>
      </c>
      <c r="H2967">
        <f t="shared" si="276"/>
        <v>3958.08</v>
      </c>
      <c r="I2967">
        <f t="shared" si="280"/>
        <v>3317.01</v>
      </c>
      <c r="J2967">
        <f t="shared" si="277"/>
        <v>641.06999999999971</v>
      </c>
      <c r="K2967" s="8">
        <f t="shared" si="278"/>
        <v>0.16196489206888182</v>
      </c>
      <c r="L2967" t="str">
        <f t="shared" si="281"/>
        <v>2023-08</v>
      </c>
      <c r="M2967">
        <f t="shared" si="279"/>
        <v>641.06999999999971</v>
      </c>
    </row>
    <row r="2968" spans="1:13" x14ac:dyDescent="0.25">
      <c r="A2968" s="1">
        <v>45324</v>
      </c>
      <c r="B2968" t="s">
        <v>7</v>
      </c>
      <c r="C2968" t="s">
        <v>8</v>
      </c>
      <c r="D2968" t="s">
        <v>13</v>
      </c>
      <c r="E2968">
        <v>1328.7</v>
      </c>
      <c r="F2968">
        <v>789.76</v>
      </c>
      <c r="G2968">
        <v>9</v>
      </c>
      <c r="H2968">
        <f t="shared" si="276"/>
        <v>11958.300000000001</v>
      </c>
      <c r="I2968">
        <f t="shared" si="280"/>
        <v>7107.84</v>
      </c>
      <c r="J2968">
        <f t="shared" si="277"/>
        <v>4850.4600000000009</v>
      </c>
      <c r="K2968" s="8">
        <f t="shared" si="278"/>
        <v>0.40561451042372249</v>
      </c>
      <c r="L2968" t="str">
        <f t="shared" si="281"/>
        <v>2024-02</v>
      </c>
      <c r="M2968">
        <f t="shared" si="279"/>
        <v>4850.4600000000009</v>
      </c>
    </row>
    <row r="2969" spans="1:13" x14ac:dyDescent="0.25">
      <c r="A2969" s="1">
        <v>44594</v>
      </c>
      <c r="B2969" t="s">
        <v>19</v>
      </c>
      <c r="C2969" t="s">
        <v>20</v>
      </c>
      <c r="D2969" t="s">
        <v>18</v>
      </c>
      <c r="E2969">
        <v>1716.23</v>
      </c>
      <c r="F2969">
        <v>1334.58</v>
      </c>
      <c r="G2969">
        <v>5</v>
      </c>
      <c r="H2969">
        <f t="shared" si="276"/>
        <v>8581.15</v>
      </c>
      <c r="I2969">
        <f t="shared" si="280"/>
        <v>6672.9</v>
      </c>
      <c r="J2969">
        <f t="shared" si="277"/>
        <v>1908.25</v>
      </c>
      <c r="K2969" s="8">
        <f t="shared" si="278"/>
        <v>0.22237695413784866</v>
      </c>
      <c r="L2969" t="str">
        <f t="shared" si="281"/>
        <v>2022-02</v>
      </c>
      <c r="M2969">
        <f t="shared" si="279"/>
        <v>1908.25</v>
      </c>
    </row>
    <row r="2970" spans="1:13" x14ac:dyDescent="0.25">
      <c r="A2970" s="1">
        <v>45025</v>
      </c>
      <c r="B2970" t="s">
        <v>10</v>
      </c>
      <c r="C2970" t="s">
        <v>11</v>
      </c>
      <c r="D2970" t="s">
        <v>18</v>
      </c>
      <c r="E2970">
        <v>696.9</v>
      </c>
      <c r="F2970">
        <v>568.29</v>
      </c>
      <c r="G2970">
        <v>4</v>
      </c>
      <c r="H2970">
        <f t="shared" si="276"/>
        <v>2787.6</v>
      </c>
      <c r="I2970">
        <f t="shared" si="280"/>
        <v>2273.16</v>
      </c>
      <c r="J2970">
        <f t="shared" si="277"/>
        <v>514.44000000000005</v>
      </c>
      <c r="K2970" s="8">
        <f t="shared" si="278"/>
        <v>0.18454584588893674</v>
      </c>
      <c r="L2970" t="str">
        <f t="shared" si="281"/>
        <v>2023-04</v>
      </c>
      <c r="M2970">
        <f t="shared" si="279"/>
        <v>514.44000000000005</v>
      </c>
    </row>
    <row r="2971" spans="1:13" x14ac:dyDescent="0.25">
      <c r="A2971" s="1">
        <v>45050</v>
      </c>
      <c r="B2971" t="s">
        <v>22</v>
      </c>
      <c r="C2971" t="s">
        <v>8</v>
      </c>
      <c r="D2971" t="s">
        <v>9</v>
      </c>
      <c r="E2971">
        <v>380.58</v>
      </c>
      <c r="F2971">
        <v>241.54</v>
      </c>
      <c r="G2971">
        <v>8</v>
      </c>
      <c r="H2971">
        <f t="shared" si="276"/>
        <v>3044.64</v>
      </c>
      <c r="I2971">
        <f t="shared" si="280"/>
        <v>1932.32</v>
      </c>
      <c r="J2971">
        <f t="shared" si="277"/>
        <v>1112.32</v>
      </c>
      <c r="K2971" s="8">
        <f t="shared" si="278"/>
        <v>0.36533711703189869</v>
      </c>
      <c r="L2971" t="str">
        <f t="shared" si="281"/>
        <v>2023-05</v>
      </c>
      <c r="M2971">
        <f t="shared" si="279"/>
        <v>1112.32</v>
      </c>
    </row>
    <row r="2972" spans="1:13" x14ac:dyDescent="0.25">
      <c r="A2972" s="1">
        <v>45257</v>
      </c>
      <c r="B2972" t="s">
        <v>24</v>
      </c>
      <c r="C2972" t="s">
        <v>20</v>
      </c>
      <c r="D2972" t="s">
        <v>17</v>
      </c>
      <c r="E2972">
        <v>1975.92</v>
      </c>
      <c r="F2972">
        <v>992.16</v>
      </c>
      <c r="G2972">
        <v>6</v>
      </c>
      <c r="H2972">
        <f t="shared" si="276"/>
        <v>11855.52</v>
      </c>
      <c r="I2972">
        <f t="shared" si="280"/>
        <v>5952.96</v>
      </c>
      <c r="J2972">
        <f t="shared" si="277"/>
        <v>5902.56</v>
      </c>
      <c r="K2972" s="8">
        <f t="shared" si="278"/>
        <v>0.49787440787076404</v>
      </c>
      <c r="L2972" t="str">
        <f t="shared" si="281"/>
        <v>2023-11</v>
      </c>
      <c r="M2972">
        <f t="shared" si="279"/>
        <v>5902.56</v>
      </c>
    </row>
    <row r="2973" spans="1:13" x14ac:dyDescent="0.25">
      <c r="A2973" s="1">
        <v>45119</v>
      </c>
      <c r="B2973" t="s">
        <v>7</v>
      </c>
      <c r="C2973" t="s">
        <v>8</v>
      </c>
      <c r="D2973" t="s">
        <v>9</v>
      </c>
      <c r="E2973">
        <v>689.1</v>
      </c>
      <c r="F2973">
        <v>419.14</v>
      </c>
      <c r="G2973">
        <v>1</v>
      </c>
      <c r="H2973">
        <f t="shared" si="276"/>
        <v>689.1</v>
      </c>
      <c r="I2973">
        <f t="shared" si="280"/>
        <v>419.14</v>
      </c>
      <c r="J2973">
        <f t="shared" si="277"/>
        <v>269.96000000000004</v>
      </c>
      <c r="K2973" s="8">
        <f t="shared" si="278"/>
        <v>0.39175736467856631</v>
      </c>
      <c r="L2973" t="str">
        <f t="shared" si="281"/>
        <v>2023-07</v>
      </c>
      <c r="M2973">
        <f t="shared" si="279"/>
        <v>269.96000000000004</v>
      </c>
    </row>
    <row r="2974" spans="1:13" x14ac:dyDescent="0.25">
      <c r="A2974" s="1">
        <v>44594</v>
      </c>
      <c r="B2974" t="s">
        <v>22</v>
      </c>
      <c r="C2974" t="s">
        <v>8</v>
      </c>
      <c r="D2974" t="s">
        <v>18</v>
      </c>
      <c r="E2974">
        <v>553.30999999999995</v>
      </c>
      <c r="F2974">
        <v>462.2</v>
      </c>
      <c r="G2974">
        <v>10</v>
      </c>
      <c r="H2974">
        <f t="shared" si="276"/>
        <v>5533.0999999999995</v>
      </c>
      <c r="I2974">
        <f t="shared" si="280"/>
        <v>4622</v>
      </c>
      <c r="J2974">
        <f t="shared" si="277"/>
        <v>911.09999999999945</v>
      </c>
      <c r="K2974" s="8">
        <f t="shared" si="278"/>
        <v>0.16466357015054844</v>
      </c>
      <c r="L2974" t="str">
        <f t="shared" si="281"/>
        <v>2022-02</v>
      </c>
      <c r="M2974">
        <f t="shared" si="279"/>
        <v>911.09999999999945</v>
      </c>
    </row>
    <row r="2975" spans="1:13" x14ac:dyDescent="0.25">
      <c r="A2975" s="1">
        <v>44722</v>
      </c>
      <c r="B2975" t="s">
        <v>24</v>
      </c>
      <c r="C2975" t="s">
        <v>20</v>
      </c>
      <c r="D2975" t="s">
        <v>17</v>
      </c>
      <c r="E2975">
        <v>23.02</v>
      </c>
      <c r="F2975">
        <v>19.239999999999998</v>
      </c>
      <c r="G2975">
        <v>1</v>
      </c>
      <c r="H2975">
        <f t="shared" si="276"/>
        <v>23.02</v>
      </c>
      <c r="I2975">
        <f t="shared" si="280"/>
        <v>19.239999999999998</v>
      </c>
      <c r="J2975">
        <f t="shared" si="277"/>
        <v>3.7800000000000011</v>
      </c>
      <c r="K2975" s="8">
        <f t="shared" si="278"/>
        <v>0.16420503909643794</v>
      </c>
      <c r="L2975" t="str">
        <f t="shared" si="281"/>
        <v>2022-06</v>
      </c>
      <c r="M2975">
        <f t="shared" si="279"/>
        <v>3.7800000000000011</v>
      </c>
    </row>
    <row r="2976" spans="1:13" x14ac:dyDescent="0.25">
      <c r="A2976" s="1">
        <v>44793</v>
      </c>
      <c r="B2976" t="s">
        <v>23</v>
      </c>
      <c r="C2976" t="s">
        <v>11</v>
      </c>
      <c r="D2976" t="s">
        <v>18</v>
      </c>
      <c r="E2976">
        <v>554.16</v>
      </c>
      <c r="F2976">
        <v>372.3</v>
      </c>
      <c r="G2976">
        <v>2</v>
      </c>
      <c r="H2976">
        <f t="shared" si="276"/>
        <v>1108.32</v>
      </c>
      <c r="I2976">
        <f t="shared" si="280"/>
        <v>744.6</v>
      </c>
      <c r="J2976">
        <f t="shared" si="277"/>
        <v>363.71999999999991</v>
      </c>
      <c r="K2976" s="8">
        <f t="shared" si="278"/>
        <v>0.32817236899090507</v>
      </c>
      <c r="L2976" t="str">
        <f t="shared" si="281"/>
        <v>2022-08</v>
      </c>
      <c r="M2976">
        <f t="shared" si="279"/>
        <v>363.71999999999991</v>
      </c>
    </row>
    <row r="2977" spans="1:13" x14ac:dyDescent="0.25">
      <c r="A2977" s="1">
        <v>45203</v>
      </c>
      <c r="B2977" t="s">
        <v>23</v>
      </c>
      <c r="C2977" t="s">
        <v>11</v>
      </c>
      <c r="D2977" t="s">
        <v>13</v>
      </c>
      <c r="E2977">
        <v>860.66</v>
      </c>
      <c r="F2977">
        <v>704.4</v>
      </c>
      <c r="G2977">
        <v>7</v>
      </c>
      <c r="H2977">
        <f t="shared" si="276"/>
        <v>6024.62</v>
      </c>
      <c r="I2977">
        <f t="shared" si="280"/>
        <v>4930.8</v>
      </c>
      <c r="J2977">
        <f t="shared" si="277"/>
        <v>1093.8199999999997</v>
      </c>
      <c r="K2977" s="8">
        <f t="shared" si="278"/>
        <v>0.1815583389491785</v>
      </c>
      <c r="L2977" t="str">
        <f t="shared" si="281"/>
        <v>2023-10</v>
      </c>
      <c r="M2977">
        <f t="shared" si="279"/>
        <v>1093.8199999999997</v>
      </c>
    </row>
    <row r="2978" spans="1:13" x14ac:dyDescent="0.25">
      <c r="A2978" s="1">
        <v>45186</v>
      </c>
      <c r="B2978" t="s">
        <v>16</v>
      </c>
      <c r="C2978" t="s">
        <v>15</v>
      </c>
      <c r="D2978" t="s">
        <v>17</v>
      </c>
      <c r="E2978">
        <v>792.39</v>
      </c>
      <c r="F2978">
        <v>566</v>
      </c>
      <c r="G2978">
        <v>6</v>
      </c>
      <c r="H2978">
        <f t="shared" si="276"/>
        <v>4754.34</v>
      </c>
      <c r="I2978">
        <f t="shared" si="280"/>
        <v>3396</v>
      </c>
      <c r="J2978">
        <f t="shared" si="277"/>
        <v>1358.3400000000001</v>
      </c>
      <c r="K2978" s="8">
        <f t="shared" si="278"/>
        <v>0.28570527139413676</v>
      </c>
      <c r="L2978" t="str">
        <f t="shared" si="281"/>
        <v>2023-09</v>
      </c>
      <c r="M2978">
        <f t="shared" si="279"/>
        <v>1358.3400000000001</v>
      </c>
    </row>
    <row r="2979" spans="1:13" x14ac:dyDescent="0.25">
      <c r="A2979" s="1">
        <v>45001</v>
      </c>
      <c r="B2979" t="s">
        <v>16</v>
      </c>
      <c r="C2979" t="s">
        <v>15</v>
      </c>
      <c r="D2979" t="s">
        <v>13</v>
      </c>
      <c r="E2979">
        <v>914.08</v>
      </c>
      <c r="F2979">
        <v>714.46</v>
      </c>
      <c r="G2979">
        <v>5</v>
      </c>
      <c r="H2979">
        <f t="shared" si="276"/>
        <v>4570.4000000000005</v>
      </c>
      <c r="I2979">
        <f t="shared" si="280"/>
        <v>3572.3</v>
      </c>
      <c r="J2979">
        <f t="shared" si="277"/>
        <v>998.10000000000036</v>
      </c>
      <c r="K2979" s="8">
        <f t="shared" si="278"/>
        <v>0.2183835112900403</v>
      </c>
      <c r="L2979" t="str">
        <f t="shared" si="281"/>
        <v>2023-03</v>
      </c>
      <c r="M2979">
        <f t="shared" si="279"/>
        <v>998.10000000000036</v>
      </c>
    </row>
    <row r="2980" spans="1:13" x14ac:dyDescent="0.25">
      <c r="A2980" s="1">
        <v>45516</v>
      </c>
      <c r="B2980" t="s">
        <v>14</v>
      </c>
      <c r="C2980" t="s">
        <v>15</v>
      </c>
      <c r="D2980" t="s">
        <v>18</v>
      </c>
      <c r="E2980">
        <v>360.9</v>
      </c>
      <c r="F2980">
        <v>236.5</v>
      </c>
      <c r="G2980">
        <v>5</v>
      </c>
      <c r="H2980">
        <f t="shared" si="276"/>
        <v>1804.5</v>
      </c>
      <c r="I2980">
        <f t="shared" si="280"/>
        <v>1182.5</v>
      </c>
      <c r="J2980">
        <f t="shared" si="277"/>
        <v>622</v>
      </c>
      <c r="K2980" s="8">
        <f t="shared" si="278"/>
        <v>0.34469382100304796</v>
      </c>
      <c r="L2980" t="str">
        <f t="shared" si="281"/>
        <v>2024-08</v>
      </c>
      <c r="M2980">
        <f t="shared" si="279"/>
        <v>622</v>
      </c>
    </row>
    <row r="2981" spans="1:13" x14ac:dyDescent="0.25">
      <c r="A2981" s="1">
        <v>45270</v>
      </c>
      <c r="B2981" t="s">
        <v>19</v>
      </c>
      <c r="C2981" t="s">
        <v>20</v>
      </c>
      <c r="D2981" t="s">
        <v>17</v>
      </c>
      <c r="E2981">
        <v>483.09</v>
      </c>
      <c r="F2981">
        <v>425.34</v>
      </c>
      <c r="G2981">
        <v>3</v>
      </c>
      <c r="H2981">
        <f t="shared" si="276"/>
        <v>1449.27</v>
      </c>
      <c r="I2981">
        <f t="shared" si="280"/>
        <v>1276.02</v>
      </c>
      <c r="J2981">
        <f t="shared" si="277"/>
        <v>173.25</v>
      </c>
      <c r="K2981" s="8">
        <f t="shared" si="278"/>
        <v>0.11954294230888654</v>
      </c>
      <c r="L2981" t="str">
        <f t="shared" si="281"/>
        <v>2023-12</v>
      </c>
      <c r="M2981">
        <f t="shared" si="279"/>
        <v>173.25</v>
      </c>
    </row>
    <row r="2982" spans="1:13" x14ac:dyDescent="0.25">
      <c r="A2982" s="1">
        <v>44593</v>
      </c>
      <c r="B2982" t="s">
        <v>21</v>
      </c>
      <c r="C2982" t="s">
        <v>20</v>
      </c>
      <c r="D2982" t="s">
        <v>13</v>
      </c>
      <c r="E2982">
        <v>822.25</v>
      </c>
      <c r="F2982">
        <v>502.28</v>
      </c>
      <c r="G2982">
        <v>10</v>
      </c>
      <c r="H2982">
        <f t="shared" si="276"/>
        <v>8222.5</v>
      </c>
      <c r="I2982">
        <f t="shared" si="280"/>
        <v>5022.7999999999993</v>
      </c>
      <c r="J2982">
        <f t="shared" si="277"/>
        <v>3199.7000000000007</v>
      </c>
      <c r="K2982" s="8">
        <f t="shared" si="278"/>
        <v>0.38913955609607792</v>
      </c>
      <c r="L2982" t="str">
        <f t="shared" si="281"/>
        <v>2022-02</v>
      </c>
      <c r="M2982">
        <f t="shared" si="279"/>
        <v>3199.7000000000007</v>
      </c>
    </row>
    <row r="2983" spans="1:13" x14ac:dyDescent="0.25">
      <c r="A2983" s="1">
        <v>44779</v>
      </c>
      <c r="B2983" t="s">
        <v>25</v>
      </c>
      <c r="C2983" t="s">
        <v>15</v>
      </c>
      <c r="D2983" t="s">
        <v>9</v>
      </c>
      <c r="E2983">
        <v>1454.94</v>
      </c>
      <c r="F2983">
        <v>1142.9000000000001</v>
      </c>
      <c r="G2983">
        <v>7</v>
      </c>
      <c r="H2983">
        <f t="shared" si="276"/>
        <v>10184.58</v>
      </c>
      <c r="I2983">
        <f t="shared" si="280"/>
        <v>8000.3000000000011</v>
      </c>
      <c r="J2983">
        <f t="shared" si="277"/>
        <v>2184.2799999999988</v>
      </c>
      <c r="K2983" s="8">
        <f t="shared" si="278"/>
        <v>0.2144693251955406</v>
      </c>
      <c r="L2983" t="str">
        <f t="shared" si="281"/>
        <v>2022-08</v>
      </c>
      <c r="M2983">
        <f t="shared" si="279"/>
        <v>2184.2799999999988</v>
      </c>
    </row>
    <row r="2984" spans="1:13" x14ac:dyDescent="0.25">
      <c r="A2984" s="1">
        <v>44774</v>
      </c>
      <c r="B2984" t="s">
        <v>19</v>
      </c>
      <c r="C2984" t="s">
        <v>20</v>
      </c>
      <c r="D2984" t="s">
        <v>17</v>
      </c>
      <c r="E2984">
        <v>217.74</v>
      </c>
      <c r="F2984">
        <v>119.91</v>
      </c>
      <c r="G2984">
        <v>3</v>
      </c>
      <c r="H2984">
        <f t="shared" si="276"/>
        <v>653.22</v>
      </c>
      <c r="I2984">
        <f t="shared" si="280"/>
        <v>359.73</v>
      </c>
      <c r="J2984">
        <f t="shared" si="277"/>
        <v>293.49</v>
      </c>
      <c r="K2984" s="8">
        <f t="shared" si="278"/>
        <v>0.44929732708735187</v>
      </c>
      <c r="L2984" t="str">
        <f t="shared" si="281"/>
        <v>2022-08</v>
      </c>
      <c r="M2984">
        <f t="shared" si="279"/>
        <v>293.49</v>
      </c>
    </row>
    <row r="2985" spans="1:13" x14ac:dyDescent="0.25">
      <c r="A2985" s="1">
        <v>45425</v>
      </c>
      <c r="B2985" t="s">
        <v>10</v>
      </c>
      <c r="C2985" t="s">
        <v>11</v>
      </c>
      <c r="D2985" t="s">
        <v>13</v>
      </c>
      <c r="E2985">
        <v>53.69</v>
      </c>
      <c r="F2985">
        <v>40.79</v>
      </c>
      <c r="G2985">
        <v>3</v>
      </c>
      <c r="H2985">
        <f t="shared" si="276"/>
        <v>161.07</v>
      </c>
      <c r="I2985">
        <f t="shared" si="280"/>
        <v>122.37</v>
      </c>
      <c r="J2985">
        <f t="shared" si="277"/>
        <v>38.699999999999989</v>
      </c>
      <c r="K2985" s="8">
        <f t="shared" si="278"/>
        <v>0.24026820636990123</v>
      </c>
      <c r="L2985" t="str">
        <f t="shared" si="281"/>
        <v>2024-05</v>
      </c>
      <c r="M2985">
        <f t="shared" si="279"/>
        <v>38.699999999999989</v>
      </c>
    </row>
    <row r="2986" spans="1:13" x14ac:dyDescent="0.25">
      <c r="A2986" s="1">
        <v>45565</v>
      </c>
      <c r="B2986" t="s">
        <v>24</v>
      </c>
      <c r="C2986" t="s">
        <v>20</v>
      </c>
      <c r="D2986" t="s">
        <v>13</v>
      </c>
      <c r="E2986">
        <v>1104.8900000000001</v>
      </c>
      <c r="F2986">
        <v>677.93</v>
      </c>
      <c r="G2986">
        <v>6</v>
      </c>
      <c r="H2986">
        <f t="shared" si="276"/>
        <v>6629.34</v>
      </c>
      <c r="I2986">
        <f t="shared" si="280"/>
        <v>4067.58</v>
      </c>
      <c r="J2986">
        <f t="shared" si="277"/>
        <v>2561.7600000000002</v>
      </c>
      <c r="K2986" s="8">
        <f t="shared" si="278"/>
        <v>0.38642760817818972</v>
      </c>
      <c r="L2986" t="str">
        <f t="shared" si="281"/>
        <v>2024-09</v>
      </c>
      <c r="M2986">
        <f t="shared" si="279"/>
        <v>2561.7600000000002</v>
      </c>
    </row>
    <row r="2987" spans="1:13" x14ac:dyDescent="0.25">
      <c r="A2987" s="1">
        <v>44642</v>
      </c>
      <c r="B2987" t="s">
        <v>19</v>
      </c>
      <c r="C2987" t="s">
        <v>20</v>
      </c>
      <c r="D2987" t="s">
        <v>17</v>
      </c>
      <c r="E2987">
        <v>310.89</v>
      </c>
      <c r="F2987">
        <v>159.69999999999999</v>
      </c>
      <c r="G2987">
        <v>3</v>
      </c>
      <c r="H2987">
        <f t="shared" si="276"/>
        <v>932.67</v>
      </c>
      <c r="I2987">
        <f t="shared" si="280"/>
        <v>479.09999999999997</v>
      </c>
      <c r="J2987">
        <f t="shared" si="277"/>
        <v>453.57</v>
      </c>
      <c r="K2987" s="8">
        <f t="shared" si="278"/>
        <v>0.48631348708546435</v>
      </c>
      <c r="L2987" t="str">
        <f t="shared" si="281"/>
        <v>2022-03</v>
      </c>
      <c r="M2987">
        <f t="shared" si="279"/>
        <v>453.57</v>
      </c>
    </row>
    <row r="2988" spans="1:13" x14ac:dyDescent="0.25">
      <c r="A2988" s="1">
        <v>44821</v>
      </c>
      <c r="B2988" t="s">
        <v>25</v>
      </c>
      <c r="C2988" t="s">
        <v>15</v>
      </c>
      <c r="D2988" t="s">
        <v>18</v>
      </c>
      <c r="E2988">
        <v>898.51</v>
      </c>
      <c r="F2988">
        <v>680.29</v>
      </c>
      <c r="G2988">
        <v>8</v>
      </c>
      <c r="H2988">
        <f t="shared" si="276"/>
        <v>7188.08</v>
      </c>
      <c r="I2988">
        <f t="shared" si="280"/>
        <v>5442.32</v>
      </c>
      <c r="J2988">
        <f t="shared" si="277"/>
        <v>1745.7600000000002</v>
      </c>
      <c r="K2988" s="8">
        <f t="shared" si="278"/>
        <v>0.2428687493739636</v>
      </c>
      <c r="L2988" t="str">
        <f t="shared" si="281"/>
        <v>2022-09</v>
      </c>
      <c r="M2988">
        <f t="shared" si="279"/>
        <v>1745.7600000000002</v>
      </c>
    </row>
    <row r="2989" spans="1:13" x14ac:dyDescent="0.25">
      <c r="A2989" s="1">
        <v>45618</v>
      </c>
      <c r="B2989" t="s">
        <v>7</v>
      </c>
      <c r="C2989" t="s">
        <v>8</v>
      </c>
      <c r="D2989" t="s">
        <v>17</v>
      </c>
      <c r="E2989">
        <v>1013.86</v>
      </c>
      <c r="F2989">
        <v>664.56</v>
      </c>
      <c r="G2989">
        <v>4</v>
      </c>
      <c r="H2989">
        <f t="shared" si="276"/>
        <v>4055.44</v>
      </c>
      <c r="I2989">
        <f t="shared" si="280"/>
        <v>2658.24</v>
      </c>
      <c r="J2989">
        <f t="shared" si="277"/>
        <v>1397.2000000000003</v>
      </c>
      <c r="K2989" s="8">
        <f t="shared" si="278"/>
        <v>0.34452488509261642</v>
      </c>
      <c r="L2989" t="str">
        <f t="shared" si="281"/>
        <v>2024-11</v>
      </c>
      <c r="M2989">
        <f t="shared" si="279"/>
        <v>1397.2000000000003</v>
      </c>
    </row>
    <row r="2990" spans="1:13" x14ac:dyDescent="0.25">
      <c r="A2990" s="1">
        <v>45299</v>
      </c>
      <c r="B2990" t="s">
        <v>10</v>
      </c>
      <c r="C2990" t="s">
        <v>11</v>
      </c>
      <c r="D2990" t="s">
        <v>9</v>
      </c>
      <c r="E2990">
        <v>1348.57</v>
      </c>
      <c r="F2990">
        <v>766.13</v>
      </c>
      <c r="G2990">
        <v>10</v>
      </c>
      <c r="H2990">
        <f t="shared" si="276"/>
        <v>13485.699999999999</v>
      </c>
      <c r="I2990">
        <f t="shared" si="280"/>
        <v>7661.3</v>
      </c>
      <c r="J2990">
        <f t="shared" si="277"/>
        <v>5824.3999999999987</v>
      </c>
      <c r="K2990" s="8">
        <f t="shared" si="278"/>
        <v>0.43189452531199707</v>
      </c>
      <c r="L2990" t="str">
        <f t="shared" si="281"/>
        <v>2024-01</v>
      </c>
      <c r="M2990">
        <f t="shared" si="279"/>
        <v>5824.3999999999987</v>
      </c>
    </row>
    <row r="2991" spans="1:13" x14ac:dyDescent="0.25">
      <c r="A2991" s="1">
        <v>44627</v>
      </c>
      <c r="B2991" t="s">
        <v>14</v>
      </c>
      <c r="C2991" t="s">
        <v>15</v>
      </c>
      <c r="D2991" t="s">
        <v>17</v>
      </c>
      <c r="E2991">
        <v>773.67</v>
      </c>
      <c r="F2991">
        <v>482.61</v>
      </c>
      <c r="G2991">
        <v>5</v>
      </c>
      <c r="H2991">
        <f t="shared" si="276"/>
        <v>3868.35</v>
      </c>
      <c r="I2991">
        <f t="shared" si="280"/>
        <v>2413.0500000000002</v>
      </c>
      <c r="J2991">
        <f t="shared" si="277"/>
        <v>1455.2999999999997</v>
      </c>
      <c r="K2991" s="8">
        <f t="shared" si="278"/>
        <v>0.37620690992283523</v>
      </c>
      <c r="L2991" t="str">
        <f t="shared" si="281"/>
        <v>2022-03</v>
      </c>
      <c r="M2991">
        <f t="shared" si="279"/>
        <v>1455.2999999999997</v>
      </c>
    </row>
    <row r="2992" spans="1:13" x14ac:dyDescent="0.25">
      <c r="A2992" s="1">
        <v>44745</v>
      </c>
      <c r="B2992" t="s">
        <v>16</v>
      </c>
      <c r="C2992" t="s">
        <v>15</v>
      </c>
      <c r="D2992" t="s">
        <v>17</v>
      </c>
      <c r="E2992">
        <v>47.54</v>
      </c>
      <c r="F2992">
        <v>39.31</v>
      </c>
      <c r="G2992">
        <v>7</v>
      </c>
      <c r="H2992">
        <f t="shared" si="276"/>
        <v>332.78</v>
      </c>
      <c r="I2992">
        <f t="shared" si="280"/>
        <v>275.17</v>
      </c>
      <c r="J2992">
        <f t="shared" si="277"/>
        <v>57.609999999999957</v>
      </c>
      <c r="K2992" s="8">
        <f t="shared" si="278"/>
        <v>0.17311737484223799</v>
      </c>
      <c r="L2992" t="str">
        <f t="shared" si="281"/>
        <v>2022-07</v>
      </c>
      <c r="M2992">
        <f t="shared" si="279"/>
        <v>57.609999999999957</v>
      </c>
    </row>
    <row r="2993" spans="1:13" x14ac:dyDescent="0.25">
      <c r="A2993" s="1">
        <v>45593</v>
      </c>
      <c r="B2993" t="s">
        <v>12</v>
      </c>
      <c r="C2993" t="s">
        <v>8</v>
      </c>
      <c r="D2993" t="s">
        <v>9</v>
      </c>
      <c r="E2993">
        <v>1510.62</v>
      </c>
      <c r="F2993">
        <v>1058.3399999999999</v>
      </c>
      <c r="G2993">
        <v>7</v>
      </c>
      <c r="H2993">
        <f t="shared" si="276"/>
        <v>10574.34</v>
      </c>
      <c r="I2993">
        <f t="shared" si="280"/>
        <v>7408.3799999999992</v>
      </c>
      <c r="J2993">
        <f t="shared" si="277"/>
        <v>3165.9600000000009</v>
      </c>
      <c r="K2993" s="8">
        <f t="shared" si="278"/>
        <v>0.29940024625650402</v>
      </c>
      <c r="L2993" t="str">
        <f t="shared" si="281"/>
        <v>2024-10</v>
      </c>
      <c r="M2993">
        <f t="shared" si="279"/>
        <v>3165.9600000000009</v>
      </c>
    </row>
    <row r="2994" spans="1:13" x14ac:dyDescent="0.25">
      <c r="A2994" s="1">
        <v>45258</v>
      </c>
      <c r="B2994" t="s">
        <v>10</v>
      </c>
      <c r="C2994" t="s">
        <v>11</v>
      </c>
      <c r="D2994" t="s">
        <v>17</v>
      </c>
      <c r="E2994">
        <v>977.48</v>
      </c>
      <c r="F2994">
        <v>875.81</v>
      </c>
      <c r="G2994">
        <v>9</v>
      </c>
      <c r="H2994">
        <f t="shared" si="276"/>
        <v>8797.32</v>
      </c>
      <c r="I2994">
        <f t="shared" si="280"/>
        <v>7882.2899999999991</v>
      </c>
      <c r="J2994">
        <f t="shared" si="277"/>
        <v>915.03000000000065</v>
      </c>
      <c r="K2994" s="8">
        <f t="shared" si="278"/>
        <v>0.10401235830912149</v>
      </c>
      <c r="L2994" t="str">
        <f t="shared" si="281"/>
        <v>2023-11</v>
      </c>
      <c r="M2994">
        <f t="shared" si="279"/>
        <v>915.03000000000065</v>
      </c>
    </row>
    <row r="2995" spans="1:13" x14ac:dyDescent="0.25">
      <c r="A2995" s="1">
        <v>45455</v>
      </c>
      <c r="B2995" t="s">
        <v>24</v>
      </c>
      <c r="C2995" t="s">
        <v>20</v>
      </c>
      <c r="D2995" t="s">
        <v>18</v>
      </c>
      <c r="E2995">
        <v>309.81</v>
      </c>
      <c r="F2995">
        <v>203.66</v>
      </c>
      <c r="G2995">
        <v>10</v>
      </c>
      <c r="H2995">
        <f t="shared" si="276"/>
        <v>3098.1</v>
      </c>
      <c r="I2995">
        <f t="shared" si="280"/>
        <v>2036.6</v>
      </c>
      <c r="J2995">
        <f t="shared" si="277"/>
        <v>1061.5</v>
      </c>
      <c r="K2995" s="8">
        <f t="shared" si="278"/>
        <v>0.3426293534747103</v>
      </c>
      <c r="L2995" t="str">
        <f t="shared" si="281"/>
        <v>2024-06</v>
      </c>
      <c r="M2995">
        <f t="shared" si="279"/>
        <v>1061.5</v>
      </c>
    </row>
    <row r="2996" spans="1:13" x14ac:dyDescent="0.25">
      <c r="A2996" s="1">
        <v>45395</v>
      </c>
      <c r="B2996" t="s">
        <v>19</v>
      </c>
      <c r="C2996" t="s">
        <v>20</v>
      </c>
      <c r="D2996" t="s">
        <v>13</v>
      </c>
      <c r="E2996">
        <v>763.82</v>
      </c>
      <c r="F2996">
        <v>579.17999999999995</v>
      </c>
      <c r="G2996">
        <v>2</v>
      </c>
      <c r="H2996">
        <f t="shared" si="276"/>
        <v>1527.64</v>
      </c>
      <c r="I2996">
        <f t="shared" si="280"/>
        <v>1158.3599999999999</v>
      </c>
      <c r="J2996">
        <f t="shared" si="277"/>
        <v>369.2800000000002</v>
      </c>
      <c r="K2996" s="8">
        <f t="shared" si="278"/>
        <v>0.24173234531695961</v>
      </c>
      <c r="L2996" t="str">
        <f t="shared" si="281"/>
        <v>2024-04</v>
      </c>
      <c r="M2996">
        <f t="shared" si="279"/>
        <v>369.2800000000002</v>
      </c>
    </row>
    <row r="2997" spans="1:13" x14ac:dyDescent="0.25">
      <c r="A2997" s="1">
        <v>45027</v>
      </c>
      <c r="B2997" t="s">
        <v>22</v>
      </c>
      <c r="C2997" t="s">
        <v>8</v>
      </c>
      <c r="D2997" t="s">
        <v>13</v>
      </c>
      <c r="E2997">
        <v>1860.9</v>
      </c>
      <c r="F2997">
        <v>1669.22</v>
      </c>
      <c r="G2997">
        <v>10</v>
      </c>
      <c r="H2997">
        <f t="shared" si="276"/>
        <v>18609</v>
      </c>
      <c r="I2997">
        <f t="shared" si="280"/>
        <v>16692.2</v>
      </c>
      <c r="J2997">
        <f t="shared" si="277"/>
        <v>1916.7999999999993</v>
      </c>
      <c r="K2997" s="8">
        <f t="shared" si="278"/>
        <v>0.10300392283303773</v>
      </c>
      <c r="L2997" t="str">
        <f t="shared" si="281"/>
        <v>2023-04</v>
      </c>
      <c r="M2997">
        <f t="shared" si="279"/>
        <v>1916.7999999999993</v>
      </c>
    </row>
    <row r="2998" spans="1:13" x14ac:dyDescent="0.25">
      <c r="A2998" s="1">
        <v>44590</v>
      </c>
      <c r="B2998" t="s">
        <v>25</v>
      </c>
      <c r="C2998" t="s">
        <v>15</v>
      </c>
      <c r="D2998" t="s">
        <v>18</v>
      </c>
      <c r="E2998">
        <v>254.73</v>
      </c>
      <c r="F2998">
        <v>203.41</v>
      </c>
      <c r="G2998">
        <v>7</v>
      </c>
      <c r="H2998">
        <f t="shared" si="276"/>
        <v>1783.11</v>
      </c>
      <c r="I2998">
        <f t="shared" si="280"/>
        <v>1423.87</v>
      </c>
      <c r="J2998">
        <f t="shared" si="277"/>
        <v>359.24</v>
      </c>
      <c r="K2998" s="8">
        <f t="shared" si="278"/>
        <v>0.20146822125387667</v>
      </c>
      <c r="L2998" t="str">
        <f t="shared" si="281"/>
        <v>2022-01</v>
      </c>
      <c r="M2998">
        <f t="shared" si="279"/>
        <v>359.24</v>
      </c>
    </row>
    <row r="2999" spans="1:13" x14ac:dyDescent="0.25">
      <c r="A2999" s="1">
        <v>45175</v>
      </c>
      <c r="B2999" t="s">
        <v>21</v>
      </c>
      <c r="C2999" t="s">
        <v>20</v>
      </c>
      <c r="D2999" t="s">
        <v>18</v>
      </c>
      <c r="E2999">
        <v>504.48</v>
      </c>
      <c r="F2999">
        <v>368.04</v>
      </c>
      <c r="G2999">
        <v>2</v>
      </c>
      <c r="H2999">
        <f t="shared" si="276"/>
        <v>1008.96</v>
      </c>
      <c r="I2999">
        <f t="shared" si="280"/>
        <v>736.08</v>
      </c>
      <c r="J2999">
        <f t="shared" si="277"/>
        <v>272.88</v>
      </c>
      <c r="K2999" s="8">
        <f t="shared" si="278"/>
        <v>0.27045670789724069</v>
      </c>
      <c r="L2999" t="str">
        <f t="shared" si="281"/>
        <v>2023-09</v>
      </c>
      <c r="M2999">
        <f t="shared" si="279"/>
        <v>272.88</v>
      </c>
    </row>
    <row r="3000" spans="1:13" x14ac:dyDescent="0.25">
      <c r="A3000" s="1">
        <v>45177</v>
      </c>
      <c r="B3000" t="s">
        <v>21</v>
      </c>
      <c r="C3000" t="s">
        <v>20</v>
      </c>
      <c r="D3000" t="s">
        <v>17</v>
      </c>
      <c r="E3000">
        <v>1502.87</v>
      </c>
      <c r="F3000">
        <v>1330.23</v>
      </c>
      <c r="G3000">
        <v>5</v>
      </c>
      <c r="H3000">
        <f t="shared" si="276"/>
        <v>7514.3499999999995</v>
      </c>
      <c r="I3000">
        <f t="shared" si="280"/>
        <v>6651.15</v>
      </c>
      <c r="J3000">
        <f t="shared" si="277"/>
        <v>863.19999999999982</v>
      </c>
      <c r="K3000" s="8">
        <f t="shared" si="278"/>
        <v>0.11487354195639009</v>
      </c>
      <c r="L3000" t="str">
        <f t="shared" si="281"/>
        <v>2023-09</v>
      </c>
      <c r="M3000">
        <f t="shared" si="279"/>
        <v>863.19999999999982</v>
      </c>
    </row>
    <row r="3001" spans="1:13" x14ac:dyDescent="0.25">
      <c r="A3001" s="1">
        <v>45203</v>
      </c>
      <c r="B3001" t="s">
        <v>10</v>
      </c>
      <c r="C3001" t="s">
        <v>11</v>
      </c>
      <c r="D3001" t="s">
        <v>9</v>
      </c>
      <c r="E3001">
        <v>218.48</v>
      </c>
      <c r="F3001">
        <v>129.57</v>
      </c>
      <c r="G3001">
        <v>4</v>
      </c>
      <c r="H3001">
        <f t="shared" si="276"/>
        <v>873.92</v>
      </c>
      <c r="I3001">
        <f t="shared" si="280"/>
        <v>518.28</v>
      </c>
      <c r="J3001">
        <f t="shared" si="277"/>
        <v>355.64</v>
      </c>
      <c r="K3001" s="8">
        <f t="shared" si="278"/>
        <v>0.40694800439399487</v>
      </c>
      <c r="L3001" t="str">
        <f t="shared" si="281"/>
        <v>2023-10</v>
      </c>
      <c r="M3001">
        <f t="shared" si="279"/>
        <v>355.64</v>
      </c>
    </row>
    <row r="3002" spans="1:13" x14ac:dyDescent="0.25">
      <c r="A3002" s="1">
        <v>44563</v>
      </c>
      <c r="B3002" t="s">
        <v>25</v>
      </c>
      <c r="C3002" t="s">
        <v>15</v>
      </c>
      <c r="D3002" t="s">
        <v>17</v>
      </c>
      <c r="E3002">
        <v>566.69000000000005</v>
      </c>
      <c r="F3002">
        <v>292.83999999999997</v>
      </c>
      <c r="G3002">
        <v>1</v>
      </c>
      <c r="H3002">
        <f t="shared" si="276"/>
        <v>566.69000000000005</v>
      </c>
      <c r="I3002">
        <f t="shared" si="280"/>
        <v>292.83999999999997</v>
      </c>
      <c r="J3002">
        <f t="shared" si="277"/>
        <v>273.85000000000008</v>
      </c>
      <c r="K3002" s="8">
        <f t="shared" si="278"/>
        <v>0.48324480756674737</v>
      </c>
      <c r="L3002" t="str">
        <f t="shared" si="281"/>
        <v>2022-01</v>
      </c>
      <c r="M3002">
        <f t="shared" si="279"/>
        <v>273.85000000000008</v>
      </c>
    </row>
    <row r="3003" spans="1:13" x14ac:dyDescent="0.25">
      <c r="A3003" s="1">
        <v>45461</v>
      </c>
      <c r="B3003" t="s">
        <v>25</v>
      </c>
      <c r="C3003" t="s">
        <v>15</v>
      </c>
      <c r="D3003" t="s">
        <v>17</v>
      </c>
      <c r="E3003">
        <v>1687.17</v>
      </c>
      <c r="F3003">
        <v>1033</v>
      </c>
      <c r="G3003">
        <v>4</v>
      </c>
      <c r="H3003">
        <f t="shared" si="276"/>
        <v>6748.68</v>
      </c>
      <c r="I3003">
        <f t="shared" si="280"/>
        <v>4132</v>
      </c>
      <c r="J3003">
        <f t="shared" si="277"/>
        <v>2616.6800000000003</v>
      </c>
      <c r="K3003" s="8">
        <f t="shared" si="278"/>
        <v>0.3877321194663253</v>
      </c>
      <c r="L3003" t="str">
        <f t="shared" si="281"/>
        <v>2024-06</v>
      </c>
      <c r="M3003">
        <f t="shared" si="279"/>
        <v>2616.6800000000003</v>
      </c>
    </row>
    <row r="3004" spans="1:13" x14ac:dyDescent="0.25">
      <c r="A3004" s="1">
        <v>45577</v>
      </c>
      <c r="B3004" t="s">
        <v>16</v>
      </c>
      <c r="C3004" t="s">
        <v>15</v>
      </c>
      <c r="D3004" t="s">
        <v>13</v>
      </c>
      <c r="E3004">
        <v>718.25</v>
      </c>
      <c r="F3004">
        <v>615.25</v>
      </c>
      <c r="G3004">
        <v>8</v>
      </c>
      <c r="H3004">
        <f t="shared" si="276"/>
        <v>5746</v>
      </c>
      <c r="I3004">
        <f t="shared" si="280"/>
        <v>4922</v>
      </c>
      <c r="J3004">
        <f t="shared" si="277"/>
        <v>824</v>
      </c>
      <c r="K3004" s="8">
        <f t="shared" si="278"/>
        <v>0.14340410720501218</v>
      </c>
      <c r="L3004" t="str">
        <f t="shared" si="281"/>
        <v>2024-10</v>
      </c>
      <c r="M3004">
        <f t="shared" si="279"/>
        <v>824</v>
      </c>
    </row>
    <row r="3005" spans="1:13" x14ac:dyDescent="0.25">
      <c r="A3005" s="1">
        <v>45517</v>
      </c>
      <c r="B3005" t="s">
        <v>21</v>
      </c>
      <c r="C3005" t="s">
        <v>20</v>
      </c>
      <c r="D3005" t="s">
        <v>13</v>
      </c>
      <c r="E3005">
        <v>218.09</v>
      </c>
      <c r="F3005">
        <v>111.64</v>
      </c>
      <c r="G3005">
        <v>9</v>
      </c>
      <c r="H3005">
        <f t="shared" si="276"/>
        <v>1962.81</v>
      </c>
      <c r="I3005">
        <f t="shared" si="280"/>
        <v>1004.76</v>
      </c>
      <c r="J3005">
        <f t="shared" si="277"/>
        <v>958.05</v>
      </c>
      <c r="K3005" s="8">
        <f t="shared" si="278"/>
        <v>0.48810124260626347</v>
      </c>
      <c r="L3005" t="str">
        <f t="shared" si="281"/>
        <v>2024-08</v>
      </c>
      <c r="M3005">
        <f t="shared" si="279"/>
        <v>958.05</v>
      </c>
    </row>
    <row r="3006" spans="1:13" x14ac:dyDescent="0.25">
      <c r="A3006" s="1">
        <v>45010</v>
      </c>
      <c r="B3006" t="s">
        <v>10</v>
      </c>
      <c r="C3006" t="s">
        <v>11</v>
      </c>
      <c r="D3006" t="s">
        <v>9</v>
      </c>
      <c r="E3006">
        <v>1116.4000000000001</v>
      </c>
      <c r="F3006">
        <v>956.79</v>
      </c>
      <c r="G3006">
        <v>8</v>
      </c>
      <c r="H3006">
        <f t="shared" si="276"/>
        <v>8931.2000000000007</v>
      </c>
      <c r="I3006">
        <f t="shared" si="280"/>
        <v>7654.32</v>
      </c>
      <c r="J3006">
        <f t="shared" si="277"/>
        <v>1276.880000000001</v>
      </c>
      <c r="K3006" s="8">
        <f t="shared" si="278"/>
        <v>0.14296847008240784</v>
      </c>
      <c r="L3006" t="str">
        <f t="shared" si="281"/>
        <v>2023-03</v>
      </c>
      <c r="M3006">
        <f t="shared" si="279"/>
        <v>1276.880000000001</v>
      </c>
    </row>
    <row r="3007" spans="1:13" x14ac:dyDescent="0.25">
      <c r="A3007" s="1">
        <v>44615</v>
      </c>
      <c r="B3007" t="s">
        <v>16</v>
      </c>
      <c r="C3007" t="s">
        <v>15</v>
      </c>
      <c r="D3007" t="s">
        <v>17</v>
      </c>
      <c r="E3007">
        <v>1991.25</v>
      </c>
      <c r="F3007">
        <v>1280.02</v>
      </c>
      <c r="G3007">
        <v>4</v>
      </c>
      <c r="H3007">
        <f t="shared" si="276"/>
        <v>7965</v>
      </c>
      <c r="I3007">
        <f t="shared" si="280"/>
        <v>5120.08</v>
      </c>
      <c r="J3007">
        <f t="shared" si="277"/>
        <v>2844.92</v>
      </c>
      <c r="K3007" s="8">
        <f t="shared" si="278"/>
        <v>0.35717765222849968</v>
      </c>
      <c r="L3007" t="str">
        <f t="shared" si="281"/>
        <v>2022-02</v>
      </c>
      <c r="M3007">
        <f t="shared" si="279"/>
        <v>2844.92</v>
      </c>
    </row>
    <row r="3008" spans="1:13" x14ac:dyDescent="0.25">
      <c r="A3008" s="1">
        <v>44833</v>
      </c>
      <c r="B3008" t="s">
        <v>7</v>
      </c>
      <c r="C3008" t="s">
        <v>8</v>
      </c>
      <c r="D3008" t="s">
        <v>18</v>
      </c>
      <c r="E3008">
        <v>1447.51</v>
      </c>
      <c r="F3008">
        <v>869.72</v>
      </c>
      <c r="G3008">
        <v>10</v>
      </c>
      <c r="H3008">
        <f t="shared" si="276"/>
        <v>14475.1</v>
      </c>
      <c r="I3008">
        <f t="shared" si="280"/>
        <v>8697.2000000000007</v>
      </c>
      <c r="J3008">
        <f t="shared" si="277"/>
        <v>5777.9</v>
      </c>
      <c r="K3008" s="8">
        <f t="shared" si="278"/>
        <v>0.39916131840194535</v>
      </c>
      <c r="L3008" t="str">
        <f t="shared" si="281"/>
        <v>2022-09</v>
      </c>
      <c r="M3008">
        <f t="shared" si="279"/>
        <v>5777.9</v>
      </c>
    </row>
    <row r="3009" spans="1:13" x14ac:dyDescent="0.25">
      <c r="A3009" s="1">
        <v>45300</v>
      </c>
      <c r="B3009" t="s">
        <v>22</v>
      </c>
      <c r="C3009" t="s">
        <v>8</v>
      </c>
      <c r="D3009" t="s">
        <v>18</v>
      </c>
      <c r="E3009">
        <v>1059.55</v>
      </c>
      <c r="F3009">
        <v>777.85</v>
      </c>
      <c r="G3009">
        <v>5</v>
      </c>
      <c r="H3009">
        <f t="shared" si="276"/>
        <v>5297.75</v>
      </c>
      <c r="I3009">
        <f t="shared" si="280"/>
        <v>3889.25</v>
      </c>
      <c r="J3009">
        <f t="shared" si="277"/>
        <v>1408.5</v>
      </c>
      <c r="K3009" s="8">
        <f t="shared" si="278"/>
        <v>0.26586758529564436</v>
      </c>
      <c r="L3009" t="str">
        <f t="shared" si="281"/>
        <v>2024-01</v>
      </c>
      <c r="M3009">
        <f t="shared" si="279"/>
        <v>1408.5</v>
      </c>
    </row>
    <row r="3010" spans="1:13" x14ac:dyDescent="0.25">
      <c r="A3010" s="1">
        <v>44991</v>
      </c>
      <c r="B3010" t="s">
        <v>12</v>
      </c>
      <c r="C3010" t="s">
        <v>8</v>
      </c>
      <c r="D3010" t="s">
        <v>9</v>
      </c>
      <c r="E3010">
        <v>1996.27</v>
      </c>
      <c r="F3010">
        <v>1478.03</v>
      </c>
      <c r="G3010">
        <v>8</v>
      </c>
      <c r="H3010">
        <f t="shared" si="276"/>
        <v>15970.16</v>
      </c>
      <c r="I3010">
        <f t="shared" si="280"/>
        <v>11824.24</v>
      </c>
      <c r="J3010">
        <f t="shared" si="277"/>
        <v>4145.92</v>
      </c>
      <c r="K3010" s="8">
        <f t="shared" si="278"/>
        <v>0.25960416176168555</v>
      </c>
      <c r="L3010" t="str">
        <f t="shared" si="281"/>
        <v>2023-03</v>
      </c>
      <c r="M3010">
        <f t="shared" si="279"/>
        <v>4145.92</v>
      </c>
    </row>
    <row r="3011" spans="1:13" x14ac:dyDescent="0.25">
      <c r="A3011" s="1">
        <v>44960</v>
      </c>
      <c r="B3011" t="s">
        <v>25</v>
      </c>
      <c r="C3011" t="s">
        <v>15</v>
      </c>
      <c r="D3011" t="s">
        <v>18</v>
      </c>
      <c r="E3011">
        <v>1667.58</v>
      </c>
      <c r="F3011">
        <v>913.13</v>
      </c>
      <c r="G3011">
        <v>5</v>
      </c>
      <c r="H3011">
        <f t="shared" ref="H3011:H3074" si="282">E3011*G3011</f>
        <v>8337.9</v>
      </c>
      <c r="I3011">
        <f t="shared" si="280"/>
        <v>4565.6499999999996</v>
      </c>
      <c r="J3011">
        <f t="shared" ref="J3011:J3074" si="283">H3011-I3011</f>
        <v>3772.25</v>
      </c>
      <c r="K3011" s="8">
        <f t="shared" ref="K3011:K3074" si="284">(H3011-I3011)/H3011</f>
        <v>0.45242207270415813</v>
      </c>
      <c r="L3011" t="str">
        <f t="shared" si="281"/>
        <v>2023-02</v>
      </c>
      <c r="M3011">
        <f t="shared" ref="M3011:M3074" si="285">H3011-I3011</f>
        <v>3772.25</v>
      </c>
    </row>
    <row r="3012" spans="1:13" x14ac:dyDescent="0.25">
      <c r="A3012" s="1">
        <v>44826</v>
      </c>
      <c r="B3012" t="s">
        <v>24</v>
      </c>
      <c r="C3012" t="s">
        <v>20</v>
      </c>
      <c r="D3012" t="s">
        <v>17</v>
      </c>
      <c r="E3012">
        <v>65.28</v>
      </c>
      <c r="F3012">
        <v>35.869999999999997</v>
      </c>
      <c r="G3012">
        <v>4</v>
      </c>
      <c r="H3012">
        <f t="shared" si="282"/>
        <v>261.12</v>
      </c>
      <c r="I3012">
        <f t="shared" ref="I3012:I3075" si="286">F3012*G3012</f>
        <v>143.47999999999999</v>
      </c>
      <c r="J3012">
        <f t="shared" si="283"/>
        <v>117.64000000000001</v>
      </c>
      <c r="K3012" s="8">
        <f t="shared" si="284"/>
        <v>0.45052083333333337</v>
      </c>
      <c r="L3012" t="str">
        <f t="shared" ref="L3012:L3075" si="287">TEXT(A3012,"rrrr-mm")</f>
        <v>2022-09</v>
      </c>
      <c r="M3012">
        <f t="shared" si="285"/>
        <v>117.64000000000001</v>
      </c>
    </row>
    <row r="3013" spans="1:13" x14ac:dyDescent="0.25">
      <c r="A3013" s="1">
        <v>45292</v>
      </c>
      <c r="B3013" t="s">
        <v>22</v>
      </c>
      <c r="C3013" t="s">
        <v>8</v>
      </c>
      <c r="D3013" t="s">
        <v>18</v>
      </c>
      <c r="E3013">
        <v>1887.88</v>
      </c>
      <c r="F3013">
        <v>1289.6500000000001</v>
      </c>
      <c r="G3013">
        <v>4</v>
      </c>
      <c r="H3013">
        <f t="shared" si="282"/>
        <v>7551.52</v>
      </c>
      <c r="I3013">
        <f t="shared" si="286"/>
        <v>5158.6000000000004</v>
      </c>
      <c r="J3013">
        <f t="shared" si="283"/>
        <v>2392.92</v>
      </c>
      <c r="K3013" s="8">
        <f t="shared" si="284"/>
        <v>0.31687925079983897</v>
      </c>
      <c r="L3013" t="str">
        <f t="shared" si="287"/>
        <v>2024-01</v>
      </c>
      <c r="M3013">
        <f t="shared" si="285"/>
        <v>2392.92</v>
      </c>
    </row>
    <row r="3014" spans="1:13" x14ac:dyDescent="0.25">
      <c r="A3014" s="1">
        <v>45000</v>
      </c>
      <c r="B3014" t="s">
        <v>12</v>
      </c>
      <c r="C3014" t="s">
        <v>8</v>
      </c>
      <c r="D3014" t="s">
        <v>13</v>
      </c>
      <c r="E3014">
        <v>1526.23</v>
      </c>
      <c r="F3014">
        <v>1103.6099999999999</v>
      </c>
      <c r="G3014">
        <v>9</v>
      </c>
      <c r="H3014">
        <f t="shared" si="282"/>
        <v>13736.07</v>
      </c>
      <c r="I3014">
        <f t="shared" si="286"/>
        <v>9932.49</v>
      </c>
      <c r="J3014">
        <f t="shared" si="283"/>
        <v>3803.58</v>
      </c>
      <c r="K3014" s="8">
        <f t="shared" si="284"/>
        <v>0.27690452946148353</v>
      </c>
      <c r="L3014" t="str">
        <f t="shared" si="287"/>
        <v>2023-03</v>
      </c>
      <c r="M3014">
        <f t="shared" si="285"/>
        <v>3803.58</v>
      </c>
    </row>
    <row r="3015" spans="1:13" x14ac:dyDescent="0.25">
      <c r="A3015" s="1">
        <v>44708</v>
      </c>
      <c r="B3015" t="s">
        <v>10</v>
      </c>
      <c r="C3015" t="s">
        <v>11</v>
      </c>
      <c r="D3015" t="s">
        <v>9</v>
      </c>
      <c r="E3015">
        <v>240.02</v>
      </c>
      <c r="F3015">
        <v>131.96</v>
      </c>
      <c r="G3015">
        <v>10</v>
      </c>
      <c r="H3015">
        <f t="shared" si="282"/>
        <v>2400.2000000000003</v>
      </c>
      <c r="I3015">
        <f t="shared" si="286"/>
        <v>1319.6000000000001</v>
      </c>
      <c r="J3015">
        <f t="shared" si="283"/>
        <v>1080.6000000000001</v>
      </c>
      <c r="K3015" s="8">
        <f t="shared" si="284"/>
        <v>0.45021248229314226</v>
      </c>
      <c r="L3015" t="str">
        <f t="shared" si="287"/>
        <v>2022-05</v>
      </c>
      <c r="M3015">
        <f t="shared" si="285"/>
        <v>1080.6000000000001</v>
      </c>
    </row>
    <row r="3016" spans="1:13" x14ac:dyDescent="0.25">
      <c r="A3016" s="1">
        <v>45473</v>
      </c>
      <c r="B3016" t="s">
        <v>7</v>
      </c>
      <c r="C3016" t="s">
        <v>8</v>
      </c>
      <c r="D3016" t="s">
        <v>17</v>
      </c>
      <c r="E3016">
        <v>607.98</v>
      </c>
      <c r="F3016">
        <v>420.03</v>
      </c>
      <c r="G3016">
        <v>6</v>
      </c>
      <c r="H3016">
        <f t="shared" si="282"/>
        <v>3647.88</v>
      </c>
      <c r="I3016">
        <f t="shared" si="286"/>
        <v>2520.1799999999998</v>
      </c>
      <c r="J3016">
        <f t="shared" si="283"/>
        <v>1127.7000000000003</v>
      </c>
      <c r="K3016" s="8">
        <f t="shared" si="284"/>
        <v>0.30913845850192445</v>
      </c>
      <c r="L3016" t="str">
        <f t="shared" si="287"/>
        <v>2024-06</v>
      </c>
      <c r="M3016">
        <f t="shared" si="285"/>
        <v>1127.7000000000003</v>
      </c>
    </row>
    <row r="3017" spans="1:13" x14ac:dyDescent="0.25">
      <c r="A3017" s="1">
        <v>45276</v>
      </c>
      <c r="B3017" t="s">
        <v>21</v>
      </c>
      <c r="C3017" t="s">
        <v>20</v>
      </c>
      <c r="D3017" t="s">
        <v>9</v>
      </c>
      <c r="E3017">
        <v>693.31</v>
      </c>
      <c r="F3017">
        <v>499.37</v>
      </c>
      <c r="G3017">
        <v>1</v>
      </c>
      <c r="H3017">
        <f t="shared" si="282"/>
        <v>693.31</v>
      </c>
      <c r="I3017">
        <f t="shared" si="286"/>
        <v>499.37</v>
      </c>
      <c r="J3017">
        <f t="shared" si="283"/>
        <v>193.93999999999994</v>
      </c>
      <c r="K3017" s="8">
        <f t="shared" si="284"/>
        <v>0.27973056785564893</v>
      </c>
      <c r="L3017" t="str">
        <f t="shared" si="287"/>
        <v>2023-12</v>
      </c>
      <c r="M3017">
        <f t="shared" si="285"/>
        <v>193.93999999999994</v>
      </c>
    </row>
    <row r="3018" spans="1:13" x14ac:dyDescent="0.25">
      <c r="A3018" s="1">
        <v>44826</v>
      </c>
      <c r="B3018" t="s">
        <v>14</v>
      </c>
      <c r="C3018" t="s">
        <v>15</v>
      </c>
      <c r="D3018" t="s">
        <v>13</v>
      </c>
      <c r="E3018">
        <v>1242.4000000000001</v>
      </c>
      <c r="F3018">
        <v>914.89</v>
      </c>
      <c r="G3018">
        <v>4</v>
      </c>
      <c r="H3018">
        <f t="shared" si="282"/>
        <v>4969.6000000000004</v>
      </c>
      <c r="I3018">
        <f t="shared" si="286"/>
        <v>3659.56</v>
      </c>
      <c r="J3018">
        <f t="shared" si="283"/>
        <v>1310.0400000000004</v>
      </c>
      <c r="K3018" s="8">
        <f t="shared" si="284"/>
        <v>0.26361075338055384</v>
      </c>
      <c r="L3018" t="str">
        <f t="shared" si="287"/>
        <v>2022-09</v>
      </c>
      <c r="M3018">
        <f t="shared" si="285"/>
        <v>1310.0400000000004</v>
      </c>
    </row>
    <row r="3019" spans="1:13" x14ac:dyDescent="0.25">
      <c r="A3019" s="1">
        <v>44781</v>
      </c>
      <c r="B3019" t="s">
        <v>12</v>
      </c>
      <c r="C3019" t="s">
        <v>8</v>
      </c>
      <c r="D3019" t="s">
        <v>18</v>
      </c>
      <c r="E3019">
        <v>1817.65</v>
      </c>
      <c r="F3019">
        <v>915.87</v>
      </c>
      <c r="G3019">
        <v>4</v>
      </c>
      <c r="H3019">
        <f t="shared" si="282"/>
        <v>7270.6</v>
      </c>
      <c r="I3019">
        <f t="shared" si="286"/>
        <v>3663.48</v>
      </c>
      <c r="J3019">
        <f t="shared" si="283"/>
        <v>3607.1200000000003</v>
      </c>
      <c r="K3019" s="8">
        <f t="shared" si="284"/>
        <v>0.49612411630401893</v>
      </c>
      <c r="L3019" t="str">
        <f t="shared" si="287"/>
        <v>2022-08</v>
      </c>
      <c r="M3019">
        <f t="shared" si="285"/>
        <v>3607.1200000000003</v>
      </c>
    </row>
    <row r="3020" spans="1:13" x14ac:dyDescent="0.25">
      <c r="A3020" s="1">
        <v>45450</v>
      </c>
      <c r="B3020" t="s">
        <v>7</v>
      </c>
      <c r="C3020" t="s">
        <v>8</v>
      </c>
      <c r="D3020" t="s">
        <v>9</v>
      </c>
      <c r="E3020">
        <v>1535.29</v>
      </c>
      <c r="F3020">
        <v>1265.6199999999999</v>
      </c>
      <c r="G3020">
        <v>10</v>
      </c>
      <c r="H3020">
        <f t="shared" si="282"/>
        <v>15352.9</v>
      </c>
      <c r="I3020">
        <f t="shared" si="286"/>
        <v>12656.199999999999</v>
      </c>
      <c r="J3020">
        <f t="shared" si="283"/>
        <v>2696.7000000000007</v>
      </c>
      <c r="K3020" s="8">
        <f t="shared" si="284"/>
        <v>0.17564759752229225</v>
      </c>
      <c r="L3020" t="str">
        <f t="shared" si="287"/>
        <v>2024-06</v>
      </c>
      <c r="M3020">
        <f t="shared" si="285"/>
        <v>2696.7000000000007</v>
      </c>
    </row>
    <row r="3021" spans="1:13" x14ac:dyDescent="0.25">
      <c r="A3021" s="1">
        <v>44925</v>
      </c>
      <c r="B3021" t="s">
        <v>24</v>
      </c>
      <c r="C3021" t="s">
        <v>20</v>
      </c>
      <c r="D3021" t="s">
        <v>13</v>
      </c>
      <c r="E3021">
        <v>1909.45</v>
      </c>
      <c r="F3021">
        <v>1057.6500000000001</v>
      </c>
      <c r="G3021">
        <v>5</v>
      </c>
      <c r="H3021">
        <f t="shared" si="282"/>
        <v>9547.25</v>
      </c>
      <c r="I3021">
        <f t="shared" si="286"/>
        <v>5288.25</v>
      </c>
      <c r="J3021">
        <f t="shared" si="283"/>
        <v>4259</v>
      </c>
      <c r="K3021" s="8">
        <f t="shared" si="284"/>
        <v>0.4460970436513132</v>
      </c>
      <c r="L3021" t="str">
        <f t="shared" si="287"/>
        <v>2022-12</v>
      </c>
      <c r="M3021">
        <f t="shared" si="285"/>
        <v>4259</v>
      </c>
    </row>
    <row r="3022" spans="1:13" x14ac:dyDescent="0.25">
      <c r="A3022" s="1">
        <v>44977</v>
      </c>
      <c r="B3022" t="s">
        <v>24</v>
      </c>
      <c r="C3022" t="s">
        <v>20</v>
      </c>
      <c r="D3022" t="s">
        <v>18</v>
      </c>
      <c r="E3022">
        <v>1484.68</v>
      </c>
      <c r="F3022">
        <v>959.6</v>
      </c>
      <c r="G3022">
        <v>5</v>
      </c>
      <c r="H3022">
        <f t="shared" si="282"/>
        <v>7423.4000000000005</v>
      </c>
      <c r="I3022">
        <f t="shared" si="286"/>
        <v>4798</v>
      </c>
      <c r="J3022">
        <f t="shared" si="283"/>
        <v>2625.4000000000005</v>
      </c>
      <c r="K3022" s="8">
        <f t="shared" si="284"/>
        <v>0.35366543632297875</v>
      </c>
      <c r="L3022" t="str">
        <f t="shared" si="287"/>
        <v>2023-02</v>
      </c>
      <c r="M3022">
        <f t="shared" si="285"/>
        <v>2625.4000000000005</v>
      </c>
    </row>
    <row r="3023" spans="1:13" x14ac:dyDescent="0.25">
      <c r="A3023" s="1">
        <v>45615</v>
      </c>
      <c r="B3023" t="s">
        <v>25</v>
      </c>
      <c r="C3023" t="s">
        <v>15</v>
      </c>
      <c r="D3023" t="s">
        <v>9</v>
      </c>
      <c r="E3023">
        <v>1790.94</v>
      </c>
      <c r="F3023">
        <v>1209.92</v>
      </c>
      <c r="G3023">
        <v>4</v>
      </c>
      <c r="H3023">
        <f t="shared" si="282"/>
        <v>7163.76</v>
      </c>
      <c r="I3023">
        <f t="shared" si="286"/>
        <v>4839.68</v>
      </c>
      <c r="J3023">
        <f t="shared" si="283"/>
        <v>2324.08</v>
      </c>
      <c r="K3023" s="8">
        <f t="shared" si="284"/>
        <v>0.32442181200933584</v>
      </c>
      <c r="L3023" t="str">
        <f t="shared" si="287"/>
        <v>2024-11</v>
      </c>
      <c r="M3023">
        <f t="shared" si="285"/>
        <v>2324.08</v>
      </c>
    </row>
    <row r="3024" spans="1:13" x14ac:dyDescent="0.25">
      <c r="A3024" s="1">
        <v>45476</v>
      </c>
      <c r="B3024" t="s">
        <v>23</v>
      </c>
      <c r="C3024" t="s">
        <v>11</v>
      </c>
      <c r="D3024" t="s">
        <v>9</v>
      </c>
      <c r="E3024">
        <v>1544.7</v>
      </c>
      <c r="F3024">
        <v>1284.9000000000001</v>
      </c>
      <c r="G3024">
        <v>3</v>
      </c>
      <c r="H3024">
        <f t="shared" si="282"/>
        <v>4634.1000000000004</v>
      </c>
      <c r="I3024">
        <f t="shared" si="286"/>
        <v>3854.7000000000003</v>
      </c>
      <c r="J3024">
        <f t="shared" si="283"/>
        <v>779.40000000000009</v>
      </c>
      <c r="K3024" s="8">
        <f t="shared" si="284"/>
        <v>0.16818799766945039</v>
      </c>
      <c r="L3024" t="str">
        <f t="shared" si="287"/>
        <v>2024-07</v>
      </c>
      <c r="M3024">
        <f t="shared" si="285"/>
        <v>779.40000000000009</v>
      </c>
    </row>
    <row r="3025" spans="1:13" x14ac:dyDescent="0.25">
      <c r="A3025" s="1">
        <v>45505</v>
      </c>
      <c r="B3025" t="s">
        <v>19</v>
      </c>
      <c r="C3025" t="s">
        <v>20</v>
      </c>
      <c r="D3025" t="s">
        <v>9</v>
      </c>
      <c r="E3025">
        <v>1304.75</v>
      </c>
      <c r="F3025">
        <v>829.13</v>
      </c>
      <c r="G3025">
        <v>10</v>
      </c>
      <c r="H3025">
        <f t="shared" si="282"/>
        <v>13047.5</v>
      </c>
      <c r="I3025">
        <f t="shared" si="286"/>
        <v>8291.2999999999993</v>
      </c>
      <c r="J3025">
        <f t="shared" si="283"/>
        <v>4756.2000000000007</v>
      </c>
      <c r="K3025" s="8">
        <f t="shared" si="284"/>
        <v>0.36452960337229362</v>
      </c>
      <c r="L3025" t="str">
        <f t="shared" si="287"/>
        <v>2024-08</v>
      </c>
      <c r="M3025">
        <f t="shared" si="285"/>
        <v>4756.2000000000007</v>
      </c>
    </row>
    <row r="3026" spans="1:13" x14ac:dyDescent="0.25">
      <c r="A3026" s="1">
        <v>45539</v>
      </c>
      <c r="B3026" t="s">
        <v>19</v>
      </c>
      <c r="C3026" t="s">
        <v>20</v>
      </c>
      <c r="D3026" t="s">
        <v>17</v>
      </c>
      <c r="E3026">
        <v>1986.78</v>
      </c>
      <c r="F3026">
        <v>1065.8599999999999</v>
      </c>
      <c r="G3026">
        <v>7</v>
      </c>
      <c r="H3026">
        <f t="shared" si="282"/>
        <v>13907.46</v>
      </c>
      <c r="I3026">
        <f t="shared" si="286"/>
        <v>7461.0199999999995</v>
      </c>
      <c r="J3026">
        <f t="shared" si="283"/>
        <v>6446.44</v>
      </c>
      <c r="K3026" s="8">
        <f t="shared" si="284"/>
        <v>0.46352389293228241</v>
      </c>
      <c r="L3026" t="str">
        <f t="shared" si="287"/>
        <v>2024-09</v>
      </c>
      <c r="M3026">
        <f t="shared" si="285"/>
        <v>6446.44</v>
      </c>
    </row>
    <row r="3027" spans="1:13" x14ac:dyDescent="0.25">
      <c r="A3027" s="1">
        <v>44971</v>
      </c>
      <c r="B3027" t="s">
        <v>10</v>
      </c>
      <c r="C3027" t="s">
        <v>11</v>
      </c>
      <c r="D3027" t="s">
        <v>9</v>
      </c>
      <c r="E3027">
        <v>55.35</v>
      </c>
      <c r="F3027">
        <v>46.29</v>
      </c>
      <c r="G3027">
        <v>8</v>
      </c>
      <c r="H3027">
        <f t="shared" si="282"/>
        <v>442.8</v>
      </c>
      <c r="I3027">
        <f t="shared" si="286"/>
        <v>370.32</v>
      </c>
      <c r="J3027">
        <f t="shared" si="283"/>
        <v>72.480000000000018</v>
      </c>
      <c r="K3027" s="8">
        <f t="shared" si="284"/>
        <v>0.16368563685636861</v>
      </c>
      <c r="L3027" t="str">
        <f t="shared" si="287"/>
        <v>2023-02</v>
      </c>
      <c r="M3027">
        <f t="shared" si="285"/>
        <v>72.480000000000018</v>
      </c>
    </row>
    <row r="3028" spans="1:13" x14ac:dyDescent="0.25">
      <c r="A3028" s="1">
        <v>44618</v>
      </c>
      <c r="B3028" t="s">
        <v>19</v>
      </c>
      <c r="C3028" t="s">
        <v>20</v>
      </c>
      <c r="D3028" t="s">
        <v>18</v>
      </c>
      <c r="E3028">
        <v>200.25</v>
      </c>
      <c r="F3028">
        <v>106.31</v>
      </c>
      <c r="G3028">
        <v>7</v>
      </c>
      <c r="H3028">
        <f t="shared" si="282"/>
        <v>1401.75</v>
      </c>
      <c r="I3028">
        <f t="shared" si="286"/>
        <v>744.17000000000007</v>
      </c>
      <c r="J3028">
        <f t="shared" si="283"/>
        <v>657.57999999999993</v>
      </c>
      <c r="K3028" s="8">
        <f t="shared" si="284"/>
        <v>0.46911360799001245</v>
      </c>
      <c r="L3028" t="str">
        <f t="shared" si="287"/>
        <v>2022-02</v>
      </c>
      <c r="M3028">
        <f t="shared" si="285"/>
        <v>657.57999999999993</v>
      </c>
    </row>
    <row r="3029" spans="1:13" x14ac:dyDescent="0.25">
      <c r="A3029" s="1">
        <v>44767</v>
      </c>
      <c r="B3029" t="s">
        <v>12</v>
      </c>
      <c r="C3029" t="s">
        <v>8</v>
      </c>
      <c r="D3029" t="s">
        <v>18</v>
      </c>
      <c r="E3029">
        <v>1330.06</v>
      </c>
      <c r="F3029">
        <v>963.69</v>
      </c>
      <c r="G3029">
        <v>5</v>
      </c>
      <c r="H3029">
        <f t="shared" si="282"/>
        <v>6650.2999999999993</v>
      </c>
      <c r="I3029">
        <f t="shared" si="286"/>
        <v>4818.4500000000007</v>
      </c>
      <c r="J3029">
        <f t="shared" si="283"/>
        <v>1831.8499999999985</v>
      </c>
      <c r="K3029" s="8">
        <f t="shared" si="284"/>
        <v>0.27545373892907066</v>
      </c>
      <c r="L3029" t="str">
        <f t="shared" si="287"/>
        <v>2022-07</v>
      </c>
      <c r="M3029">
        <f t="shared" si="285"/>
        <v>1831.8499999999985</v>
      </c>
    </row>
    <row r="3030" spans="1:13" x14ac:dyDescent="0.25">
      <c r="A3030" s="1">
        <v>45619</v>
      </c>
      <c r="B3030" t="s">
        <v>10</v>
      </c>
      <c r="C3030" t="s">
        <v>11</v>
      </c>
      <c r="D3030" t="s">
        <v>9</v>
      </c>
      <c r="E3030">
        <v>482.48</v>
      </c>
      <c r="F3030">
        <v>426.32</v>
      </c>
      <c r="G3030">
        <v>6</v>
      </c>
      <c r="H3030">
        <f t="shared" si="282"/>
        <v>2894.88</v>
      </c>
      <c r="I3030">
        <f t="shared" si="286"/>
        <v>2557.92</v>
      </c>
      <c r="J3030">
        <f t="shared" si="283"/>
        <v>336.96000000000004</v>
      </c>
      <c r="K3030" s="8">
        <f t="shared" si="284"/>
        <v>0.11639860719615322</v>
      </c>
      <c r="L3030" t="str">
        <f t="shared" si="287"/>
        <v>2024-11</v>
      </c>
      <c r="M3030">
        <f t="shared" si="285"/>
        <v>336.96000000000004</v>
      </c>
    </row>
    <row r="3031" spans="1:13" x14ac:dyDescent="0.25">
      <c r="A3031" s="1">
        <v>45237</v>
      </c>
      <c r="B3031" t="s">
        <v>23</v>
      </c>
      <c r="C3031" t="s">
        <v>11</v>
      </c>
      <c r="D3031" t="s">
        <v>9</v>
      </c>
      <c r="E3031">
        <v>1561.99</v>
      </c>
      <c r="F3031">
        <v>1131.01</v>
      </c>
      <c r="G3031">
        <v>5</v>
      </c>
      <c r="H3031">
        <f t="shared" si="282"/>
        <v>7809.95</v>
      </c>
      <c r="I3031">
        <f t="shared" si="286"/>
        <v>5655.05</v>
      </c>
      <c r="J3031">
        <f t="shared" si="283"/>
        <v>2154.8999999999996</v>
      </c>
      <c r="K3031" s="8">
        <f t="shared" si="284"/>
        <v>0.27591725939346601</v>
      </c>
      <c r="L3031" t="str">
        <f t="shared" si="287"/>
        <v>2023-11</v>
      </c>
      <c r="M3031">
        <f t="shared" si="285"/>
        <v>2154.8999999999996</v>
      </c>
    </row>
    <row r="3032" spans="1:13" x14ac:dyDescent="0.25">
      <c r="A3032" s="1">
        <v>45602</v>
      </c>
      <c r="B3032" t="s">
        <v>7</v>
      </c>
      <c r="C3032" t="s">
        <v>8</v>
      </c>
      <c r="D3032" t="s">
        <v>17</v>
      </c>
      <c r="E3032">
        <v>1859.7</v>
      </c>
      <c r="F3032">
        <v>1121.8900000000001</v>
      </c>
      <c r="G3032">
        <v>9</v>
      </c>
      <c r="H3032">
        <f t="shared" si="282"/>
        <v>16737.3</v>
      </c>
      <c r="I3032">
        <f t="shared" si="286"/>
        <v>10097.01</v>
      </c>
      <c r="J3032">
        <f t="shared" si="283"/>
        <v>6640.2899999999991</v>
      </c>
      <c r="K3032" s="8">
        <f t="shared" si="284"/>
        <v>0.39673603269344515</v>
      </c>
      <c r="L3032" t="str">
        <f t="shared" si="287"/>
        <v>2024-11</v>
      </c>
      <c r="M3032">
        <f t="shared" si="285"/>
        <v>6640.2899999999991</v>
      </c>
    </row>
    <row r="3033" spans="1:13" x14ac:dyDescent="0.25">
      <c r="A3033" s="1">
        <v>45192</v>
      </c>
      <c r="B3033" t="s">
        <v>16</v>
      </c>
      <c r="C3033" t="s">
        <v>15</v>
      </c>
      <c r="D3033" t="s">
        <v>18</v>
      </c>
      <c r="E3033">
        <v>1635.62</v>
      </c>
      <c r="F3033">
        <v>1421.44</v>
      </c>
      <c r="G3033">
        <v>1</v>
      </c>
      <c r="H3033">
        <f t="shared" si="282"/>
        <v>1635.62</v>
      </c>
      <c r="I3033">
        <f t="shared" si="286"/>
        <v>1421.44</v>
      </c>
      <c r="J3033">
        <f t="shared" si="283"/>
        <v>214.17999999999984</v>
      </c>
      <c r="K3033" s="8">
        <f t="shared" si="284"/>
        <v>0.13094728604443565</v>
      </c>
      <c r="L3033" t="str">
        <f t="shared" si="287"/>
        <v>2023-09</v>
      </c>
      <c r="M3033">
        <f t="shared" si="285"/>
        <v>214.17999999999984</v>
      </c>
    </row>
    <row r="3034" spans="1:13" x14ac:dyDescent="0.25">
      <c r="A3034" s="1">
        <v>45524</v>
      </c>
      <c r="B3034" t="s">
        <v>24</v>
      </c>
      <c r="C3034" t="s">
        <v>20</v>
      </c>
      <c r="D3034" t="s">
        <v>18</v>
      </c>
      <c r="E3034">
        <v>1734.94</v>
      </c>
      <c r="F3034">
        <v>871.98</v>
      </c>
      <c r="G3034">
        <v>10</v>
      </c>
      <c r="H3034">
        <f t="shared" si="282"/>
        <v>17349.400000000001</v>
      </c>
      <c r="I3034">
        <f t="shared" si="286"/>
        <v>8719.7999999999993</v>
      </c>
      <c r="J3034">
        <f t="shared" si="283"/>
        <v>8629.6000000000022</v>
      </c>
      <c r="K3034" s="8">
        <f t="shared" si="284"/>
        <v>0.49740048647215473</v>
      </c>
      <c r="L3034" t="str">
        <f t="shared" si="287"/>
        <v>2024-08</v>
      </c>
      <c r="M3034">
        <f t="shared" si="285"/>
        <v>8629.6000000000022</v>
      </c>
    </row>
    <row r="3035" spans="1:13" x14ac:dyDescent="0.25">
      <c r="A3035" s="1">
        <v>45180</v>
      </c>
      <c r="B3035" t="s">
        <v>16</v>
      </c>
      <c r="C3035" t="s">
        <v>15</v>
      </c>
      <c r="D3035" t="s">
        <v>13</v>
      </c>
      <c r="E3035">
        <v>214.14</v>
      </c>
      <c r="F3035">
        <v>179.63</v>
      </c>
      <c r="G3035">
        <v>2</v>
      </c>
      <c r="H3035">
        <f t="shared" si="282"/>
        <v>428.28</v>
      </c>
      <c r="I3035">
        <f t="shared" si="286"/>
        <v>359.26</v>
      </c>
      <c r="J3035">
        <f t="shared" si="283"/>
        <v>69.019999999999982</v>
      </c>
      <c r="K3035" s="8">
        <f t="shared" si="284"/>
        <v>0.16115625291865132</v>
      </c>
      <c r="L3035" t="str">
        <f t="shared" si="287"/>
        <v>2023-09</v>
      </c>
      <c r="M3035">
        <f t="shared" si="285"/>
        <v>69.019999999999982</v>
      </c>
    </row>
    <row r="3036" spans="1:13" x14ac:dyDescent="0.25">
      <c r="A3036" s="1">
        <v>45423</v>
      </c>
      <c r="B3036" t="s">
        <v>21</v>
      </c>
      <c r="C3036" t="s">
        <v>20</v>
      </c>
      <c r="D3036" t="s">
        <v>13</v>
      </c>
      <c r="E3036">
        <v>219.1</v>
      </c>
      <c r="F3036">
        <v>182.3</v>
      </c>
      <c r="G3036">
        <v>1</v>
      </c>
      <c r="H3036">
        <f t="shared" si="282"/>
        <v>219.1</v>
      </c>
      <c r="I3036">
        <f t="shared" si="286"/>
        <v>182.3</v>
      </c>
      <c r="J3036">
        <f t="shared" si="283"/>
        <v>36.799999999999983</v>
      </c>
      <c r="K3036" s="8">
        <f t="shared" si="284"/>
        <v>0.167959835691465</v>
      </c>
      <c r="L3036" t="str">
        <f t="shared" si="287"/>
        <v>2024-05</v>
      </c>
      <c r="M3036">
        <f t="shared" si="285"/>
        <v>36.799999999999983</v>
      </c>
    </row>
    <row r="3037" spans="1:13" x14ac:dyDescent="0.25">
      <c r="A3037" s="1">
        <v>44842</v>
      </c>
      <c r="B3037" t="s">
        <v>19</v>
      </c>
      <c r="C3037" t="s">
        <v>20</v>
      </c>
      <c r="D3037" t="s">
        <v>17</v>
      </c>
      <c r="E3037">
        <v>860.16</v>
      </c>
      <c r="F3037">
        <v>702.62</v>
      </c>
      <c r="G3037">
        <v>7</v>
      </c>
      <c r="H3037">
        <f t="shared" si="282"/>
        <v>6021.12</v>
      </c>
      <c r="I3037">
        <f t="shared" si="286"/>
        <v>4918.34</v>
      </c>
      <c r="J3037">
        <f t="shared" si="283"/>
        <v>1102.7799999999997</v>
      </c>
      <c r="K3037" s="8">
        <f t="shared" si="284"/>
        <v>0.18315197172619044</v>
      </c>
      <c r="L3037" t="str">
        <f t="shared" si="287"/>
        <v>2022-10</v>
      </c>
      <c r="M3037">
        <f t="shared" si="285"/>
        <v>1102.7799999999997</v>
      </c>
    </row>
    <row r="3038" spans="1:13" x14ac:dyDescent="0.25">
      <c r="A3038" s="1">
        <v>45301</v>
      </c>
      <c r="B3038" t="s">
        <v>16</v>
      </c>
      <c r="C3038" t="s">
        <v>15</v>
      </c>
      <c r="D3038" t="s">
        <v>18</v>
      </c>
      <c r="E3038">
        <v>1449.06</v>
      </c>
      <c r="F3038">
        <v>1037.03</v>
      </c>
      <c r="G3038">
        <v>7</v>
      </c>
      <c r="H3038">
        <f t="shared" si="282"/>
        <v>10143.42</v>
      </c>
      <c r="I3038">
        <f t="shared" si="286"/>
        <v>7259.21</v>
      </c>
      <c r="J3038">
        <f t="shared" si="283"/>
        <v>2884.21</v>
      </c>
      <c r="K3038" s="8">
        <f t="shared" si="284"/>
        <v>0.28434295336286974</v>
      </c>
      <c r="L3038" t="str">
        <f t="shared" si="287"/>
        <v>2024-01</v>
      </c>
      <c r="M3038">
        <f t="shared" si="285"/>
        <v>2884.21</v>
      </c>
    </row>
    <row r="3039" spans="1:13" x14ac:dyDescent="0.25">
      <c r="A3039" s="1">
        <v>45130</v>
      </c>
      <c r="B3039" t="s">
        <v>21</v>
      </c>
      <c r="C3039" t="s">
        <v>20</v>
      </c>
      <c r="D3039" t="s">
        <v>13</v>
      </c>
      <c r="E3039">
        <v>1641.75</v>
      </c>
      <c r="F3039">
        <v>1381.9</v>
      </c>
      <c r="G3039">
        <v>8</v>
      </c>
      <c r="H3039">
        <f t="shared" si="282"/>
        <v>13134</v>
      </c>
      <c r="I3039">
        <f t="shared" si="286"/>
        <v>11055.2</v>
      </c>
      <c r="J3039">
        <f t="shared" si="283"/>
        <v>2078.7999999999993</v>
      </c>
      <c r="K3039" s="8">
        <f t="shared" si="284"/>
        <v>0.15827622963301349</v>
      </c>
      <c r="L3039" t="str">
        <f t="shared" si="287"/>
        <v>2023-07</v>
      </c>
      <c r="M3039">
        <f t="shared" si="285"/>
        <v>2078.7999999999993</v>
      </c>
    </row>
    <row r="3040" spans="1:13" x14ac:dyDescent="0.25">
      <c r="A3040" s="1">
        <v>45520</v>
      </c>
      <c r="B3040" t="s">
        <v>21</v>
      </c>
      <c r="C3040" t="s">
        <v>20</v>
      </c>
      <c r="D3040" t="s">
        <v>18</v>
      </c>
      <c r="E3040">
        <v>390.77</v>
      </c>
      <c r="F3040">
        <v>234.8</v>
      </c>
      <c r="G3040">
        <v>5</v>
      </c>
      <c r="H3040">
        <f t="shared" si="282"/>
        <v>1953.85</v>
      </c>
      <c r="I3040">
        <f t="shared" si="286"/>
        <v>1174</v>
      </c>
      <c r="J3040">
        <f t="shared" si="283"/>
        <v>779.84999999999991</v>
      </c>
      <c r="K3040" s="8">
        <f t="shared" si="284"/>
        <v>0.39913504107275377</v>
      </c>
      <c r="L3040" t="str">
        <f t="shared" si="287"/>
        <v>2024-08</v>
      </c>
      <c r="M3040">
        <f t="shared" si="285"/>
        <v>779.84999999999991</v>
      </c>
    </row>
    <row r="3041" spans="1:13" x14ac:dyDescent="0.25">
      <c r="A3041" s="1">
        <v>45018</v>
      </c>
      <c r="B3041" t="s">
        <v>16</v>
      </c>
      <c r="C3041" t="s">
        <v>15</v>
      </c>
      <c r="D3041" t="s">
        <v>17</v>
      </c>
      <c r="E3041">
        <v>1810.22</v>
      </c>
      <c r="F3041">
        <v>1513.13</v>
      </c>
      <c r="G3041">
        <v>5</v>
      </c>
      <c r="H3041">
        <f t="shared" si="282"/>
        <v>9051.1</v>
      </c>
      <c r="I3041">
        <f t="shared" si="286"/>
        <v>7565.6500000000005</v>
      </c>
      <c r="J3041">
        <f t="shared" si="283"/>
        <v>1485.4499999999998</v>
      </c>
      <c r="K3041" s="8">
        <f t="shared" si="284"/>
        <v>0.16411817348167623</v>
      </c>
      <c r="L3041" t="str">
        <f t="shared" si="287"/>
        <v>2023-04</v>
      </c>
      <c r="M3041">
        <f t="shared" si="285"/>
        <v>1485.4499999999998</v>
      </c>
    </row>
    <row r="3042" spans="1:13" x14ac:dyDescent="0.25">
      <c r="A3042" s="1">
        <v>45476</v>
      </c>
      <c r="B3042" t="s">
        <v>14</v>
      </c>
      <c r="C3042" t="s">
        <v>15</v>
      </c>
      <c r="D3042" t="s">
        <v>17</v>
      </c>
      <c r="E3042">
        <v>742.68</v>
      </c>
      <c r="F3042">
        <v>588.86</v>
      </c>
      <c r="G3042">
        <v>5</v>
      </c>
      <c r="H3042">
        <f t="shared" si="282"/>
        <v>3713.3999999999996</v>
      </c>
      <c r="I3042">
        <f t="shared" si="286"/>
        <v>2944.3</v>
      </c>
      <c r="J3042">
        <f t="shared" si="283"/>
        <v>769.09999999999945</v>
      </c>
      <c r="K3042" s="8">
        <f t="shared" si="284"/>
        <v>0.20711477352291688</v>
      </c>
      <c r="L3042" t="str">
        <f t="shared" si="287"/>
        <v>2024-07</v>
      </c>
      <c r="M3042">
        <f t="shared" si="285"/>
        <v>769.09999999999945</v>
      </c>
    </row>
    <row r="3043" spans="1:13" x14ac:dyDescent="0.25">
      <c r="A3043" s="1">
        <v>44693</v>
      </c>
      <c r="B3043" t="s">
        <v>12</v>
      </c>
      <c r="C3043" t="s">
        <v>8</v>
      </c>
      <c r="D3043" t="s">
        <v>13</v>
      </c>
      <c r="E3043">
        <v>956</v>
      </c>
      <c r="F3043">
        <v>721.45</v>
      </c>
      <c r="G3043">
        <v>9</v>
      </c>
      <c r="H3043">
        <f t="shared" si="282"/>
        <v>8604</v>
      </c>
      <c r="I3043">
        <f t="shared" si="286"/>
        <v>6493.05</v>
      </c>
      <c r="J3043">
        <f t="shared" si="283"/>
        <v>2110.9499999999998</v>
      </c>
      <c r="K3043" s="8">
        <f t="shared" si="284"/>
        <v>0.24534518828451882</v>
      </c>
      <c r="L3043" t="str">
        <f t="shared" si="287"/>
        <v>2022-05</v>
      </c>
      <c r="M3043">
        <f t="shared" si="285"/>
        <v>2110.9499999999998</v>
      </c>
    </row>
    <row r="3044" spans="1:13" x14ac:dyDescent="0.25">
      <c r="A3044" s="1">
        <v>45650</v>
      </c>
      <c r="B3044" t="s">
        <v>12</v>
      </c>
      <c r="C3044" t="s">
        <v>8</v>
      </c>
      <c r="D3044" t="s">
        <v>9</v>
      </c>
      <c r="E3044">
        <v>1965.35</v>
      </c>
      <c r="F3044">
        <v>1648.23</v>
      </c>
      <c r="G3044">
        <v>6</v>
      </c>
      <c r="H3044">
        <f t="shared" si="282"/>
        <v>11792.099999999999</v>
      </c>
      <c r="I3044">
        <f t="shared" si="286"/>
        <v>9889.380000000001</v>
      </c>
      <c r="J3044">
        <f t="shared" si="283"/>
        <v>1902.7199999999975</v>
      </c>
      <c r="K3044" s="8">
        <f t="shared" si="284"/>
        <v>0.16135548375607378</v>
      </c>
      <c r="L3044" t="str">
        <f t="shared" si="287"/>
        <v>2024-12</v>
      </c>
      <c r="M3044">
        <f t="shared" si="285"/>
        <v>1902.7199999999975</v>
      </c>
    </row>
    <row r="3045" spans="1:13" x14ac:dyDescent="0.25">
      <c r="A3045" s="1">
        <v>45637</v>
      </c>
      <c r="B3045" t="s">
        <v>22</v>
      </c>
      <c r="C3045" t="s">
        <v>8</v>
      </c>
      <c r="D3045" t="s">
        <v>17</v>
      </c>
      <c r="E3045">
        <v>715.94</v>
      </c>
      <c r="F3045">
        <v>589.49</v>
      </c>
      <c r="G3045">
        <v>1</v>
      </c>
      <c r="H3045">
        <f t="shared" si="282"/>
        <v>715.94</v>
      </c>
      <c r="I3045">
        <f t="shared" si="286"/>
        <v>589.49</v>
      </c>
      <c r="J3045">
        <f t="shared" si="283"/>
        <v>126.45000000000005</v>
      </c>
      <c r="K3045" s="8">
        <f t="shared" si="284"/>
        <v>0.1766209458893204</v>
      </c>
      <c r="L3045" t="str">
        <f t="shared" si="287"/>
        <v>2024-12</v>
      </c>
      <c r="M3045">
        <f t="shared" si="285"/>
        <v>126.45000000000005</v>
      </c>
    </row>
    <row r="3046" spans="1:13" x14ac:dyDescent="0.25">
      <c r="A3046" s="1">
        <v>44840</v>
      </c>
      <c r="B3046" t="s">
        <v>12</v>
      </c>
      <c r="C3046" t="s">
        <v>8</v>
      </c>
      <c r="D3046" t="s">
        <v>17</v>
      </c>
      <c r="E3046">
        <v>938.08</v>
      </c>
      <c r="F3046">
        <v>492.63</v>
      </c>
      <c r="G3046">
        <v>6</v>
      </c>
      <c r="H3046">
        <f t="shared" si="282"/>
        <v>5628.4800000000005</v>
      </c>
      <c r="I3046">
        <f t="shared" si="286"/>
        <v>2955.7799999999997</v>
      </c>
      <c r="J3046">
        <f t="shared" si="283"/>
        <v>2672.7000000000007</v>
      </c>
      <c r="K3046" s="8">
        <f t="shared" si="284"/>
        <v>0.47485289101142769</v>
      </c>
      <c r="L3046" t="str">
        <f t="shared" si="287"/>
        <v>2022-10</v>
      </c>
      <c r="M3046">
        <f t="shared" si="285"/>
        <v>2672.7000000000007</v>
      </c>
    </row>
    <row r="3047" spans="1:13" x14ac:dyDescent="0.25">
      <c r="A3047" s="1">
        <v>45093</v>
      </c>
      <c r="B3047" t="s">
        <v>12</v>
      </c>
      <c r="C3047" t="s">
        <v>8</v>
      </c>
      <c r="D3047" t="s">
        <v>17</v>
      </c>
      <c r="E3047">
        <v>129.08000000000001</v>
      </c>
      <c r="F3047">
        <v>96.59</v>
      </c>
      <c r="G3047">
        <v>4</v>
      </c>
      <c r="H3047">
        <f t="shared" si="282"/>
        <v>516.32000000000005</v>
      </c>
      <c r="I3047">
        <f t="shared" si="286"/>
        <v>386.36</v>
      </c>
      <c r="J3047">
        <f t="shared" si="283"/>
        <v>129.96000000000004</v>
      </c>
      <c r="K3047" s="8">
        <f t="shared" si="284"/>
        <v>0.25170436938332824</v>
      </c>
      <c r="L3047" t="str">
        <f t="shared" si="287"/>
        <v>2023-06</v>
      </c>
      <c r="M3047">
        <f t="shared" si="285"/>
        <v>129.96000000000004</v>
      </c>
    </row>
    <row r="3048" spans="1:13" x14ac:dyDescent="0.25">
      <c r="A3048" s="1">
        <v>45525</v>
      </c>
      <c r="B3048" t="s">
        <v>22</v>
      </c>
      <c r="C3048" t="s">
        <v>8</v>
      </c>
      <c r="D3048" t="s">
        <v>9</v>
      </c>
      <c r="E3048">
        <v>681.37</v>
      </c>
      <c r="F3048">
        <v>548.79999999999995</v>
      </c>
      <c r="G3048">
        <v>3</v>
      </c>
      <c r="H3048">
        <f t="shared" si="282"/>
        <v>2044.1100000000001</v>
      </c>
      <c r="I3048">
        <f t="shared" si="286"/>
        <v>1646.3999999999999</v>
      </c>
      <c r="J3048">
        <f t="shared" si="283"/>
        <v>397.71000000000026</v>
      </c>
      <c r="K3048" s="8">
        <f t="shared" si="284"/>
        <v>0.19456389333255072</v>
      </c>
      <c r="L3048" t="str">
        <f t="shared" si="287"/>
        <v>2024-08</v>
      </c>
      <c r="M3048">
        <f t="shared" si="285"/>
        <v>397.71000000000026</v>
      </c>
    </row>
    <row r="3049" spans="1:13" x14ac:dyDescent="0.25">
      <c r="A3049" s="1">
        <v>44688</v>
      </c>
      <c r="B3049" t="s">
        <v>7</v>
      </c>
      <c r="C3049" t="s">
        <v>8</v>
      </c>
      <c r="D3049" t="s">
        <v>17</v>
      </c>
      <c r="E3049">
        <v>1801.09</v>
      </c>
      <c r="F3049">
        <v>1049.99</v>
      </c>
      <c r="G3049">
        <v>1</v>
      </c>
      <c r="H3049">
        <f t="shared" si="282"/>
        <v>1801.09</v>
      </c>
      <c r="I3049">
        <f t="shared" si="286"/>
        <v>1049.99</v>
      </c>
      <c r="J3049">
        <f t="shared" si="283"/>
        <v>751.09999999999991</v>
      </c>
      <c r="K3049" s="8">
        <f t="shared" si="284"/>
        <v>0.41702524582336248</v>
      </c>
      <c r="L3049" t="str">
        <f t="shared" si="287"/>
        <v>2022-05</v>
      </c>
      <c r="M3049">
        <f t="shared" si="285"/>
        <v>751.09999999999991</v>
      </c>
    </row>
    <row r="3050" spans="1:13" x14ac:dyDescent="0.25">
      <c r="A3050" s="1">
        <v>45317</v>
      </c>
      <c r="B3050" t="s">
        <v>25</v>
      </c>
      <c r="C3050" t="s">
        <v>15</v>
      </c>
      <c r="D3050" t="s">
        <v>13</v>
      </c>
      <c r="E3050">
        <v>85.52</v>
      </c>
      <c r="F3050">
        <v>63.24</v>
      </c>
      <c r="G3050">
        <v>4</v>
      </c>
      <c r="H3050">
        <f t="shared" si="282"/>
        <v>342.08</v>
      </c>
      <c r="I3050">
        <f t="shared" si="286"/>
        <v>252.96</v>
      </c>
      <c r="J3050">
        <f t="shared" si="283"/>
        <v>89.119999999999976</v>
      </c>
      <c r="K3050" s="8">
        <f t="shared" si="284"/>
        <v>0.26052385406922351</v>
      </c>
      <c r="L3050" t="str">
        <f t="shared" si="287"/>
        <v>2024-01</v>
      </c>
      <c r="M3050">
        <f t="shared" si="285"/>
        <v>89.119999999999976</v>
      </c>
    </row>
    <row r="3051" spans="1:13" x14ac:dyDescent="0.25">
      <c r="A3051" s="1">
        <v>45459</v>
      </c>
      <c r="B3051" t="s">
        <v>14</v>
      </c>
      <c r="C3051" t="s">
        <v>15</v>
      </c>
      <c r="D3051" t="s">
        <v>17</v>
      </c>
      <c r="E3051">
        <v>739.71</v>
      </c>
      <c r="F3051">
        <v>376.91</v>
      </c>
      <c r="G3051">
        <v>9</v>
      </c>
      <c r="H3051">
        <f t="shared" si="282"/>
        <v>6657.39</v>
      </c>
      <c r="I3051">
        <f t="shared" si="286"/>
        <v>3392.19</v>
      </c>
      <c r="J3051">
        <f t="shared" si="283"/>
        <v>3265.2000000000003</v>
      </c>
      <c r="K3051" s="8">
        <f t="shared" si="284"/>
        <v>0.49046247853888686</v>
      </c>
      <c r="L3051" t="str">
        <f t="shared" si="287"/>
        <v>2024-06</v>
      </c>
      <c r="M3051">
        <f t="shared" si="285"/>
        <v>3265.2000000000003</v>
      </c>
    </row>
    <row r="3052" spans="1:13" x14ac:dyDescent="0.25">
      <c r="A3052" s="1">
        <v>45404</v>
      </c>
      <c r="B3052" t="s">
        <v>21</v>
      </c>
      <c r="C3052" t="s">
        <v>20</v>
      </c>
      <c r="D3052" t="s">
        <v>9</v>
      </c>
      <c r="E3052">
        <v>574.38</v>
      </c>
      <c r="F3052">
        <v>401.86</v>
      </c>
      <c r="G3052">
        <v>3</v>
      </c>
      <c r="H3052">
        <f t="shared" si="282"/>
        <v>1723.1399999999999</v>
      </c>
      <c r="I3052">
        <f t="shared" si="286"/>
        <v>1205.58</v>
      </c>
      <c r="J3052">
        <f t="shared" si="283"/>
        <v>517.55999999999995</v>
      </c>
      <c r="K3052" s="8">
        <f t="shared" si="284"/>
        <v>0.30035864758522229</v>
      </c>
      <c r="L3052" t="str">
        <f t="shared" si="287"/>
        <v>2024-04</v>
      </c>
      <c r="M3052">
        <f t="shared" si="285"/>
        <v>517.55999999999995</v>
      </c>
    </row>
    <row r="3053" spans="1:13" x14ac:dyDescent="0.25">
      <c r="A3053" s="1">
        <v>44824</v>
      </c>
      <c r="B3053" t="s">
        <v>25</v>
      </c>
      <c r="C3053" t="s">
        <v>15</v>
      </c>
      <c r="D3053" t="s">
        <v>9</v>
      </c>
      <c r="E3053">
        <v>220.54</v>
      </c>
      <c r="F3053">
        <v>130.94999999999999</v>
      </c>
      <c r="G3053">
        <v>5</v>
      </c>
      <c r="H3053">
        <f t="shared" si="282"/>
        <v>1102.7</v>
      </c>
      <c r="I3053">
        <f t="shared" si="286"/>
        <v>654.75</v>
      </c>
      <c r="J3053">
        <f t="shared" si="283"/>
        <v>447.95000000000005</v>
      </c>
      <c r="K3053" s="8">
        <f t="shared" si="284"/>
        <v>0.40623016232882925</v>
      </c>
      <c r="L3053" t="str">
        <f t="shared" si="287"/>
        <v>2022-09</v>
      </c>
      <c r="M3053">
        <f t="shared" si="285"/>
        <v>447.95000000000005</v>
      </c>
    </row>
    <row r="3054" spans="1:13" x14ac:dyDescent="0.25">
      <c r="A3054" s="1">
        <v>45548</v>
      </c>
      <c r="B3054" t="s">
        <v>14</v>
      </c>
      <c r="C3054" t="s">
        <v>15</v>
      </c>
      <c r="D3054" t="s">
        <v>17</v>
      </c>
      <c r="E3054">
        <v>760.85</v>
      </c>
      <c r="F3054">
        <v>385.04</v>
      </c>
      <c r="G3054">
        <v>5</v>
      </c>
      <c r="H3054">
        <f t="shared" si="282"/>
        <v>3804.25</v>
      </c>
      <c r="I3054">
        <f t="shared" si="286"/>
        <v>1925.2</v>
      </c>
      <c r="J3054">
        <f t="shared" si="283"/>
        <v>1879.05</v>
      </c>
      <c r="K3054" s="8">
        <f t="shared" si="284"/>
        <v>0.49393441545639744</v>
      </c>
      <c r="L3054" t="str">
        <f t="shared" si="287"/>
        <v>2024-09</v>
      </c>
      <c r="M3054">
        <f t="shared" si="285"/>
        <v>1879.05</v>
      </c>
    </row>
    <row r="3055" spans="1:13" x14ac:dyDescent="0.25">
      <c r="A3055" s="1">
        <v>45062</v>
      </c>
      <c r="B3055" t="s">
        <v>24</v>
      </c>
      <c r="C3055" t="s">
        <v>20</v>
      </c>
      <c r="D3055" t="s">
        <v>9</v>
      </c>
      <c r="E3055">
        <v>1130.27</v>
      </c>
      <c r="F3055">
        <v>841.17</v>
      </c>
      <c r="G3055">
        <v>1</v>
      </c>
      <c r="H3055">
        <f t="shared" si="282"/>
        <v>1130.27</v>
      </c>
      <c r="I3055">
        <f t="shared" si="286"/>
        <v>841.17</v>
      </c>
      <c r="J3055">
        <f t="shared" si="283"/>
        <v>289.10000000000002</v>
      </c>
      <c r="K3055" s="8">
        <f t="shared" si="284"/>
        <v>0.25577959248675097</v>
      </c>
      <c r="L3055" t="str">
        <f t="shared" si="287"/>
        <v>2023-05</v>
      </c>
      <c r="M3055">
        <f t="shared" si="285"/>
        <v>289.10000000000002</v>
      </c>
    </row>
    <row r="3056" spans="1:13" x14ac:dyDescent="0.25">
      <c r="A3056" s="1">
        <v>44952</v>
      </c>
      <c r="B3056" t="s">
        <v>23</v>
      </c>
      <c r="C3056" t="s">
        <v>11</v>
      </c>
      <c r="D3056" t="s">
        <v>9</v>
      </c>
      <c r="E3056">
        <v>715.45</v>
      </c>
      <c r="F3056">
        <v>503.65</v>
      </c>
      <c r="G3056">
        <v>1</v>
      </c>
      <c r="H3056">
        <f t="shared" si="282"/>
        <v>715.45</v>
      </c>
      <c r="I3056">
        <f t="shared" si="286"/>
        <v>503.65</v>
      </c>
      <c r="J3056">
        <f t="shared" si="283"/>
        <v>211.80000000000007</v>
      </c>
      <c r="K3056" s="8">
        <f t="shared" si="284"/>
        <v>0.29603745894192474</v>
      </c>
      <c r="L3056" t="str">
        <f t="shared" si="287"/>
        <v>2023-01</v>
      </c>
      <c r="M3056">
        <f t="shared" si="285"/>
        <v>211.80000000000007</v>
      </c>
    </row>
    <row r="3057" spans="1:13" x14ac:dyDescent="0.25">
      <c r="A3057" s="1">
        <v>45450</v>
      </c>
      <c r="B3057" t="s">
        <v>7</v>
      </c>
      <c r="C3057" t="s">
        <v>8</v>
      </c>
      <c r="D3057" t="s">
        <v>13</v>
      </c>
      <c r="E3057">
        <v>1697.56</v>
      </c>
      <c r="F3057">
        <v>1489.32</v>
      </c>
      <c r="G3057">
        <v>7</v>
      </c>
      <c r="H3057">
        <f t="shared" si="282"/>
        <v>11882.92</v>
      </c>
      <c r="I3057">
        <f t="shared" si="286"/>
        <v>10425.24</v>
      </c>
      <c r="J3057">
        <f t="shared" si="283"/>
        <v>1457.6800000000003</v>
      </c>
      <c r="K3057" s="8">
        <f t="shared" si="284"/>
        <v>0.12267018544263533</v>
      </c>
      <c r="L3057" t="str">
        <f t="shared" si="287"/>
        <v>2024-06</v>
      </c>
      <c r="M3057">
        <f t="shared" si="285"/>
        <v>1457.6800000000003</v>
      </c>
    </row>
    <row r="3058" spans="1:13" x14ac:dyDescent="0.25">
      <c r="A3058" s="1">
        <v>44704</v>
      </c>
      <c r="B3058" t="s">
        <v>12</v>
      </c>
      <c r="C3058" t="s">
        <v>8</v>
      </c>
      <c r="D3058" t="s">
        <v>17</v>
      </c>
      <c r="E3058">
        <v>20.77</v>
      </c>
      <c r="F3058">
        <v>12.36</v>
      </c>
      <c r="G3058">
        <v>8</v>
      </c>
      <c r="H3058">
        <f t="shared" si="282"/>
        <v>166.16</v>
      </c>
      <c r="I3058">
        <f t="shared" si="286"/>
        <v>98.88</v>
      </c>
      <c r="J3058">
        <f t="shared" si="283"/>
        <v>67.28</v>
      </c>
      <c r="K3058" s="8">
        <f t="shared" si="284"/>
        <v>0.40491092922484356</v>
      </c>
      <c r="L3058" t="str">
        <f t="shared" si="287"/>
        <v>2022-05</v>
      </c>
      <c r="M3058">
        <f t="shared" si="285"/>
        <v>67.28</v>
      </c>
    </row>
    <row r="3059" spans="1:13" x14ac:dyDescent="0.25">
      <c r="A3059" s="1">
        <v>45459</v>
      </c>
      <c r="B3059" t="s">
        <v>22</v>
      </c>
      <c r="C3059" t="s">
        <v>8</v>
      </c>
      <c r="D3059" t="s">
        <v>18</v>
      </c>
      <c r="E3059">
        <v>595.87</v>
      </c>
      <c r="F3059">
        <v>460.96</v>
      </c>
      <c r="G3059">
        <v>5</v>
      </c>
      <c r="H3059">
        <f t="shared" si="282"/>
        <v>2979.35</v>
      </c>
      <c r="I3059">
        <f t="shared" si="286"/>
        <v>2304.7999999999997</v>
      </c>
      <c r="J3059">
        <f t="shared" si="283"/>
        <v>674.55000000000018</v>
      </c>
      <c r="K3059" s="8">
        <f t="shared" si="284"/>
        <v>0.22640844479500569</v>
      </c>
      <c r="L3059" t="str">
        <f t="shared" si="287"/>
        <v>2024-06</v>
      </c>
      <c r="M3059">
        <f t="shared" si="285"/>
        <v>674.55000000000018</v>
      </c>
    </row>
    <row r="3060" spans="1:13" x14ac:dyDescent="0.25">
      <c r="A3060" s="1">
        <v>45213</v>
      </c>
      <c r="B3060" t="s">
        <v>7</v>
      </c>
      <c r="C3060" t="s">
        <v>8</v>
      </c>
      <c r="D3060" t="s">
        <v>18</v>
      </c>
      <c r="E3060">
        <v>610.69000000000005</v>
      </c>
      <c r="F3060">
        <v>399.76</v>
      </c>
      <c r="G3060">
        <v>1</v>
      </c>
      <c r="H3060">
        <f t="shared" si="282"/>
        <v>610.69000000000005</v>
      </c>
      <c r="I3060">
        <f t="shared" si="286"/>
        <v>399.76</v>
      </c>
      <c r="J3060">
        <f t="shared" si="283"/>
        <v>210.93000000000006</v>
      </c>
      <c r="K3060" s="8">
        <f t="shared" si="284"/>
        <v>0.34539619119356801</v>
      </c>
      <c r="L3060" t="str">
        <f t="shared" si="287"/>
        <v>2023-10</v>
      </c>
      <c r="M3060">
        <f t="shared" si="285"/>
        <v>210.93000000000006</v>
      </c>
    </row>
    <row r="3061" spans="1:13" x14ac:dyDescent="0.25">
      <c r="A3061" s="1">
        <v>44793</v>
      </c>
      <c r="B3061" t="s">
        <v>21</v>
      </c>
      <c r="C3061" t="s">
        <v>20</v>
      </c>
      <c r="D3061" t="s">
        <v>9</v>
      </c>
      <c r="E3061">
        <v>1695.87</v>
      </c>
      <c r="F3061">
        <v>1460.02</v>
      </c>
      <c r="G3061">
        <v>10</v>
      </c>
      <c r="H3061">
        <f t="shared" si="282"/>
        <v>16958.699999999997</v>
      </c>
      <c r="I3061">
        <f t="shared" si="286"/>
        <v>14600.2</v>
      </c>
      <c r="J3061">
        <f t="shared" si="283"/>
        <v>2358.4999999999964</v>
      </c>
      <c r="K3061" s="8">
        <f t="shared" si="284"/>
        <v>0.13907316008892173</v>
      </c>
      <c r="L3061" t="str">
        <f t="shared" si="287"/>
        <v>2022-08</v>
      </c>
      <c r="M3061">
        <f t="shared" si="285"/>
        <v>2358.4999999999964</v>
      </c>
    </row>
    <row r="3062" spans="1:13" x14ac:dyDescent="0.25">
      <c r="A3062" s="1">
        <v>45304</v>
      </c>
      <c r="B3062" t="s">
        <v>23</v>
      </c>
      <c r="C3062" t="s">
        <v>11</v>
      </c>
      <c r="D3062" t="s">
        <v>17</v>
      </c>
      <c r="E3062">
        <v>1505.56</v>
      </c>
      <c r="F3062">
        <v>1230.24</v>
      </c>
      <c r="G3062">
        <v>7</v>
      </c>
      <c r="H3062">
        <f t="shared" si="282"/>
        <v>10538.92</v>
      </c>
      <c r="I3062">
        <f t="shared" si="286"/>
        <v>8611.68</v>
      </c>
      <c r="J3062">
        <f t="shared" si="283"/>
        <v>1927.2399999999998</v>
      </c>
      <c r="K3062" s="8">
        <f t="shared" si="284"/>
        <v>0.18286883285953398</v>
      </c>
      <c r="L3062" t="str">
        <f t="shared" si="287"/>
        <v>2024-01</v>
      </c>
      <c r="M3062">
        <f t="shared" si="285"/>
        <v>1927.2399999999998</v>
      </c>
    </row>
    <row r="3063" spans="1:13" x14ac:dyDescent="0.25">
      <c r="A3063" s="1">
        <v>45101</v>
      </c>
      <c r="B3063" t="s">
        <v>21</v>
      </c>
      <c r="C3063" t="s">
        <v>20</v>
      </c>
      <c r="D3063" t="s">
        <v>17</v>
      </c>
      <c r="E3063">
        <v>1301.1400000000001</v>
      </c>
      <c r="F3063">
        <v>719.12</v>
      </c>
      <c r="G3063">
        <v>4</v>
      </c>
      <c r="H3063">
        <f t="shared" si="282"/>
        <v>5204.5600000000004</v>
      </c>
      <c r="I3063">
        <f t="shared" si="286"/>
        <v>2876.48</v>
      </c>
      <c r="J3063">
        <f t="shared" si="283"/>
        <v>2328.0800000000004</v>
      </c>
      <c r="K3063" s="8">
        <f t="shared" si="284"/>
        <v>0.44731543108351141</v>
      </c>
      <c r="L3063" t="str">
        <f t="shared" si="287"/>
        <v>2023-06</v>
      </c>
      <c r="M3063">
        <f t="shared" si="285"/>
        <v>2328.0800000000004</v>
      </c>
    </row>
    <row r="3064" spans="1:13" x14ac:dyDescent="0.25">
      <c r="A3064" s="1">
        <v>44815</v>
      </c>
      <c r="B3064" t="s">
        <v>25</v>
      </c>
      <c r="C3064" t="s">
        <v>15</v>
      </c>
      <c r="D3064" t="s">
        <v>17</v>
      </c>
      <c r="E3064">
        <v>223.34</v>
      </c>
      <c r="F3064">
        <v>153.13</v>
      </c>
      <c r="G3064">
        <v>5</v>
      </c>
      <c r="H3064">
        <f t="shared" si="282"/>
        <v>1116.7</v>
      </c>
      <c r="I3064">
        <f t="shared" si="286"/>
        <v>765.65</v>
      </c>
      <c r="J3064">
        <f t="shared" si="283"/>
        <v>351.05000000000007</v>
      </c>
      <c r="K3064" s="8">
        <f t="shared" si="284"/>
        <v>0.31436375033581093</v>
      </c>
      <c r="L3064" t="str">
        <f t="shared" si="287"/>
        <v>2022-09</v>
      </c>
      <c r="M3064">
        <f t="shared" si="285"/>
        <v>351.05000000000007</v>
      </c>
    </row>
    <row r="3065" spans="1:13" x14ac:dyDescent="0.25">
      <c r="A3065" s="1">
        <v>45624</v>
      </c>
      <c r="B3065" t="s">
        <v>21</v>
      </c>
      <c r="C3065" t="s">
        <v>20</v>
      </c>
      <c r="D3065" t="s">
        <v>17</v>
      </c>
      <c r="E3065">
        <v>334.53</v>
      </c>
      <c r="F3065">
        <v>281.25</v>
      </c>
      <c r="G3065">
        <v>4</v>
      </c>
      <c r="H3065">
        <f t="shared" si="282"/>
        <v>1338.12</v>
      </c>
      <c r="I3065">
        <f t="shared" si="286"/>
        <v>1125</v>
      </c>
      <c r="J3065">
        <f t="shared" si="283"/>
        <v>213.11999999999989</v>
      </c>
      <c r="K3065" s="8">
        <f t="shared" si="284"/>
        <v>0.15926822706483718</v>
      </c>
      <c r="L3065" t="str">
        <f t="shared" si="287"/>
        <v>2024-11</v>
      </c>
      <c r="M3065">
        <f t="shared" si="285"/>
        <v>213.11999999999989</v>
      </c>
    </row>
    <row r="3066" spans="1:13" x14ac:dyDescent="0.25">
      <c r="A3066" s="1">
        <v>45324</v>
      </c>
      <c r="B3066" t="s">
        <v>24</v>
      </c>
      <c r="C3066" t="s">
        <v>20</v>
      </c>
      <c r="D3066" t="s">
        <v>18</v>
      </c>
      <c r="E3066">
        <v>37.56</v>
      </c>
      <c r="F3066">
        <v>21.71</v>
      </c>
      <c r="G3066">
        <v>8</v>
      </c>
      <c r="H3066">
        <f t="shared" si="282"/>
        <v>300.48</v>
      </c>
      <c r="I3066">
        <f t="shared" si="286"/>
        <v>173.68</v>
      </c>
      <c r="J3066">
        <f t="shared" si="283"/>
        <v>126.80000000000001</v>
      </c>
      <c r="K3066" s="8">
        <f t="shared" si="284"/>
        <v>0.42199148029818956</v>
      </c>
      <c r="L3066" t="str">
        <f t="shared" si="287"/>
        <v>2024-02</v>
      </c>
      <c r="M3066">
        <f t="shared" si="285"/>
        <v>126.80000000000001</v>
      </c>
    </row>
    <row r="3067" spans="1:13" x14ac:dyDescent="0.25">
      <c r="A3067" s="1">
        <v>45165</v>
      </c>
      <c r="B3067" t="s">
        <v>19</v>
      </c>
      <c r="C3067" t="s">
        <v>20</v>
      </c>
      <c r="D3067" t="s">
        <v>18</v>
      </c>
      <c r="E3067">
        <v>967.48</v>
      </c>
      <c r="F3067">
        <v>845.74</v>
      </c>
      <c r="G3067">
        <v>2</v>
      </c>
      <c r="H3067">
        <f t="shared" si="282"/>
        <v>1934.96</v>
      </c>
      <c r="I3067">
        <f t="shared" si="286"/>
        <v>1691.48</v>
      </c>
      <c r="J3067">
        <f t="shared" si="283"/>
        <v>243.48000000000002</v>
      </c>
      <c r="K3067" s="8">
        <f t="shared" si="284"/>
        <v>0.12583205854384588</v>
      </c>
      <c r="L3067" t="str">
        <f t="shared" si="287"/>
        <v>2023-08</v>
      </c>
      <c r="M3067">
        <f t="shared" si="285"/>
        <v>243.48000000000002</v>
      </c>
    </row>
    <row r="3068" spans="1:13" x14ac:dyDescent="0.25">
      <c r="A3068" s="1">
        <v>45572</v>
      </c>
      <c r="B3068" t="s">
        <v>23</v>
      </c>
      <c r="C3068" t="s">
        <v>11</v>
      </c>
      <c r="D3068" t="s">
        <v>17</v>
      </c>
      <c r="E3068">
        <v>1121.81</v>
      </c>
      <c r="F3068">
        <v>887.92</v>
      </c>
      <c r="G3068">
        <v>9</v>
      </c>
      <c r="H3068">
        <f t="shared" si="282"/>
        <v>10096.289999999999</v>
      </c>
      <c r="I3068">
        <f t="shared" si="286"/>
        <v>7991.28</v>
      </c>
      <c r="J3068">
        <f t="shared" si="283"/>
        <v>2105.0099999999993</v>
      </c>
      <c r="K3068" s="8">
        <f t="shared" si="284"/>
        <v>0.2084934168887779</v>
      </c>
      <c r="L3068" t="str">
        <f t="shared" si="287"/>
        <v>2024-10</v>
      </c>
      <c r="M3068">
        <f t="shared" si="285"/>
        <v>2105.0099999999993</v>
      </c>
    </row>
    <row r="3069" spans="1:13" x14ac:dyDescent="0.25">
      <c r="A3069" s="1">
        <v>45291</v>
      </c>
      <c r="B3069" t="s">
        <v>19</v>
      </c>
      <c r="C3069" t="s">
        <v>20</v>
      </c>
      <c r="D3069" t="s">
        <v>13</v>
      </c>
      <c r="E3069">
        <v>396.64</v>
      </c>
      <c r="F3069">
        <v>247.03</v>
      </c>
      <c r="G3069">
        <v>6</v>
      </c>
      <c r="H3069">
        <f t="shared" si="282"/>
        <v>2379.84</v>
      </c>
      <c r="I3069">
        <f t="shared" si="286"/>
        <v>1482.18</v>
      </c>
      <c r="J3069">
        <f t="shared" si="283"/>
        <v>897.66000000000008</v>
      </c>
      <c r="K3069" s="8">
        <f t="shared" si="284"/>
        <v>0.37719342476805162</v>
      </c>
      <c r="L3069" t="str">
        <f t="shared" si="287"/>
        <v>2023-12</v>
      </c>
      <c r="M3069">
        <f t="shared" si="285"/>
        <v>897.66000000000008</v>
      </c>
    </row>
    <row r="3070" spans="1:13" x14ac:dyDescent="0.25">
      <c r="A3070" s="1">
        <v>44858</v>
      </c>
      <c r="B3070" t="s">
        <v>19</v>
      </c>
      <c r="C3070" t="s">
        <v>20</v>
      </c>
      <c r="D3070" t="s">
        <v>13</v>
      </c>
      <c r="E3070">
        <v>1377.44</v>
      </c>
      <c r="F3070">
        <v>1229.98</v>
      </c>
      <c r="G3070">
        <v>1</v>
      </c>
      <c r="H3070">
        <f t="shared" si="282"/>
        <v>1377.44</v>
      </c>
      <c r="I3070">
        <f t="shared" si="286"/>
        <v>1229.98</v>
      </c>
      <c r="J3070">
        <f t="shared" si="283"/>
        <v>147.46000000000004</v>
      </c>
      <c r="K3070" s="8">
        <f t="shared" si="284"/>
        <v>0.10705366476942736</v>
      </c>
      <c r="L3070" t="str">
        <f t="shared" si="287"/>
        <v>2022-10</v>
      </c>
      <c r="M3070">
        <f t="shared" si="285"/>
        <v>147.46000000000004</v>
      </c>
    </row>
    <row r="3071" spans="1:13" x14ac:dyDescent="0.25">
      <c r="A3071" s="1">
        <v>45645</v>
      </c>
      <c r="B3071" t="s">
        <v>25</v>
      </c>
      <c r="C3071" t="s">
        <v>15</v>
      </c>
      <c r="D3071" t="s">
        <v>9</v>
      </c>
      <c r="E3071">
        <v>1695.79</v>
      </c>
      <c r="F3071">
        <v>1316.3</v>
      </c>
      <c r="G3071">
        <v>3</v>
      </c>
      <c r="H3071">
        <f t="shared" si="282"/>
        <v>5087.37</v>
      </c>
      <c r="I3071">
        <f t="shared" si="286"/>
        <v>3948.8999999999996</v>
      </c>
      <c r="J3071">
        <f t="shared" si="283"/>
        <v>1138.4700000000003</v>
      </c>
      <c r="K3071" s="8">
        <f t="shared" si="284"/>
        <v>0.22378360528131436</v>
      </c>
      <c r="L3071" t="str">
        <f t="shared" si="287"/>
        <v>2024-12</v>
      </c>
      <c r="M3071">
        <f t="shared" si="285"/>
        <v>1138.4700000000003</v>
      </c>
    </row>
    <row r="3072" spans="1:13" x14ac:dyDescent="0.25">
      <c r="A3072" s="1">
        <v>44922</v>
      </c>
      <c r="B3072" t="s">
        <v>23</v>
      </c>
      <c r="C3072" t="s">
        <v>11</v>
      </c>
      <c r="D3072" t="s">
        <v>13</v>
      </c>
      <c r="E3072">
        <v>175.23</v>
      </c>
      <c r="F3072">
        <v>106.14</v>
      </c>
      <c r="G3072">
        <v>2</v>
      </c>
      <c r="H3072">
        <f t="shared" si="282"/>
        <v>350.46</v>
      </c>
      <c r="I3072">
        <f t="shared" si="286"/>
        <v>212.28</v>
      </c>
      <c r="J3072">
        <f t="shared" si="283"/>
        <v>138.17999999999998</v>
      </c>
      <c r="K3072" s="8">
        <f t="shared" si="284"/>
        <v>0.39428180106146204</v>
      </c>
      <c r="L3072" t="str">
        <f t="shared" si="287"/>
        <v>2022-12</v>
      </c>
      <c r="M3072">
        <f t="shared" si="285"/>
        <v>138.17999999999998</v>
      </c>
    </row>
    <row r="3073" spans="1:13" x14ac:dyDescent="0.25">
      <c r="A3073" s="1">
        <v>45147</v>
      </c>
      <c r="B3073" t="s">
        <v>14</v>
      </c>
      <c r="C3073" t="s">
        <v>15</v>
      </c>
      <c r="D3073" t="s">
        <v>17</v>
      </c>
      <c r="E3073">
        <v>1774</v>
      </c>
      <c r="F3073">
        <v>1441.85</v>
      </c>
      <c r="G3073">
        <v>8</v>
      </c>
      <c r="H3073">
        <f t="shared" si="282"/>
        <v>14192</v>
      </c>
      <c r="I3073">
        <f t="shared" si="286"/>
        <v>11534.8</v>
      </c>
      <c r="J3073">
        <f t="shared" si="283"/>
        <v>2657.2000000000007</v>
      </c>
      <c r="K3073" s="8">
        <f t="shared" si="284"/>
        <v>0.18723224351747469</v>
      </c>
      <c r="L3073" t="str">
        <f t="shared" si="287"/>
        <v>2023-08</v>
      </c>
      <c r="M3073">
        <f t="shared" si="285"/>
        <v>2657.2000000000007</v>
      </c>
    </row>
    <row r="3074" spans="1:13" x14ac:dyDescent="0.25">
      <c r="A3074" s="1">
        <v>45206</v>
      </c>
      <c r="B3074" t="s">
        <v>22</v>
      </c>
      <c r="C3074" t="s">
        <v>8</v>
      </c>
      <c r="D3074" t="s">
        <v>17</v>
      </c>
      <c r="E3074">
        <v>158.86000000000001</v>
      </c>
      <c r="F3074">
        <v>92.5</v>
      </c>
      <c r="G3074">
        <v>3</v>
      </c>
      <c r="H3074">
        <f t="shared" si="282"/>
        <v>476.58000000000004</v>
      </c>
      <c r="I3074">
        <f t="shared" si="286"/>
        <v>277.5</v>
      </c>
      <c r="J3074">
        <f t="shared" si="283"/>
        <v>199.08000000000004</v>
      </c>
      <c r="K3074" s="8">
        <f t="shared" si="284"/>
        <v>0.41772629988669274</v>
      </c>
      <c r="L3074" t="str">
        <f t="shared" si="287"/>
        <v>2023-10</v>
      </c>
      <c r="M3074">
        <f t="shared" si="285"/>
        <v>199.08000000000004</v>
      </c>
    </row>
    <row r="3075" spans="1:13" x14ac:dyDescent="0.25">
      <c r="A3075" s="1">
        <v>45213</v>
      </c>
      <c r="B3075" t="s">
        <v>16</v>
      </c>
      <c r="C3075" t="s">
        <v>15</v>
      </c>
      <c r="D3075" t="s">
        <v>17</v>
      </c>
      <c r="E3075">
        <v>1811</v>
      </c>
      <c r="F3075">
        <v>1479.12</v>
      </c>
      <c r="G3075">
        <v>5</v>
      </c>
      <c r="H3075">
        <f t="shared" ref="H3075:H3138" si="288">E3075*G3075</f>
        <v>9055</v>
      </c>
      <c r="I3075">
        <f t="shared" si="286"/>
        <v>7395.5999999999995</v>
      </c>
      <c r="J3075">
        <f t="shared" ref="J3075:J3138" si="289">H3075-I3075</f>
        <v>1659.4000000000005</v>
      </c>
      <c r="K3075" s="8">
        <f t="shared" ref="K3075:K3138" si="290">(H3075-I3075)/H3075</f>
        <v>0.1832578685808946</v>
      </c>
      <c r="L3075" t="str">
        <f t="shared" si="287"/>
        <v>2023-10</v>
      </c>
      <c r="M3075">
        <f t="shared" ref="M3075:M3138" si="291">H3075-I3075</f>
        <v>1659.4000000000005</v>
      </c>
    </row>
    <row r="3076" spans="1:13" x14ac:dyDescent="0.25">
      <c r="A3076" s="1">
        <v>45619</v>
      </c>
      <c r="B3076" t="s">
        <v>10</v>
      </c>
      <c r="C3076" t="s">
        <v>11</v>
      </c>
      <c r="D3076" t="s">
        <v>9</v>
      </c>
      <c r="E3076">
        <v>1348.84</v>
      </c>
      <c r="F3076">
        <v>873.74</v>
      </c>
      <c r="G3076">
        <v>3</v>
      </c>
      <c r="H3076">
        <f t="shared" si="288"/>
        <v>4046.5199999999995</v>
      </c>
      <c r="I3076">
        <f t="shared" ref="I3076:I3139" si="292">F3076*G3076</f>
        <v>2621.2200000000003</v>
      </c>
      <c r="J3076">
        <f t="shared" si="289"/>
        <v>1425.2999999999993</v>
      </c>
      <c r="K3076" s="8">
        <f t="shared" si="290"/>
        <v>0.35222858159603793</v>
      </c>
      <c r="L3076" t="str">
        <f t="shared" ref="L3076:L3139" si="293">TEXT(A3076,"rrrr-mm")</f>
        <v>2024-11</v>
      </c>
      <c r="M3076">
        <f t="shared" si="291"/>
        <v>1425.2999999999993</v>
      </c>
    </row>
    <row r="3077" spans="1:13" x14ac:dyDescent="0.25">
      <c r="A3077" s="1">
        <v>44588</v>
      </c>
      <c r="B3077" t="s">
        <v>21</v>
      </c>
      <c r="C3077" t="s">
        <v>20</v>
      </c>
      <c r="D3077" t="s">
        <v>17</v>
      </c>
      <c r="E3077">
        <v>1772.66</v>
      </c>
      <c r="F3077">
        <v>1327.73</v>
      </c>
      <c r="G3077">
        <v>10</v>
      </c>
      <c r="H3077">
        <f t="shared" si="288"/>
        <v>17726.600000000002</v>
      </c>
      <c r="I3077">
        <f t="shared" si="292"/>
        <v>13277.3</v>
      </c>
      <c r="J3077">
        <f t="shared" si="289"/>
        <v>4449.3000000000029</v>
      </c>
      <c r="K3077" s="8">
        <f t="shared" si="290"/>
        <v>0.25099567881037549</v>
      </c>
      <c r="L3077" t="str">
        <f t="shared" si="293"/>
        <v>2022-01</v>
      </c>
      <c r="M3077">
        <f t="shared" si="291"/>
        <v>4449.3000000000029</v>
      </c>
    </row>
    <row r="3078" spans="1:13" x14ac:dyDescent="0.25">
      <c r="A3078" s="1">
        <v>45120</v>
      </c>
      <c r="B3078" t="s">
        <v>22</v>
      </c>
      <c r="C3078" t="s">
        <v>8</v>
      </c>
      <c r="D3078" t="s">
        <v>9</v>
      </c>
      <c r="E3078">
        <v>197.59</v>
      </c>
      <c r="F3078">
        <v>116.64</v>
      </c>
      <c r="G3078">
        <v>8</v>
      </c>
      <c r="H3078">
        <f t="shared" si="288"/>
        <v>1580.72</v>
      </c>
      <c r="I3078">
        <f t="shared" si="292"/>
        <v>933.12</v>
      </c>
      <c r="J3078">
        <f t="shared" si="289"/>
        <v>647.6</v>
      </c>
      <c r="K3078" s="8">
        <f t="shared" si="290"/>
        <v>0.40968672503669212</v>
      </c>
      <c r="L3078" t="str">
        <f t="shared" si="293"/>
        <v>2023-07</v>
      </c>
      <c r="M3078">
        <f t="shared" si="291"/>
        <v>647.6</v>
      </c>
    </row>
    <row r="3079" spans="1:13" x14ac:dyDescent="0.25">
      <c r="A3079" s="1">
        <v>45123</v>
      </c>
      <c r="B3079" t="s">
        <v>16</v>
      </c>
      <c r="C3079" t="s">
        <v>15</v>
      </c>
      <c r="D3079" t="s">
        <v>9</v>
      </c>
      <c r="E3079">
        <v>507.51</v>
      </c>
      <c r="F3079">
        <v>456</v>
      </c>
      <c r="G3079">
        <v>8</v>
      </c>
      <c r="H3079">
        <f t="shared" si="288"/>
        <v>4060.08</v>
      </c>
      <c r="I3079">
        <f t="shared" si="292"/>
        <v>3648</v>
      </c>
      <c r="J3079">
        <f t="shared" si="289"/>
        <v>412.07999999999993</v>
      </c>
      <c r="K3079" s="8">
        <f t="shared" si="290"/>
        <v>0.10149553703375301</v>
      </c>
      <c r="L3079" t="str">
        <f t="shared" si="293"/>
        <v>2023-07</v>
      </c>
      <c r="M3079">
        <f t="shared" si="291"/>
        <v>412.07999999999993</v>
      </c>
    </row>
    <row r="3080" spans="1:13" x14ac:dyDescent="0.25">
      <c r="A3080" s="1">
        <v>44758</v>
      </c>
      <c r="B3080" t="s">
        <v>16</v>
      </c>
      <c r="C3080" t="s">
        <v>15</v>
      </c>
      <c r="D3080" t="s">
        <v>18</v>
      </c>
      <c r="E3080">
        <v>1405.89</v>
      </c>
      <c r="F3080">
        <v>1253.01</v>
      </c>
      <c r="G3080">
        <v>4</v>
      </c>
      <c r="H3080">
        <f t="shared" si="288"/>
        <v>5623.56</v>
      </c>
      <c r="I3080">
        <f t="shared" si="292"/>
        <v>5012.04</v>
      </c>
      <c r="J3080">
        <f t="shared" si="289"/>
        <v>611.52000000000044</v>
      </c>
      <c r="K3080" s="8">
        <f t="shared" si="290"/>
        <v>0.10874250474788219</v>
      </c>
      <c r="L3080" t="str">
        <f t="shared" si="293"/>
        <v>2022-07</v>
      </c>
      <c r="M3080">
        <f t="shared" si="291"/>
        <v>611.52000000000044</v>
      </c>
    </row>
    <row r="3081" spans="1:13" x14ac:dyDescent="0.25">
      <c r="A3081" s="1">
        <v>45641</v>
      </c>
      <c r="B3081" t="s">
        <v>25</v>
      </c>
      <c r="C3081" t="s">
        <v>15</v>
      </c>
      <c r="D3081" t="s">
        <v>9</v>
      </c>
      <c r="E3081">
        <v>1110.55</v>
      </c>
      <c r="F3081">
        <v>904.08</v>
      </c>
      <c r="G3081">
        <v>2</v>
      </c>
      <c r="H3081">
        <f t="shared" si="288"/>
        <v>2221.1</v>
      </c>
      <c r="I3081">
        <f t="shared" si="292"/>
        <v>1808.16</v>
      </c>
      <c r="J3081">
        <f t="shared" si="289"/>
        <v>412.93999999999983</v>
      </c>
      <c r="K3081" s="8">
        <f t="shared" si="290"/>
        <v>0.1859168880284543</v>
      </c>
      <c r="L3081" t="str">
        <f t="shared" si="293"/>
        <v>2024-12</v>
      </c>
      <c r="M3081">
        <f t="shared" si="291"/>
        <v>412.93999999999983</v>
      </c>
    </row>
    <row r="3082" spans="1:13" x14ac:dyDescent="0.25">
      <c r="A3082" s="1">
        <v>44859</v>
      </c>
      <c r="B3082" t="s">
        <v>7</v>
      </c>
      <c r="C3082" t="s">
        <v>8</v>
      </c>
      <c r="D3082" t="s">
        <v>13</v>
      </c>
      <c r="E3082">
        <v>626.87</v>
      </c>
      <c r="F3082">
        <v>385.21</v>
      </c>
      <c r="G3082">
        <v>7</v>
      </c>
      <c r="H3082">
        <f t="shared" si="288"/>
        <v>4388.09</v>
      </c>
      <c r="I3082">
        <f t="shared" si="292"/>
        <v>2696.47</v>
      </c>
      <c r="J3082">
        <f t="shared" si="289"/>
        <v>1691.6200000000003</v>
      </c>
      <c r="K3082" s="8">
        <f t="shared" si="290"/>
        <v>0.38550257629173518</v>
      </c>
      <c r="L3082" t="str">
        <f t="shared" si="293"/>
        <v>2022-10</v>
      </c>
      <c r="M3082">
        <f t="shared" si="291"/>
        <v>1691.6200000000003</v>
      </c>
    </row>
    <row r="3083" spans="1:13" x14ac:dyDescent="0.25">
      <c r="A3083" s="1">
        <v>45424</v>
      </c>
      <c r="B3083" t="s">
        <v>16</v>
      </c>
      <c r="C3083" t="s">
        <v>15</v>
      </c>
      <c r="D3083" t="s">
        <v>17</v>
      </c>
      <c r="E3083">
        <v>1939.06</v>
      </c>
      <c r="F3083">
        <v>1392.65</v>
      </c>
      <c r="G3083">
        <v>5</v>
      </c>
      <c r="H3083">
        <f t="shared" si="288"/>
        <v>9695.2999999999993</v>
      </c>
      <c r="I3083">
        <f t="shared" si="292"/>
        <v>6963.25</v>
      </c>
      <c r="J3083">
        <f t="shared" si="289"/>
        <v>2732.0499999999993</v>
      </c>
      <c r="K3083" s="8">
        <f t="shared" si="290"/>
        <v>0.28179117716831864</v>
      </c>
      <c r="L3083" t="str">
        <f t="shared" si="293"/>
        <v>2024-05</v>
      </c>
      <c r="M3083">
        <f t="shared" si="291"/>
        <v>2732.0499999999993</v>
      </c>
    </row>
    <row r="3084" spans="1:13" x14ac:dyDescent="0.25">
      <c r="A3084" s="1">
        <v>45032</v>
      </c>
      <c r="B3084" t="s">
        <v>12</v>
      </c>
      <c r="C3084" t="s">
        <v>8</v>
      </c>
      <c r="D3084" t="s">
        <v>18</v>
      </c>
      <c r="E3084">
        <v>1092.54</v>
      </c>
      <c r="F3084">
        <v>640.03</v>
      </c>
      <c r="G3084">
        <v>8</v>
      </c>
      <c r="H3084">
        <f t="shared" si="288"/>
        <v>8740.32</v>
      </c>
      <c r="I3084">
        <f t="shared" si="292"/>
        <v>5120.24</v>
      </c>
      <c r="J3084">
        <f t="shared" si="289"/>
        <v>3620.08</v>
      </c>
      <c r="K3084" s="8">
        <f t="shared" si="290"/>
        <v>0.41418163179380163</v>
      </c>
      <c r="L3084" t="str">
        <f t="shared" si="293"/>
        <v>2023-04</v>
      </c>
      <c r="M3084">
        <f t="shared" si="291"/>
        <v>3620.08</v>
      </c>
    </row>
    <row r="3085" spans="1:13" x14ac:dyDescent="0.25">
      <c r="A3085" s="1">
        <v>45321</v>
      </c>
      <c r="B3085" t="s">
        <v>10</v>
      </c>
      <c r="C3085" t="s">
        <v>11</v>
      </c>
      <c r="D3085" t="s">
        <v>9</v>
      </c>
      <c r="E3085">
        <v>1024.53</v>
      </c>
      <c r="F3085">
        <v>774.73</v>
      </c>
      <c r="G3085">
        <v>8</v>
      </c>
      <c r="H3085">
        <f t="shared" si="288"/>
        <v>8196.24</v>
      </c>
      <c r="I3085">
        <f t="shared" si="292"/>
        <v>6197.84</v>
      </c>
      <c r="J3085">
        <f t="shared" si="289"/>
        <v>1998.3999999999996</v>
      </c>
      <c r="K3085" s="8">
        <f t="shared" si="290"/>
        <v>0.24381911705855364</v>
      </c>
      <c r="L3085" t="str">
        <f t="shared" si="293"/>
        <v>2024-01</v>
      </c>
      <c r="M3085">
        <f t="shared" si="291"/>
        <v>1998.3999999999996</v>
      </c>
    </row>
    <row r="3086" spans="1:13" x14ac:dyDescent="0.25">
      <c r="A3086" s="1">
        <v>45585</v>
      </c>
      <c r="B3086" t="s">
        <v>10</v>
      </c>
      <c r="C3086" t="s">
        <v>11</v>
      </c>
      <c r="D3086" t="s">
        <v>17</v>
      </c>
      <c r="E3086">
        <v>1889.31</v>
      </c>
      <c r="F3086">
        <v>1234.0999999999999</v>
      </c>
      <c r="G3086">
        <v>5</v>
      </c>
      <c r="H3086">
        <f t="shared" si="288"/>
        <v>9446.5499999999993</v>
      </c>
      <c r="I3086">
        <f t="shared" si="292"/>
        <v>6170.5</v>
      </c>
      <c r="J3086">
        <f t="shared" si="289"/>
        <v>3276.0499999999993</v>
      </c>
      <c r="K3086" s="8">
        <f t="shared" si="290"/>
        <v>0.34679856667248887</v>
      </c>
      <c r="L3086" t="str">
        <f t="shared" si="293"/>
        <v>2024-10</v>
      </c>
      <c r="M3086">
        <f t="shared" si="291"/>
        <v>3276.0499999999993</v>
      </c>
    </row>
    <row r="3087" spans="1:13" x14ac:dyDescent="0.25">
      <c r="A3087" s="1">
        <v>44831</v>
      </c>
      <c r="B3087" t="s">
        <v>12</v>
      </c>
      <c r="C3087" t="s">
        <v>8</v>
      </c>
      <c r="D3087" t="s">
        <v>9</v>
      </c>
      <c r="E3087">
        <v>205.01</v>
      </c>
      <c r="F3087">
        <v>124.11</v>
      </c>
      <c r="G3087">
        <v>8</v>
      </c>
      <c r="H3087">
        <f t="shared" si="288"/>
        <v>1640.08</v>
      </c>
      <c r="I3087">
        <f t="shared" si="292"/>
        <v>992.88</v>
      </c>
      <c r="J3087">
        <f t="shared" si="289"/>
        <v>647.19999999999993</v>
      </c>
      <c r="K3087" s="8">
        <f t="shared" si="290"/>
        <v>0.39461489683430073</v>
      </c>
      <c r="L3087" t="str">
        <f t="shared" si="293"/>
        <v>2022-09</v>
      </c>
      <c r="M3087">
        <f t="shared" si="291"/>
        <v>647.19999999999993</v>
      </c>
    </row>
    <row r="3088" spans="1:13" x14ac:dyDescent="0.25">
      <c r="A3088" s="1">
        <v>45303</v>
      </c>
      <c r="B3088" t="s">
        <v>19</v>
      </c>
      <c r="C3088" t="s">
        <v>20</v>
      </c>
      <c r="D3088" t="s">
        <v>17</v>
      </c>
      <c r="E3088">
        <v>283.47000000000003</v>
      </c>
      <c r="F3088">
        <v>216.35</v>
      </c>
      <c r="G3088">
        <v>8</v>
      </c>
      <c r="H3088">
        <f t="shared" si="288"/>
        <v>2267.7600000000002</v>
      </c>
      <c r="I3088">
        <f t="shared" si="292"/>
        <v>1730.8</v>
      </c>
      <c r="J3088">
        <f t="shared" si="289"/>
        <v>536.96000000000026</v>
      </c>
      <c r="K3088" s="8">
        <f t="shared" si="290"/>
        <v>0.23677990616290975</v>
      </c>
      <c r="L3088" t="str">
        <f t="shared" si="293"/>
        <v>2024-01</v>
      </c>
      <c r="M3088">
        <f t="shared" si="291"/>
        <v>536.96000000000026</v>
      </c>
    </row>
    <row r="3089" spans="1:13" x14ac:dyDescent="0.25">
      <c r="A3089" s="1">
        <v>45204</v>
      </c>
      <c r="B3089" t="s">
        <v>10</v>
      </c>
      <c r="C3089" t="s">
        <v>11</v>
      </c>
      <c r="D3089" t="s">
        <v>9</v>
      </c>
      <c r="E3089">
        <v>1200.6099999999999</v>
      </c>
      <c r="F3089">
        <v>653.27</v>
      </c>
      <c r="G3089">
        <v>8</v>
      </c>
      <c r="H3089">
        <f t="shared" si="288"/>
        <v>9604.8799999999992</v>
      </c>
      <c r="I3089">
        <f t="shared" si="292"/>
        <v>5226.16</v>
      </c>
      <c r="J3089">
        <f t="shared" si="289"/>
        <v>4378.7199999999993</v>
      </c>
      <c r="K3089" s="8">
        <f t="shared" si="290"/>
        <v>0.45588492516304208</v>
      </c>
      <c r="L3089" t="str">
        <f t="shared" si="293"/>
        <v>2023-10</v>
      </c>
      <c r="M3089">
        <f t="shared" si="291"/>
        <v>4378.7199999999993</v>
      </c>
    </row>
    <row r="3090" spans="1:13" x14ac:dyDescent="0.25">
      <c r="A3090" s="1">
        <v>44781</v>
      </c>
      <c r="B3090" t="s">
        <v>19</v>
      </c>
      <c r="C3090" t="s">
        <v>20</v>
      </c>
      <c r="D3090" t="s">
        <v>13</v>
      </c>
      <c r="E3090">
        <v>434.24</v>
      </c>
      <c r="F3090">
        <v>345.91</v>
      </c>
      <c r="G3090">
        <v>1</v>
      </c>
      <c r="H3090">
        <f t="shared" si="288"/>
        <v>434.24</v>
      </c>
      <c r="I3090">
        <f t="shared" si="292"/>
        <v>345.91</v>
      </c>
      <c r="J3090">
        <f t="shared" si="289"/>
        <v>88.329999999999984</v>
      </c>
      <c r="K3090" s="8">
        <f t="shared" si="290"/>
        <v>0.20341285924834188</v>
      </c>
      <c r="L3090" t="str">
        <f t="shared" si="293"/>
        <v>2022-08</v>
      </c>
      <c r="M3090">
        <f t="shared" si="291"/>
        <v>88.329999999999984</v>
      </c>
    </row>
    <row r="3091" spans="1:13" x14ac:dyDescent="0.25">
      <c r="A3091" s="1">
        <v>45368</v>
      </c>
      <c r="B3091" t="s">
        <v>23</v>
      </c>
      <c r="C3091" t="s">
        <v>11</v>
      </c>
      <c r="D3091" t="s">
        <v>18</v>
      </c>
      <c r="E3091">
        <v>242.72</v>
      </c>
      <c r="F3091">
        <v>155.30000000000001</v>
      </c>
      <c r="G3091">
        <v>3</v>
      </c>
      <c r="H3091">
        <f t="shared" si="288"/>
        <v>728.16</v>
      </c>
      <c r="I3091">
        <f t="shared" si="292"/>
        <v>465.90000000000003</v>
      </c>
      <c r="J3091">
        <f t="shared" si="289"/>
        <v>262.25999999999993</v>
      </c>
      <c r="K3091" s="8">
        <f t="shared" si="290"/>
        <v>0.36016809492419238</v>
      </c>
      <c r="L3091" t="str">
        <f t="shared" si="293"/>
        <v>2024-03</v>
      </c>
      <c r="M3091">
        <f t="shared" si="291"/>
        <v>262.25999999999993</v>
      </c>
    </row>
    <row r="3092" spans="1:13" x14ac:dyDescent="0.25">
      <c r="A3092" s="1">
        <v>45495</v>
      </c>
      <c r="B3092" t="s">
        <v>7</v>
      </c>
      <c r="C3092" t="s">
        <v>8</v>
      </c>
      <c r="D3092" t="s">
        <v>18</v>
      </c>
      <c r="E3092">
        <v>1738.03</v>
      </c>
      <c r="F3092">
        <v>1127.77</v>
      </c>
      <c r="G3092">
        <v>4</v>
      </c>
      <c r="H3092">
        <f t="shared" si="288"/>
        <v>6952.12</v>
      </c>
      <c r="I3092">
        <f t="shared" si="292"/>
        <v>4511.08</v>
      </c>
      <c r="J3092">
        <f t="shared" si="289"/>
        <v>2441.04</v>
      </c>
      <c r="K3092" s="8">
        <f t="shared" si="290"/>
        <v>0.35112167223810864</v>
      </c>
      <c r="L3092" t="str">
        <f t="shared" si="293"/>
        <v>2024-07</v>
      </c>
      <c r="M3092">
        <f t="shared" si="291"/>
        <v>2441.04</v>
      </c>
    </row>
    <row r="3093" spans="1:13" x14ac:dyDescent="0.25">
      <c r="A3093" s="1">
        <v>45537</v>
      </c>
      <c r="B3093" t="s">
        <v>21</v>
      </c>
      <c r="C3093" t="s">
        <v>20</v>
      </c>
      <c r="D3093" t="s">
        <v>17</v>
      </c>
      <c r="E3093">
        <v>317.18</v>
      </c>
      <c r="F3093">
        <v>205.79</v>
      </c>
      <c r="G3093">
        <v>3</v>
      </c>
      <c r="H3093">
        <f t="shared" si="288"/>
        <v>951.54</v>
      </c>
      <c r="I3093">
        <f t="shared" si="292"/>
        <v>617.37</v>
      </c>
      <c r="J3093">
        <f t="shared" si="289"/>
        <v>334.16999999999996</v>
      </c>
      <c r="K3093" s="8">
        <f t="shared" si="290"/>
        <v>0.35118859953338794</v>
      </c>
      <c r="L3093" t="str">
        <f t="shared" si="293"/>
        <v>2024-09</v>
      </c>
      <c r="M3093">
        <f t="shared" si="291"/>
        <v>334.16999999999996</v>
      </c>
    </row>
    <row r="3094" spans="1:13" x14ac:dyDescent="0.25">
      <c r="A3094" s="1">
        <v>45090</v>
      </c>
      <c r="B3094" t="s">
        <v>14</v>
      </c>
      <c r="C3094" t="s">
        <v>15</v>
      </c>
      <c r="D3094" t="s">
        <v>18</v>
      </c>
      <c r="E3094">
        <v>1348.51</v>
      </c>
      <c r="F3094">
        <v>741.24</v>
      </c>
      <c r="G3094">
        <v>5</v>
      </c>
      <c r="H3094">
        <f t="shared" si="288"/>
        <v>6742.55</v>
      </c>
      <c r="I3094">
        <f t="shared" si="292"/>
        <v>3706.2</v>
      </c>
      <c r="J3094">
        <f t="shared" si="289"/>
        <v>3036.3500000000004</v>
      </c>
      <c r="K3094" s="8">
        <f t="shared" si="290"/>
        <v>0.45032665682864798</v>
      </c>
      <c r="L3094" t="str">
        <f t="shared" si="293"/>
        <v>2023-06</v>
      </c>
      <c r="M3094">
        <f t="shared" si="291"/>
        <v>3036.3500000000004</v>
      </c>
    </row>
    <row r="3095" spans="1:13" x14ac:dyDescent="0.25">
      <c r="A3095" s="1">
        <v>44615</v>
      </c>
      <c r="B3095" t="s">
        <v>16</v>
      </c>
      <c r="C3095" t="s">
        <v>15</v>
      </c>
      <c r="D3095" t="s">
        <v>18</v>
      </c>
      <c r="E3095">
        <v>1037.48</v>
      </c>
      <c r="F3095">
        <v>609.1</v>
      </c>
      <c r="G3095">
        <v>4</v>
      </c>
      <c r="H3095">
        <f t="shared" si="288"/>
        <v>4149.92</v>
      </c>
      <c r="I3095">
        <f t="shared" si="292"/>
        <v>2436.4</v>
      </c>
      <c r="J3095">
        <f t="shared" si="289"/>
        <v>1713.52</v>
      </c>
      <c r="K3095" s="8">
        <f t="shared" si="290"/>
        <v>0.41290434514400276</v>
      </c>
      <c r="L3095" t="str">
        <f t="shared" si="293"/>
        <v>2022-02</v>
      </c>
      <c r="M3095">
        <f t="shared" si="291"/>
        <v>1713.52</v>
      </c>
    </row>
    <row r="3096" spans="1:13" x14ac:dyDescent="0.25">
      <c r="A3096" s="1">
        <v>45466</v>
      </c>
      <c r="B3096" t="s">
        <v>16</v>
      </c>
      <c r="C3096" t="s">
        <v>15</v>
      </c>
      <c r="D3096" t="s">
        <v>9</v>
      </c>
      <c r="E3096">
        <v>858.29</v>
      </c>
      <c r="F3096">
        <v>451.07</v>
      </c>
      <c r="G3096">
        <v>1</v>
      </c>
      <c r="H3096">
        <f t="shared" si="288"/>
        <v>858.29</v>
      </c>
      <c r="I3096">
        <f t="shared" si="292"/>
        <v>451.07</v>
      </c>
      <c r="J3096">
        <f t="shared" si="289"/>
        <v>407.21999999999997</v>
      </c>
      <c r="K3096" s="8">
        <f t="shared" si="290"/>
        <v>0.47445502103018794</v>
      </c>
      <c r="L3096" t="str">
        <f t="shared" si="293"/>
        <v>2024-06</v>
      </c>
      <c r="M3096">
        <f t="shared" si="291"/>
        <v>407.21999999999997</v>
      </c>
    </row>
    <row r="3097" spans="1:13" x14ac:dyDescent="0.25">
      <c r="A3097" s="1">
        <v>45119</v>
      </c>
      <c r="B3097" t="s">
        <v>24</v>
      </c>
      <c r="C3097" t="s">
        <v>20</v>
      </c>
      <c r="D3097" t="s">
        <v>17</v>
      </c>
      <c r="E3097">
        <v>1759.27</v>
      </c>
      <c r="F3097">
        <v>1029.58</v>
      </c>
      <c r="G3097">
        <v>5</v>
      </c>
      <c r="H3097">
        <f t="shared" si="288"/>
        <v>8796.35</v>
      </c>
      <c r="I3097">
        <f t="shared" si="292"/>
        <v>5147.8999999999996</v>
      </c>
      <c r="J3097">
        <f t="shared" si="289"/>
        <v>3648.4500000000007</v>
      </c>
      <c r="K3097" s="8">
        <f t="shared" si="290"/>
        <v>0.41476862562312783</v>
      </c>
      <c r="L3097" t="str">
        <f t="shared" si="293"/>
        <v>2023-07</v>
      </c>
      <c r="M3097">
        <f t="shared" si="291"/>
        <v>3648.4500000000007</v>
      </c>
    </row>
    <row r="3098" spans="1:13" x14ac:dyDescent="0.25">
      <c r="A3098" s="1">
        <v>45441</v>
      </c>
      <c r="B3098" t="s">
        <v>7</v>
      </c>
      <c r="C3098" t="s">
        <v>8</v>
      </c>
      <c r="D3098" t="s">
        <v>17</v>
      </c>
      <c r="E3098">
        <v>1066.71</v>
      </c>
      <c r="F3098">
        <v>744.26</v>
      </c>
      <c r="G3098">
        <v>1</v>
      </c>
      <c r="H3098">
        <f t="shared" si="288"/>
        <v>1066.71</v>
      </c>
      <c r="I3098">
        <f t="shared" si="292"/>
        <v>744.26</v>
      </c>
      <c r="J3098">
        <f t="shared" si="289"/>
        <v>322.45000000000005</v>
      </c>
      <c r="K3098" s="8">
        <f t="shared" si="290"/>
        <v>0.30228459468834079</v>
      </c>
      <c r="L3098" t="str">
        <f t="shared" si="293"/>
        <v>2024-05</v>
      </c>
      <c r="M3098">
        <f t="shared" si="291"/>
        <v>322.45000000000005</v>
      </c>
    </row>
    <row r="3099" spans="1:13" x14ac:dyDescent="0.25">
      <c r="A3099" s="1">
        <v>44801</v>
      </c>
      <c r="B3099" t="s">
        <v>24</v>
      </c>
      <c r="C3099" t="s">
        <v>20</v>
      </c>
      <c r="D3099" t="s">
        <v>17</v>
      </c>
      <c r="E3099">
        <v>268.95</v>
      </c>
      <c r="F3099">
        <v>144.58000000000001</v>
      </c>
      <c r="G3099">
        <v>5</v>
      </c>
      <c r="H3099">
        <f t="shared" si="288"/>
        <v>1344.75</v>
      </c>
      <c r="I3099">
        <f t="shared" si="292"/>
        <v>722.90000000000009</v>
      </c>
      <c r="J3099">
        <f t="shared" si="289"/>
        <v>621.84999999999991</v>
      </c>
      <c r="K3099" s="8">
        <f t="shared" si="290"/>
        <v>0.46242796058746971</v>
      </c>
      <c r="L3099" t="str">
        <f t="shared" si="293"/>
        <v>2022-08</v>
      </c>
      <c r="M3099">
        <f t="shared" si="291"/>
        <v>621.84999999999991</v>
      </c>
    </row>
    <row r="3100" spans="1:13" x14ac:dyDescent="0.25">
      <c r="A3100" s="1">
        <v>45180</v>
      </c>
      <c r="B3100" t="s">
        <v>14</v>
      </c>
      <c r="C3100" t="s">
        <v>15</v>
      </c>
      <c r="D3100" t="s">
        <v>18</v>
      </c>
      <c r="E3100">
        <v>1012.18</v>
      </c>
      <c r="F3100">
        <v>577.04999999999995</v>
      </c>
      <c r="G3100">
        <v>1</v>
      </c>
      <c r="H3100">
        <f t="shared" si="288"/>
        <v>1012.18</v>
      </c>
      <c r="I3100">
        <f t="shared" si="292"/>
        <v>577.04999999999995</v>
      </c>
      <c r="J3100">
        <f t="shared" si="289"/>
        <v>435.13</v>
      </c>
      <c r="K3100" s="8">
        <f t="shared" si="290"/>
        <v>0.42989389239068154</v>
      </c>
      <c r="L3100" t="str">
        <f t="shared" si="293"/>
        <v>2023-09</v>
      </c>
      <c r="M3100">
        <f t="shared" si="291"/>
        <v>435.13</v>
      </c>
    </row>
    <row r="3101" spans="1:13" x14ac:dyDescent="0.25">
      <c r="A3101" s="1">
        <v>45385</v>
      </c>
      <c r="B3101" t="s">
        <v>23</v>
      </c>
      <c r="C3101" t="s">
        <v>11</v>
      </c>
      <c r="D3101" t="s">
        <v>18</v>
      </c>
      <c r="E3101">
        <v>1728.11</v>
      </c>
      <c r="F3101">
        <v>1182.44</v>
      </c>
      <c r="G3101">
        <v>6</v>
      </c>
      <c r="H3101">
        <f t="shared" si="288"/>
        <v>10368.66</v>
      </c>
      <c r="I3101">
        <f t="shared" si="292"/>
        <v>7094.64</v>
      </c>
      <c r="J3101">
        <f t="shared" si="289"/>
        <v>3274.0199999999995</v>
      </c>
      <c r="K3101" s="8">
        <f t="shared" si="290"/>
        <v>0.31576114946386513</v>
      </c>
      <c r="L3101" t="str">
        <f t="shared" si="293"/>
        <v>2024-04</v>
      </c>
      <c r="M3101">
        <f t="shared" si="291"/>
        <v>3274.0199999999995</v>
      </c>
    </row>
    <row r="3102" spans="1:13" x14ac:dyDescent="0.25">
      <c r="A3102" s="1">
        <v>45323</v>
      </c>
      <c r="B3102" t="s">
        <v>16</v>
      </c>
      <c r="C3102" t="s">
        <v>15</v>
      </c>
      <c r="D3102" t="s">
        <v>13</v>
      </c>
      <c r="E3102">
        <v>777.04</v>
      </c>
      <c r="F3102">
        <v>489.5</v>
      </c>
      <c r="G3102">
        <v>9</v>
      </c>
      <c r="H3102">
        <f t="shared" si="288"/>
        <v>6993.36</v>
      </c>
      <c r="I3102">
        <f t="shared" si="292"/>
        <v>4405.5</v>
      </c>
      <c r="J3102">
        <f t="shared" si="289"/>
        <v>2587.8599999999997</v>
      </c>
      <c r="K3102" s="8">
        <f t="shared" si="290"/>
        <v>0.37004530011325026</v>
      </c>
      <c r="L3102" t="str">
        <f t="shared" si="293"/>
        <v>2024-02</v>
      </c>
      <c r="M3102">
        <f t="shared" si="291"/>
        <v>2587.8599999999997</v>
      </c>
    </row>
    <row r="3103" spans="1:13" x14ac:dyDescent="0.25">
      <c r="A3103" s="1">
        <v>45447</v>
      </c>
      <c r="B3103" t="s">
        <v>22</v>
      </c>
      <c r="C3103" t="s">
        <v>8</v>
      </c>
      <c r="D3103" t="s">
        <v>13</v>
      </c>
      <c r="E3103">
        <v>700.51</v>
      </c>
      <c r="F3103">
        <v>400.32</v>
      </c>
      <c r="G3103">
        <v>6</v>
      </c>
      <c r="H3103">
        <f t="shared" si="288"/>
        <v>4203.0599999999995</v>
      </c>
      <c r="I3103">
        <f t="shared" si="292"/>
        <v>2401.92</v>
      </c>
      <c r="J3103">
        <f t="shared" si="289"/>
        <v>1801.1399999999994</v>
      </c>
      <c r="K3103" s="8">
        <f t="shared" si="290"/>
        <v>0.42853064196085699</v>
      </c>
      <c r="L3103" t="str">
        <f t="shared" si="293"/>
        <v>2024-06</v>
      </c>
      <c r="M3103">
        <f t="shared" si="291"/>
        <v>1801.1399999999994</v>
      </c>
    </row>
    <row r="3104" spans="1:13" x14ac:dyDescent="0.25">
      <c r="A3104" s="1">
        <v>44637</v>
      </c>
      <c r="B3104" t="s">
        <v>25</v>
      </c>
      <c r="C3104" t="s">
        <v>15</v>
      </c>
      <c r="D3104" t="s">
        <v>18</v>
      </c>
      <c r="E3104">
        <v>1587.58</v>
      </c>
      <c r="F3104">
        <v>1040.03</v>
      </c>
      <c r="G3104">
        <v>6</v>
      </c>
      <c r="H3104">
        <f t="shared" si="288"/>
        <v>9525.48</v>
      </c>
      <c r="I3104">
        <f t="shared" si="292"/>
        <v>6240.18</v>
      </c>
      <c r="J3104">
        <f t="shared" si="289"/>
        <v>3285.2999999999993</v>
      </c>
      <c r="K3104" s="8">
        <f t="shared" si="290"/>
        <v>0.3448960052406807</v>
      </c>
      <c r="L3104" t="str">
        <f t="shared" si="293"/>
        <v>2022-03</v>
      </c>
      <c r="M3104">
        <f t="shared" si="291"/>
        <v>3285.2999999999993</v>
      </c>
    </row>
    <row r="3105" spans="1:13" x14ac:dyDescent="0.25">
      <c r="A3105" s="1">
        <v>45012</v>
      </c>
      <c r="B3105" t="s">
        <v>7</v>
      </c>
      <c r="C3105" t="s">
        <v>8</v>
      </c>
      <c r="D3105" t="s">
        <v>9</v>
      </c>
      <c r="E3105">
        <v>767.44</v>
      </c>
      <c r="F3105">
        <v>681.08</v>
      </c>
      <c r="G3105">
        <v>4</v>
      </c>
      <c r="H3105">
        <f t="shared" si="288"/>
        <v>3069.76</v>
      </c>
      <c r="I3105">
        <f t="shared" si="292"/>
        <v>2724.32</v>
      </c>
      <c r="J3105">
        <f t="shared" si="289"/>
        <v>345.44000000000005</v>
      </c>
      <c r="K3105" s="8">
        <f t="shared" si="290"/>
        <v>0.11252996976962369</v>
      </c>
      <c r="L3105" t="str">
        <f t="shared" si="293"/>
        <v>2023-03</v>
      </c>
      <c r="M3105">
        <f t="shared" si="291"/>
        <v>345.44000000000005</v>
      </c>
    </row>
    <row r="3106" spans="1:13" x14ac:dyDescent="0.25">
      <c r="A3106" s="1">
        <v>45655</v>
      </c>
      <c r="B3106" t="s">
        <v>16</v>
      </c>
      <c r="C3106" t="s">
        <v>15</v>
      </c>
      <c r="D3106" t="s">
        <v>13</v>
      </c>
      <c r="E3106">
        <v>739</v>
      </c>
      <c r="F3106">
        <v>591.79</v>
      </c>
      <c r="G3106">
        <v>2</v>
      </c>
      <c r="H3106">
        <f t="shared" si="288"/>
        <v>1478</v>
      </c>
      <c r="I3106">
        <f t="shared" si="292"/>
        <v>1183.58</v>
      </c>
      <c r="J3106">
        <f t="shared" si="289"/>
        <v>294.42000000000007</v>
      </c>
      <c r="K3106" s="8">
        <f t="shared" si="290"/>
        <v>0.19920162381596757</v>
      </c>
      <c r="L3106" t="str">
        <f t="shared" si="293"/>
        <v>2024-12</v>
      </c>
      <c r="M3106">
        <f t="shared" si="291"/>
        <v>294.42000000000007</v>
      </c>
    </row>
    <row r="3107" spans="1:13" x14ac:dyDescent="0.25">
      <c r="A3107" s="1">
        <v>44845</v>
      </c>
      <c r="B3107" t="s">
        <v>10</v>
      </c>
      <c r="C3107" t="s">
        <v>11</v>
      </c>
      <c r="D3107" t="s">
        <v>18</v>
      </c>
      <c r="E3107">
        <v>528.92999999999995</v>
      </c>
      <c r="F3107">
        <v>328.09</v>
      </c>
      <c r="G3107">
        <v>9</v>
      </c>
      <c r="H3107">
        <f t="shared" si="288"/>
        <v>4760.37</v>
      </c>
      <c r="I3107">
        <f t="shared" si="292"/>
        <v>2952.81</v>
      </c>
      <c r="J3107">
        <f t="shared" si="289"/>
        <v>1807.56</v>
      </c>
      <c r="K3107" s="8">
        <f t="shared" si="290"/>
        <v>0.37970998052672378</v>
      </c>
      <c r="L3107" t="str">
        <f t="shared" si="293"/>
        <v>2022-10</v>
      </c>
      <c r="M3107">
        <f t="shared" si="291"/>
        <v>1807.56</v>
      </c>
    </row>
    <row r="3108" spans="1:13" x14ac:dyDescent="0.25">
      <c r="A3108" s="1">
        <v>45416</v>
      </c>
      <c r="B3108" t="s">
        <v>21</v>
      </c>
      <c r="C3108" t="s">
        <v>20</v>
      </c>
      <c r="D3108" t="s">
        <v>18</v>
      </c>
      <c r="E3108">
        <v>548.57000000000005</v>
      </c>
      <c r="F3108">
        <v>451.73</v>
      </c>
      <c r="G3108">
        <v>9</v>
      </c>
      <c r="H3108">
        <f t="shared" si="288"/>
        <v>4937.13</v>
      </c>
      <c r="I3108">
        <f t="shared" si="292"/>
        <v>4065.57</v>
      </c>
      <c r="J3108">
        <f t="shared" si="289"/>
        <v>871.56</v>
      </c>
      <c r="K3108" s="8">
        <f t="shared" si="290"/>
        <v>0.17653170971799403</v>
      </c>
      <c r="L3108" t="str">
        <f t="shared" si="293"/>
        <v>2024-05</v>
      </c>
      <c r="M3108">
        <f t="shared" si="291"/>
        <v>871.56</v>
      </c>
    </row>
    <row r="3109" spans="1:13" x14ac:dyDescent="0.25">
      <c r="A3109" s="1">
        <v>45187</v>
      </c>
      <c r="B3109" t="s">
        <v>25</v>
      </c>
      <c r="C3109" t="s">
        <v>15</v>
      </c>
      <c r="D3109" t="s">
        <v>13</v>
      </c>
      <c r="E3109">
        <v>1681.93</v>
      </c>
      <c r="F3109">
        <v>1234.75</v>
      </c>
      <c r="G3109">
        <v>2</v>
      </c>
      <c r="H3109">
        <f t="shared" si="288"/>
        <v>3363.86</v>
      </c>
      <c r="I3109">
        <f t="shared" si="292"/>
        <v>2469.5</v>
      </c>
      <c r="J3109">
        <f t="shared" si="289"/>
        <v>894.36000000000013</v>
      </c>
      <c r="K3109" s="8">
        <f t="shared" si="290"/>
        <v>0.26587313384029065</v>
      </c>
      <c r="L3109" t="str">
        <f t="shared" si="293"/>
        <v>2023-09</v>
      </c>
      <c r="M3109">
        <f t="shared" si="291"/>
        <v>894.36000000000013</v>
      </c>
    </row>
    <row r="3110" spans="1:13" x14ac:dyDescent="0.25">
      <c r="A3110" s="1">
        <v>44933</v>
      </c>
      <c r="B3110" t="s">
        <v>19</v>
      </c>
      <c r="C3110" t="s">
        <v>20</v>
      </c>
      <c r="D3110" t="s">
        <v>13</v>
      </c>
      <c r="E3110">
        <v>607.64</v>
      </c>
      <c r="F3110">
        <v>307.88</v>
      </c>
      <c r="G3110">
        <v>3</v>
      </c>
      <c r="H3110">
        <f t="shared" si="288"/>
        <v>1822.92</v>
      </c>
      <c r="I3110">
        <f t="shared" si="292"/>
        <v>923.64</v>
      </c>
      <c r="J3110">
        <f t="shared" si="289"/>
        <v>899.28000000000009</v>
      </c>
      <c r="K3110" s="8">
        <f t="shared" si="290"/>
        <v>0.49331841221776057</v>
      </c>
      <c r="L3110" t="str">
        <f t="shared" si="293"/>
        <v>2023-01</v>
      </c>
      <c r="M3110">
        <f t="shared" si="291"/>
        <v>899.28000000000009</v>
      </c>
    </row>
    <row r="3111" spans="1:13" x14ac:dyDescent="0.25">
      <c r="A3111" s="1">
        <v>45523</v>
      </c>
      <c r="B3111" t="s">
        <v>24</v>
      </c>
      <c r="C3111" t="s">
        <v>20</v>
      </c>
      <c r="D3111" t="s">
        <v>18</v>
      </c>
      <c r="E3111">
        <v>1271.6600000000001</v>
      </c>
      <c r="F3111">
        <v>979.22</v>
      </c>
      <c r="G3111">
        <v>3</v>
      </c>
      <c r="H3111">
        <f t="shared" si="288"/>
        <v>3814.9800000000005</v>
      </c>
      <c r="I3111">
        <f t="shared" si="292"/>
        <v>2937.66</v>
      </c>
      <c r="J3111">
        <f t="shared" si="289"/>
        <v>877.32000000000062</v>
      </c>
      <c r="K3111" s="8">
        <f t="shared" si="290"/>
        <v>0.22996712957866108</v>
      </c>
      <c r="L3111" t="str">
        <f t="shared" si="293"/>
        <v>2024-08</v>
      </c>
      <c r="M3111">
        <f t="shared" si="291"/>
        <v>877.32000000000062</v>
      </c>
    </row>
    <row r="3112" spans="1:13" x14ac:dyDescent="0.25">
      <c r="A3112" s="1">
        <v>45384</v>
      </c>
      <c r="B3112" t="s">
        <v>25</v>
      </c>
      <c r="C3112" t="s">
        <v>15</v>
      </c>
      <c r="D3112" t="s">
        <v>18</v>
      </c>
      <c r="E3112">
        <v>443.96</v>
      </c>
      <c r="F3112">
        <v>302.62</v>
      </c>
      <c r="G3112">
        <v>1</v>
      </c>
      <c r="H3112">
        <f t="shared" si="288"/>
        <v>443.96</v>
      </c>
      <c r="I3112">
        <f t="shared" si="292"/>
        <v>302.62</v>
      </c>
      <c r="J3112">
        <f t="shared" si="289"/>
        <v>141.33999999999997</v>
      </c>
      <c r="K3112" s="8">
        <f t="shared" si="290"/>
        <v>0.31836201459590951</v>
      </c>
      <c r="L3112" t="str">
        <f t="shared" si="293"/>
        <v>2024-04</v>
      </c>
      <c r="M3112">
        <f t="shared" si="291"/>
        <v>141.33999999999997</v>
      </c>
    </row>
    <row r="3113" spans="1:13" x14ac:dyDescent="0.25">
      <c r="A3113" s="1">
        <v>44713</v>
      </c>
      <c r="B3113" t="s">
        <v>19</v>
      </c>
      <c r="C3113" t="s">
        <v>20</v>
      </c>
      <c r="D3113" t="s">
        <v>17</v>
      </c>
      <c r="E3113">
        <v>1316.58</v>
      </c>
      <c r="F3113">
        <v>920.59</v>
      </c>
      <c r="G3113">
        <v>1</v>
      </c>
      <c r="H3113">
        <f t="shared" si="288"/>
        <v>1316.58</v>
      </c>
      <c r="I3113">
        <f t="shared" si="292"/>
        <v>920.59</v>
      </c>
      <c r="J3113">
        <f t="shared" si="289"/>
        <v>395.9899999999999</v>
      </c>
      <c r="K3113" s="8">
        <f t="shared" si="290"/>
        <v>0.30077169636482393</v>
      </c>
      <c r="L3113" t="str">
        <f t="shared" si="293"/>
        <v>2022-06</v>
      </c>
      <c r="M3113">
        <f t="shared" si="291"/>
        <v>395.9899999999999</v>
      </c>
    </row>
    <row r="3114" spans="1:13" x14ac:dyDescent="0.25">
      <c r="A3114" s="1">
        <v>44912</v>
      </c>
      <c r="B3114" t="s">
        <v>14</v>
      </c>
      <c r="C3114" t="s">
        <v>15</v>
      </c>
      <c r="D3114" t="s">
        <v>17</v>
      </c>
      <c r="E3114">
        <v>999.38</v>
      </c>
      <c r="F3114">
        <v>673.38</v>
      </c>
      <c r="G3114">
        <v>2</v>
      </c>
      <c r="H3114">
        <f t="shared" si="288"/>
        <v>1998.76</v>
      </c>
      <c r="I3114">
        <f t="shared" si="292"/>
        <v>1346.76</v>
      </c>
      <c r="J3114">
        <f t="shared" si="289"/>
        <v>652</v>
      </c>
      <c r="K3114" s="8">
        <f t="shared" si="290"/>
        <v>0.32620224539214315</v>
      </c>
      <c r="L3114" t="str">
        <f t="shared" si="293"/>
        <v>2022-12</v>
      </c>
      <c r="M3114">
        <f t="shared" si="291"/>
        <v>652</v>
      </c>
    </row>
    <row r="3115" spans="1:13" x14ac:dyDescent="0.25">
      <c r="A3115" s="1">
        <v>44764</v>
      </c>
      <c r="B3115" t="s">
        <v>19</v>
      </c>
      <c r="C3115" t="s">
        <v>20</v>
      </c>
      <c r="D3115" t="s">
        <v>13</v>
      </c>
      <c r="E3115">
        <v>1817.59</v>
      </c>
      <c r="F3115">
        <v>1069.08</v>
      </c>
      <c r="G3115">
        <v>9</v>
      </c>
      <c r="H3115">
        <f t="shared" si="288"/>
        <v>16358.31</v>
      </c>
      <c r="I3115">
        <f t="shared" si="292"/>
        <v>9621.7199999999993</v>
      </c>
      <c r="J3115">
        <f t="shared" si="289"/>
        <v>6736.59</v>
      </c>
      <c r="K3115" s="8">
        <f t="shared" si="290"/>
        <v>0.41181454563460407</v>
      </c>
      <c r="L3115" t="str">
        <f t="shared" si="293"/>
        <v>2022-07</v>
      </c>
      <c r="M3115">
        <f t="shared" si="291"/>
        <v>6736.59</v>
      </c>
    </row>
    <row r="3116" spans="1:13" x14ac:dyDescent="0.25">
      <c r="A3116" s="1">
        <v>44901</v>
      </c>
      <c r="B3116" t="s">
        <v>19</v>
      </c>
      <c r="C3116" t="s">
        <v>20</v>
      </c>
      <c r="D3116" t="s">
        <v>13</v>
      </c>
      <c r="E3116">
        <v>966.08</v>
      </c>
      <c r="F3116">
        <v>591.65</v>
      </c>
      <c r="G3116">
        <v>9</v>
      </c>
      <c r="H3116">
        <f t="shared" si="288"/>
        <v>8694.7200000000012</v>
      </c>
      <c r="I3116">
        <f t="shared" si="292"/>
        <v>5324.8499999999995</v>
      </c>
      <c r="J3116">
        <f t="shared" si="289"/>
        <v>3369.8700000000017</v>
      </c>
      <c r="K3116" s="8">
        <f t="shared" si="290"/>
        <v>0.38757659821132839</v>
      </c>
      <c r="L3116" t="str">
        <f t="shared" si="293"/>
        <v>2022-12</v>
      </c>
      <c r="M3116">
        <f t="shared" si="291"/>
        <v>3369.8700000000017</v>
      </c>
    </row>
    <row r="3117" spans="1:13" x14ac:dyDescent="0.25">
      <c r="A3117" s="1">
        <v>45197</v>
      </c>
      <c r="B3117" t="s">
        <v>16</v>
      </c>
      <c r="C3117" t="s">
        <v>15</v>
      </c>
      <c r="D3117" t="s">
        <v>13</v>
      </c>
      <c r="E3117">
        <v>536.4</v>
      </c>
      <c r="F3117">
        <v>300.35000000000002</v>
      </c>
      <c r="G3117">
        <v>10</v>
      </c>
      <c r="H3117">
        <f t="shared" si="288"/>
        <v>5364</v>
      </c>
      <c r="I3117">
        <f t="shared" si="292"/>
        <v>3003.5</v>
      </c>
      <c r="J3117">
        <f t="shared" si="289"/>
        <v>2360.5</v>
      </c>
      <c r="K3117" s="8">
        <f t="shared" si="290"/>
        <v>0.44006338553318419</v>
      </c>
      <c r="L3117" t="str">
        <f t="shared" si="293"/>
        <v>2023-09</v>
      </c>
      <c r="M3117">
        <f t="shared" si="291"/>
        <v>2360.5</v>
      </c>
    </row>
    <row r="3118" spans="1:13" x14ac:dyDescent="0.25">
      <c r="A3118" s="1">
        <v>44855</v>
      </c>
      <c r="B3118" t="s">
        <v>12</v>
      </c>
      <c r="C3118" t="s">
        <v>8</v>
      </c>
      <c r="D3118" t="s">
        <v>17</v>
      </c>
      <c r="E3118">
        <v>1932.17</v>
      </c>
      <c r="F3118">
        <v>1261.76</v>
      </c>
      <c r="G3118">
        <v>7</v>
      </c>
      <c r="H3118">
        <f t="shared" si="288"/>
        <v>13525.19</v>
      </c>
      <c r="I3118">
        <f t="shared" si="292"/>
        <v>8832.32</v>
      </c>
      <c r="J3118">
        <f t="shared" si="289"/>
        <v>4692.8700000000008</v>
      </c>
      <c r="K3118" s="8">
        <f t="shared" si="290"/>
        <v>0.34697257487695188</v>
      </c>
      <c r="L3118" t="str">
        <f t="shared" si="293"/>
        <v>2022-10</v>
      </c>
      <c r="M3118">
        <f t="shared" si="291"/>
        <v>4692.8700000000008</v>
      </c>
    </row>
    <row r="3119" spans="1:13" x14ac:dyDescent="0.25">
      <c r="A3119" s="1">
        <v>45575</v>
      </c>
      <c r="B3119" t="s">
        <v>12</v>
      </c>
      <c r="C3119" t="s">
        <v>8</v>
      </c>
      <c r="D3119" t="s">
        <v>13</v>
      </c>
      <c r="E3119">
        <v>1218.51</v>
      </c>
      <c r="F3119">
        <v>906.62</v>
      </c>
      <c r="G3119">
        <v>8</v>
      </c>
      <c r="H3119">
        <f t="shared" si="288"/>
        <v>9748.08</v>
      </c>
      <c r="I3119">
        <f t="shared" si="292"/>
        <v>7252.96</v>
      </c>
      <c r="J3119">
        <f t="shared" si="289"/>
        <v>2495.12</v>
      </c>
      <c r="K3119" s="8">
        <f t="shared" si="290"/>
        <v>0.25596014804966721</v>
      </c>
      <c r="L3119" t="str">
        <f t="shared" si="293"/>
        <v>2024-10</v>
      </c>
      <c r="M3119">
        <f t="shared" si="291"/>
        <v>2495.12</v>
      </c>
    </row>
    <row r="3120" spans="1:13" x14ac:dyDescent="0.25">
      <c r="A3120" s="1">
        <v>45464</v>
      </c>
      <c r="B3120" t="s">
        <v>14</v>
      </c>
      <c r="C3120" t="s">
        <v>15</v>
      </c>
      <c r="D3120" t="s">
        <v>9</v>
      </c>
      <c r="E3120">
        <v>1729.54</v>
      </c>
      <c r="F3120">
        <v>1526.38</v>
      </c>
      <c r="G3120">
        <v>9</v>
      </c>
      <c r="H3120">
        <f t="shared" si="288"/>
        <v>15565.86</v>
      </c>
      <c r="I3120">
        <f t="shared" si="292"/>
        <v>13737.420000000002</v>
      </c>
      <c r="J3120">
        <f t="shared" si="289"/>
        <v>1828.4399999999987</v>
      </c>
      <c r="K3120" s="8">
        <f t="shared" si="290"/>
        <v>0.11746475941579833</v>
      </c>
      <c r="L3120" t="str">
        <f t="shared" si="293"/>
        <v>2024-06</v>
      </c>
      <c r="M3120">
        <f t="shared" si="291"/>
        <v>1828.4399999999987</v>
      </c>
    </row>
    <row r="3121" spans="1:13" x14ac:dyDescent="0.25">
      <c r="A3121" s="1">
        <v>44621</v>
      </c>
      <c r="B3121" t="s">
        <v>7</v>
      </c>
      <c r="C3121" t="s">
        <v>8</v>
      </c>
      <c r="D3121" t="s">
        <v>13</v>
      </c>
      <c r="E3121">
        <v>648.55999999999995</v>
      </c>
      <c r="F3121">
        <v>471.47</v>
      </c>
      <c r="G3121">
        <v>4</v>
      </c>
      <c r="H3121">
        <f t="shared" si="288"/>
        <v>2594.2399999999998</v>
      </c>
      <c r="I3121">
        <f t="shared" si="292"/>
        <v>1885.88</v>
      </c>
      <c r="J3121">
        <f t="shared" si="289"/>
        <v>708.35999999999967</v>
      </c>
      <c r="K3121" s="8">
        <f t="shared" si="290"/>
        <v>0.27305106697915371</v>
      </c>
      <c r="L3121" t="str">
        <f t="shared" si="293"/>
        <v>2022-03</v>
      </c>
      <c r="M3121">
        <f t="shared" si="291"/>
        <v>708.35999999999967</v>
      </c>
    </row>
    <row r="3122" spans="1:13" x14ac:dyDescent="0.25">
      <c r="A3122" s="1">
        <v>44862</v>
      </c>
      <c r="B3122" t="s">
        <v>7</v>
      </c>
      <c r="C3122" t="s">
        <v>8</v>
      </c>
      <c r="D3122" t="s">
        <v>17</v>
      </c>
      <c r="E3122">
        <v>1262.32</v>
      </c>
      <c r="F3122">
        <v>1031.57</v>
      </c>
      <c r="G3122">
        <v>1</v>
      </c>
      <c r="H3122">
        <f t="shared" si="288"/>
        <v>1262.32</v>
      </c>
      <c r="I3122">
        <f t="shared" si="292"/>
        <v>1031.57</v>
      </c>
      <c r="J3122">
        <f t="shared" si="289"/>
        <v>230.75</v>
      </c>
      <c r="K3122" s="8">
        <f t="shared" si="290"/>
        <v>0.18279833956524497</v>
      </c>
      <c r="L3122" t="str">
        <f t="shared" si="293"/>
        <v>2022-10</v>
      </c>
      <c r="M3122">
        <f t="shared" si="291"/>
        <v>230.75</v>
      </c>
    </row>
    <row r="3123" spans="1:13" x14ac:dyDescent="0.25">
      <c r="A3123" s="1">
        <v>44921</v>
      </c>
      <c r="B3123" t="s">
        <v>10</v>
      </c>
      <c r="C3123" t="s">
        <v>11</v>
      </c>
      <c r="D3123" t="s">
        <v>18</v>
      </c>
      <c r="E3123">
        <v>250.53</v>
      </c>
      <c r="F3123">
        <v>185.4</v>
      </c>
      <c r="G3123">
        <v>2</v>
      </c>
      <c r="H3123">
        <f t="shared" si="288"/>
        <v>501.06</v>
      </c>
      <c r="I3123">
        <f t="shared" si="292"/>
        <v>370.8</v>
      </c>
      <c r="J3123">
        <f t="shared" si="289"/>
        <v>130.26</v>
      </c>
      <c r="K3123" s="8">
        <f t="shared" si="290"/>
        <v>0.25996886600407138</v>
      </c>
      <c r="L3123" t="str">
        <f t="shared" si="293"/>
        <v>2022-12</v>
      </c>
      <c r="M3123">
        <f t="shared" si="291"/>
        <v>130.26</v>
      </c>
    </row>
    <row r="3124" spans="1:13" x14ac:dyDescent="0.25">
      <c r="A3124" s="1">
        <v>45406</v>
      </c>
      <c r="B3124" t="s">
        <v>22</v>
      </c>
      <c r="C3124" t="s">
        <v>8</v>
      </c>
      <c r="D3124" t="s">
        <v>9</v>
      </c>
      <c r="E3124">
        <v>1429.15</v>
      </c>
      <c r="F3124">
        <v>1066.29</v>
      </c>
      <c r="G3124">
        <v>4</v>
      </c>
      <c r="H3124">
        <f t="shared" si="288"/>
        <v>5716.6</v>
      </c>
      <c r="I3124">
        <f t="shared" si="292"/>
        <v>4265.16</v>
      </c>
      <c r="J3124">
        <f t="shared" si="289"/>
        <v>1451.4400000000005</v>
      </c>
      <c r="K3124" s="8">
        <f t="shared" si="290"/>
        <v>0.25389917083581159</v>
      </c>
      <c r="L3124" t="str">
        <f t="shared" si="293"/>
        <v>2024-04</v>
      </c>
      <c r="M3124">
        <f t="shared" si="291"/>
        <v>1451.4400000000005</v>
      </c>
    </row>
    <row r="3125" spans="1:13" x14ac:dyDescent="0.25">
      <c r="A3125" s="1">
        <v>44724</v>
      </c>
      <c r="B3125" t="s">
        <v>7</v>
      </c>
      <c r="C3125" t="s">
        <v>8</v>
      </c>
      <c r="D3125" t="s">
        <v>9</v>
      </c>
      <c r="E3125">
        <v>108.36</v>
      </c>
      <c r="F3125">
        <v>68.5</v>
      </c>
      <c r="G3125">
        <v>7</v>
      </c>
      <c r="H3125">
        <f t="shared" si="288"/>
        <v>758.52</v>
      </c>
      <c r="I3125">
        <f t="shared" si="292"/>
        <v>479.5</v>
      </c>
      <c r="J3125">
        <f t="shared" si="289"/>
        <v>279.02</v>
      </c>
      <c r="K3125" s="8">
        <f t="shared" si="290"/>
        <v>0.36784791435954223</v>
      </c>
      <c r="L3125" t="str">
        <f t="shared" si="293"/>
        <v>2022-06</v>
      </c>
      <c r="M3125">
        <f t="shared" si="291"/>
        <v>279.02</v>
      </c>
    </row>
    <row r="3126" spans="1:13" x14ac:dyDescent="0.25">
      <c r="A3126" s="1">
        <v>45161</v>
      </c>
      <c r="B3126" t="s">
        <v>7</v>
      </c>
      <c r="C3126" t="s">
        <v>8</v>
      </c>
      <c r="D3126" t="s">
        <v>13</v>
      </c>
      <c r="E3126">
        <v>367.92</v>
      </c>
      <c r="F3126">
        <v>280.77999999999997</v>
      </c>
      <c r="G3126">
        <v>1</v>
      </c>
      <c r="H3126">
        <f t="shared" si="288"/>
        <v>367.92</v>
      </c>
      <c r="I3126">
        <f t="shared" si="292"/>
        <v>280.77999999999997</v>
      </c>
      <c r="J3126">
        <f t="shared" si="289"/>
        <v>87.140000000000043</v>
      </c>
      <c r="K3126" s="8">
        <f t="shared" si="290"/>
        <v>0.2368449662970212</v>
      </c>
      <c r="L3126" t="str">
        <f t="shared" si="293"/>
        <v>2023-08</v>
      </c>
      <c r="M3126">
        <f t="shared" si="291"/>
        <v>87.140000000000043</v>
      </c>
    </row>
    <row r="3127" spans="1:13" x14ac:dyDescent="0.25">
      <c r="A3127" s="1">
        <v>45176</v>
      </c>
      <c r="B3127" t="s">
        <v>10</v>
      </c>
      <c r="C3127" t="s">
        <v>11</v>
      </c>
      <c r="D3127" t="s">
        <v>9</v>
      </c>
      <c r="E3127">
        <v>977.19</v>
      </c>
      <c r="F3127">
        <v>553.46</v>
      </c>
      <c r="G3127">
        <v>3</v>
      </c>
      <c r="H3127">
        <f t="shared" si="288"/>
        <v>2931.57</v>
      </c>
      <c r="I3127">
        <f t="shared" si="292"/>
        <v>1660.38</v>
      </c>
      <c r="J3127">
        <f t="shared" si="289"/>
        <v>1271.19</v>
      </c>
      <c r="K3127" s="8">
        <f t="shared" si="290"/>
        <v>0.4336208925592771</v>
      </c>
      <c r="L3127" t="str">
        <f t="shared" si="293"/>
        <v>2023-09</v>
      </c>
      <c r="M3127">
        <f t="shared" si="291"/>
        <v>1271.19</v>
      </c>
    </row>
    <row r="3128" spans="1:13" x14ac:dyDescent="0.25">
      <c r="A3128" s="1">
        <v>45111</v>
      </c>
      <c r="B3128" t="s">
        <v>14</v>
      </c>
      <c r="C3128" t="s">
        <v>15</v>
      </c>
      <c r="D3128" t="s">
        <v>17</v>
      </c>
      <c r="E3128">
        <v>1659.13</v>
      </c>
      <c r="F3128">
        <v>988.67</v>
      </c>
      <c r="G3128">
        <v>8</v>
      </c>
      <c r="H3128">
        <f t="shared" si="288"/>
        <v>13273.04</v>
      </c>
      <c r="I3128">
        <f t="shared" si="292"/>
        <v>7909.36</v>
      </c>
      <c r="J3128">
        <f t="shared" si="289"/>
        <v>5363.6800000000012</v>
      </c>
      <c r="K3128" s="8">
        <f t="shared" si="290"/>
        <v>0.40410335537299674</v>
      </c>
      <c r="L3128" t="str">
        <f t="shared" si="293"/>
        <v>2023-07</v>
      </c>
      <c r="M3128">
        <f t="shared" si="291"/>
        <v>5363.6800000000012</v>
      </c>
    </row>
    <row r="3129" spans="1:13" x14ac:dyDescent="0.25">
      <c r="A3129" s="1">
        <v>44633</v>
      </c>
      <c r="B3129" t="s">
        <v>24</v>
      </c>
      <c r="C3129" t="s">
        <v>20</v>
      </c>
      <c r="D3129" t="s">
        <v>13</v>
      </c>
      <c r="E3129">
        <v>331.17</v>
      </c>
      <c r="F3129">
        <v>255.79</v>
      </c>
      <c r="G3129">
        <v>10</v>
      </c>
      <c r="H3129">
        <f t="shared" si="288"/>
        <v>3311.7000000000003</v>
      </c>
      <c r="I3129">
        <f t="shared" si="292"/>
        <v>2557.9</v>
      </c>
      <c r="J3129">
        <f t="shared" si="289"/>
        <v>753.80000000000018</v>
      </c>
      <c r="K3129" s="8">
        <f t="shared" si="290"/>
        <v>0.22761723586073621</v>
      </c>
      <c r="L3129" t="str">
        <f t="shared" si="293"/>
        <v>2022-03</v>
      </c>
      <c r="M3129">
        <f t="shared" si="291"/>
        <v>753.80000000000018</v>
      </c>
    </row>
    <row r="3130" spans="1:13" x14ac:dyDescent="0.25">
      <c r="A3130" s="1">
        <v>44744</v>
      </c>
      <c r="B3130" t="s">
        <v>22</v>
      </c>
      <c r="C3130" t="s">
        <v>8</v>
      </c>
      <c r="D3130" t="s">
        <v>13</v>
      </c>
      <c r="E3130">
        <v>591.03</v>
      </c>
      <c r="F3130">
        <v>325.7</v>
      </c>
      <c r="G3130">
        <v>4</v>
      </c>
      <c r="H3130">
        <f t="shared" si="288"/>
        <v>2364.12</v>
      </c>
      <c r="I3130">
        <f t="shared" si="292"/>
        <v>1302.8</v>
      </c>
      <c r="J3130">
        <f t="shared" si="289"/>
        <v>1061.32</v>
      </c>
      <c r="K3130" s="8">
        <f t="shared" si="290"/>
        <v>0.44892814239547907</v>
      </c>
      <c r="L3130" t="str">
        <f t="shared" si="293"/>
        <v>2022-07</v>
      </c>
      <c r="M3130">
        <f t="shared" si="291"/>
        <v>1061.32</v>
      </c>
    </row>
    <row r="3131" spans="1:13" x14ac:dyDescent="0.25">
      <c r="A3131" s="1">
        <v>45483</v>
      </c>
      <c r="B3131" t="s">
        <v>7</v>
      </c>
      <c r="C3131" t="s">
        <v>8</v>
      </c>
      <c r="D3131" t="s">
        <v>18</v>
      </c>
      <c r="E3131">
        <v>1127.4000000000001</v>
      </c>
      <c r="F3131">
        <v>607.27</v>
      </c>
      <c r="G3131">
        <v>9</v>
      </c>
      <c r="H3131">
        <f t="shared" si="288"/>
        <v>10146.6</v>
      </c>
      <c r="I3131">
        <f t="shared" si="292"/>
        <v>5465.43</v>
      </c>
      <c r="J3131">
        <f t="shared" si="289"/>
        <v>4681.17</v>
      </c>
      <c r="K3131" s="8">
        <f t="shared" si="290"/>
        <v>0.46135355685648394</v>
      </c>
      <c r="L3131" t="str">
        <f t="shared" si="293"/>
        <v>2024-07</v>
      </c>
      <c r="M3131">
        <f t="shared" si="291"/>
        <v>4681.17</v>
      </c>
    </row>
    <row r="3132" spans="1:13" x14ac:dyDescent="0.25">
      <c r="A3132" s="1">
        <v>45013</v>
      </c>
      <c r="B3132" t="s">
        <v>14</v>
      </c>
      <c r="C3132" t="s">
        <v>15</v>
      </c>
      <c r="D3132" t="s">
        <v>13</v>
      </c>
      <c r="E3132">
        <v>1207.53</v>
      </c>
      <c r="F3132">
        <v>779.42</v>
      </c>
      <c r="G3132">
        <v>5</v>
      </c>
      <c r="H3132">
        <f t="shared" si="288"/>
        <v>6037.65</v>
      </c>
      <c r="I3132">
        <f t="shared" si="292"/>
        <v>3897.1</v>
      </c>
      <c r="J3132">
        <f t="shared" si="289"/>
        <v>2140.5499999999997</v>
      </c>
      <c r="K3132" s="8">
        <f t="shared" si="290"/>
        <v>0.35453363477511946</v>
      </c>
      <c r="L3132" t="str">
        <f t="shared" si="293"/>
        <v>2023-03</v>
      </c>
      <c r="M3132">
        <f t="shared" si="291"/>
        <v>2140.5499999999997</v>
      </c>
    </row>
    <row r="3133" spans="1:13" x14ac:dyDescent="0.25">
      <c r="A3133" s="1">
        <v>44898</v>
      </c>
      <c r="B3133" t="s">
        <v>19</v>
      </c>
      <c r="C3133" t="s">
        <v>20</v>
      </c>
      <c r="D3133" t="s">
        <v>13</v>
      </c>
      <c r="E3133">
        <v>1837.07</v>
      </c>
      <c r="F3133">
        <v>1579.54</v>
      </c>
      <c r="G3133">
        <v>3</v>
      </c>
      <c r="H3133">
        <f t="shared" si="288"/>
        <v>5511.21</v>
      </c>
      <c r="I3133">
        <f t="shared" si="292"/>
        <v>4738.62</v>
      </c>
      <c r="J3133">
        <f t="shared" si="289"/>
        <v>772.59000000000015</v>
      </c>
      <c r="K3133" s="8">
        <f t="shared" si="290"/>
        <v>0.14018518619323164</v>
      </c>
      <c r="L3133" t="str">
        <f t="shared" si="293"/>
        <v>2022-12</v>
      </c>
      <c r="M3133">
        <f t="shared" si="291"/>
        <v>772.59000000000015</v>
      </c>
    </row>
    <row r="3134" spans="1:13" x14ac:dyDescent="0.25">
      <c r="A3134" s="1">
        <v>44704</v>
      </c>
      <c r="B3134" t="s">
        <v>16</v>
      </c>
      <c r="C3134" t="s">
        <v>15</v>
      </c>
      <c r="D3134" t="s">
        <v>13</v>
      </c>
      <c r="E3134">
        <v>1957.74</v>
      </c>
      <c r="F3134">
        <v>1388.04</v>
      </c>
      <c r="G3134">
        <v>4</v>
      </c>
      <c r="H3134">
        <f t="shared" si="288"/>
        <v>7830.96</v>
      </c>
      <c r="I3134">
        <f t="shared" si="292"/>
        <v>5552.16</v>
      </c>
      <c r="J3134">
        <f t="shared" si="289"/>
        <v>2278.8000000000002</v>
      </c>
      <c r="K3134" s="8">
        <f t="shared" si="290"/>
        <v>0.29099880474424594</v>
      </c>
      <c r="L3134" t="str">
        <f t="shared" si="293"/>
        <v>2022-05</v>
      </c>
      <c r="M3134">
        <f t="shared" si="291"/>
        <v>2278.8000000000002</v>
      </c>
    </row>
    <row r="3135" spans="1:13" x14ac:dyDescent="0.25">
      <c r="A3135" s="1">
        <v>44874</v>
      </c>
      <c r="B3135" t="s">
        <v>16</v>
      </c>
      <c r="C3135" t="s">
        <v>15</v>
      </c>
      <c r="D3135" t="s">
        <v>18</v>
      </c>
      <c r="E3135">
        <v>867.77</v>
      </c>
      <c r="F3135">
        <v>686.12</v>
      </c>
      <c r="G3135">
        <v>10</v>
      </c>
      <c r="H3135">
        <f t="shared" si="288"/>
        <v>8677.7000000000007</v>
      </c>
      <c r="I3135">
        <f t="shared" si="292"/>
        <v>6861.2</v>
      </c>
      <c r="J3135">
        <f t="shared" si="289"/>
        <v>1816.5000000000009</v>
      </c>
      <c r="K3135" s="8">
        <f t="shared" si="290"/>
        <v>0.2093296610853107</v>
      </c>
      <c r="L3135" t="str">
        <f t="shared" si="293"/>
        <v>2022-11</v>
      </c>
      <c r="M3135">
        <f t="shared" si="291"/>
        <v>1816.5000000000009</v>
      </c>
    </row>
    <row r="3136" spans="1:13" x14ac:dyDescent="0.25">
      <c r="A3136" s="1">
        <v>44740</v>
      </c>
      <c r="B3136" t="s">
        <v>14</v>
      </c>
      <c r="C3136" t="s">
        <v>15</v>
      </c>
      <c r="D3136" t="s">
        <v>18</v>
      </c>
      <c r="E3136">
        <v>825.55</v>
      </c>
      <c r="F3136">
        <v>530.54</v>
      </c>
      <c r="G3136">
        <v>8</v>
      </c>
      <c r="H3136">
        <f t="shared" si="288"/>
        <v>6604.4</v>
      </c>
      <c r="I3136">
        <f t="shared" si="292"/>
        <v>4244.32</v>
      </c>
      <c r="J3136">
        <f t="shared" si="289"/>
        <v>2360.08</v>
      </c>
      <c r="K3136" s="8">
        <f t="shared" si="290"/>
        <v>0.35734964569075162</v>
      </c>
      <c r="L3136" t="str">
        <f t="shared" si="293"/>
        <v>2022-06</v>
      </c>
      <c r="M3136">
        <f t="shared" si="291"/>
        <v>2360.08</v>
      </c>
    </row>
    <row r="3137" spans="1:13" x14ac:dyDescent="0.25">
      <c r="A3137" s="1">
        <v>45636</v>
      </c>
      <c r="B3137" t="s">
        <v>16</v>
      </c>
      <c r="C3137" t="s">
        <v>15</v>
      </c>
      <c r="D3137" t="s">
        <v>17</v>
      </c>
      <c r="E3137">
        <v>81.459999999999994</v>
      </c>
      <c r="F3137">
        <v>53.92</v>
      </c>
      <c r="G3137">
        <v>4</v>
      </c>
      <c r="H3137">
        <f t="shared" si="288"/>
        <v>325.83999999999997</v>
      </c>
      <c r="I3137">
        <f t="shared" si="292"/>
        <v>215.68</v>
      </c>
      <c r="J3137">
        <f t="shared" si="289"/>
        <v>110.15999999999997</v>
      </c>
      <c r="K3137" s="8">
        <f t="shared" si="290"/>
        <v>0.33808003928308367</v>
      </c>
      <c r="L3137" t="str">
        <f t="shared" si="293"/>
        <v>2024-12</v>
      </c>
      <c r="M3137">
        <f t="shared" si="291"/>
        <v>110.15999999999997</v>
      </c>
    </row>
    <row r="3138" spans="1:13" x14ac:dyDescent="0.25">
      <c r="A3138" s="1">
        <v>45044</v>
      </c>
      <c r="B3138" t="s">
        <v>23</v>
      </c>
      <c r="C3138" t="s">
        <v>11</v>
      </c>
      <c r="D3138" t="s">
        <v>18</v>
      </c>
      <c r="E3138">
        <v>630.1</v>
      </c>
      <c r="F3138">
        <v>475.08</v>
      </c>
      <c r="G3138">
        <v>7</v>
      </c>
      <c r="H3138">
        <f t="shared" si="288"/>
        <v>4410.7</v>
      </c>
      <c r="I3138">
        <f t="shared" si="292"/>
        <v>3325.56</v>
      </c>
      <c r="J3138">
        <f t="shared" si="289"/>
        <v>1085.1399999999999</v>
      </c>
      <c r="K3138" s="8">
        <f t="shared" si="290"/>
        <v>0.24602444056498968</v>
      </c>
      <c r="L3138" t="str">
        <f t="shared" si="293"/>
        <v>2023-04</v>
      </c>
      <c r="M3138">
        <f t="shared" si="291"/>
        <v>1085.1399999999999</v>
      </c>
    </row>
    <row r="3139" spans="1:13" x14ac:dyDescent="0.25">
      <c r="A3139" s="1">
        <v>44813</v>
      </c>
      <c r="B3139" t="s">
        <v>25</v>
      </c>
      <c r="C3139" t="s">
        <v>15</v>
      </c>
      <c r="D3139" t="s">
        <v>17</v>
      </c>
      <c r="E3139">
        <v>844.06</v>
      </c>
      <c r="F3139">
        <v>667.53</v>
      </c>
      <c r="G3139">
        <v>9</v>
      </c>
      <c r="H3139">
        <f t="shared" ref="H3139:H3202" si="294">E3139*G3139</f>
        <v>7596.5399999999991</v>
      </c>
      <c r="I3139">
        <f t="shared" si="292"/>
        <v>6007.7699999999995</v>
      </c>
      <c r="J3139">
        <f t="shared" ref="J3139:J3202" si="295">H3139-I3139</f>
        <v>1588.7699999999995</v>
      </c>
      <c r="K3139" s="8">
        <f t="shared" ref="K3139:K3202" si="296">(H3139-I3139)/H3139</f>
        <v>0.20914389972276848</v>
      </c>
      <c r="L3139" t="str">
        <f t="shared" si="293"/>
        <v>2022-09</v>
      </c>
      <c r="M3139">
        <f t="shared" ref="M3139:M3202" si="297">H3139-I3139</f>
        <v>1588.7699999999995</v>
      </c>
    </row>
    <row r="3140" spans="1:13" x14ac:dyDescent="0.25">
      <c r="A3140" s="1">
        <v>45511</v>
      </c>
      <c r="B3140" t="s">
        <v>16</v>
      </c>
      <c r="C3140" t="s">
        <v>15</v>
      </c>
      <c r="D3140" t="s">
        <v>9</v>
      </c>
      <c r="E3140">
        <v>1483.82</v>
      </c>
      <c r="F3140">
        <v>771.55</v>
      </c>
      <c r="G3140">
        <v>3</v>
      </c>
      <c r="H3140">
        <f t="shared" si="294"/>
        <v>4451.46</v>
      </c>
      <c r="I3140">
        <f t="shared" ref="I3140:I3203" si="298">F3140*G3140</f>
        <v>2314.6499999999996</v>
      </c>
      <c r="J3140">
        <f t="shared" si="295"/>
        <v>2136.8100000000004</v>
      </c>
      <c r="K3140" s="8">
        <f t="shared" si="296"/>
        <v>0.48002453127737876</v>
      </c>
      <c r="L3140" t="str">
        <f t="shared" ref="L3140:L3203" si="299">TEXT(A3140,"rrrr-mm")</f>
        <v>2024-08</v>
      </c>
      <c r="M3140">
        <f t="shared" si="297"/>
        <v>2136.8100000000004</v>
      </c>
    </row>
    <row r="3141" spans="1:13" x14ac:dyDescent="0.25">
      <c r="A3141" s="1">
        <v>45548</v>
      </c>
      <c r="B3141" t="s">
        <v>14</v>
      </c>
      <c r="C3141" t="s">
        <v>15</v>
      </c>
      <c r="D3141" t="s">
        <v>18</v>
      </c>
      <c r="E3141">
        <v>1679.95</v>
      </c>
      <c r="F3141">
        <v>1403.01</v>
      </c>
      <c r="G3141">
        <v>5</v>
      </c>
      <c r="H3141">
        <f t="shared" si="294"/>
        <v>8399.75</v>
      </c>
      <c r="I3141">
        <f t="shared" si="298"/>
        <v>7015.05</v>
      </c>
      <c r="J3141">
        <f t="shared" si="295"/>
        <v>1384.6999999999998</v>
      </c>
      <c r="K3141" s="8">
        <f t="shared" si="296"/>
        <v>0.16485014434953418</v>
      </c>
      <c r="L3141" t="str">
        <f t="shared" si="299"/>
        <v>2024-09</v>
      </c>
      <c r="M3141">
        <f t="shared" si="297"/>
        <v>1384.6999999999998</v>
      </c>
    </row>
    <row r="3142" spans="1:13" x14ac:dyDescent="0.25">
      <c r="A3142" s="1">
        <v>44911</v>
      </c>
      <c r="B3142" t="s">
        <v>21</v>
      </c>
      <c r="C3142" t="s">
        <v>20</v>
      </c>
      <c r="D3142" t="s">
        <v>9</v>
      </c>
      <c r="E3142">
        <v>227.15</v>
      </c>
      <c r="F3142">
        <v>175.43</v>
      </c>
      <c r="G3142">
        <v>7</v>
      </c>
      <c r="H3142">
        <f t="shared" si="294"/>
        <v>1590.05</v>
      </c>
      <c r="I3142">
        <f t="shared" si="298"/>
        <v>1228.01</v>
      </c>
      <c r="J3142">
        <f t="shared" si="295"/>
        <v>362.03999999999996</v>
      </c>
      <c r="K3142" s="8">
        <f t="shared" si="296"/>
        <v>0.2276909531146819</v>
      </c>
      <c r="L3142" t="str">
        <f t="shared" si="299"/>
        <v>2022-12</v>
      </c>
      <c r="M3142">
        <f t="shared" si="297"/>
        <v>362.03999999999996</v>
      </c>
    </row>
    <row r="3143" spans="1:13" x14ac:dyDescent="0.25">
      <c r="A3143" s="1">
        <v>45470</v>
      </c>
      <c r="B3143" t="s">
        <v>14</v>
      </c>
      <c r="C3143" t="s">
        <v>15</v>
      </c>
      <c r="D3143" t="s">
        <v>18</v>
      </c>
      <c r="E3143">
        <v>1899.3</v>
      </c>
      <c r="F3143">
        <v>1480.03</v>
      </c>
      <c r="G3143">
        <v>6</v>
      </c>
      <c r="H3143">
        <f t="shared" si="294"/>
        <v>11395.8</v>
      </c>
      <c r="I3143">
        <f t="shared" si="298"/>
        <v>8880.18</v>
      </c>
      <c r="J3143">
        <f t="shared" si="295"/>
        <v>2515.619999999999</v>
      </c>
      <c r="K3143" s="8">
        <f t="shared" si="296"/>
        <v>0.22074974990786073</v>
      </c>
      <c r="L3143" t="str">
        <f t="shared" si="299"/>
        <v>2024-06</v>
      </c>
      <c r="M3143">
        <f t="shared" si="297"/>
        <v>2515.619999999999</v>
      </c>
    </row>
    <row r="3144" spans="1:13" x14ac:dyDescent="0.25">
      <c r="A3144" s="1">
        <v>45634</v>
      </c>
      <c r="B3144" t="s">
        <v>21</v>
      </c>
      <c r="C3144" t="s">
        <v>20</v>
      </c>
      <c r="D3144" t="s">
        <v>17</v>
      </c>
      <c r="E3144">
        <v>1245.3399999999999</v>
      </c>
      <c r="F3144">
        <v>901.92</v>
      </c>
      <c r="G3144">
        <v>8</v>
      </c>
      <c r="H3144">
        <f t="shared" si="294"/>
        <v>9962.7199999999993</v>
      </c>
      <c r="I3144">
        <f t="shared" si="298"/>
        <v>7215.36</v>
      </c>
      <c r="J3144">
        <f t="shared" si="295"/>
        <v>2747.3599999999997</v>
      </c>
      <c r="K3144" s="8">
        <f t="shared" si="296"/>
        <v>0.27576404837233204</v>
      </c>
      <c r="L3144" t="str">
        <f t="shared" si="299"/>
        <v>2024-12</v>
      </c>
      <c r="M3144">
        <f t="shared" si="297"/>
        <v>2747.3599999999997</v>
      </c>
    </row>
    <row r="3145" spans="1:13" x14ac:dyDescent="0.25">
      <c r="A3145" s="1">
        <v>45111</v>
      </c>
      <c r="B3145" t="s">
        <v>24</v>
      </c>
      <c r="C3145" t="s">
        <v>20</v>
      </c>
      <c r="D3145" t="s">
        <v>17</v>
      </c>
      <c r="E3145">
        <v>1743.48</v>
      </c>
      <c r="F3145">
        <v>1043.54</v>
      </c>
      <c r="G3145">
        <v>10</v>
      </c>
      <c r="H3145">
        <f t="shared" si="294"/>
        <v>17434.8</v>
      </c>
      <c r="I3145">
        <f t="shared" si="298"/>
        <v>10435.4</v>
      </c>
      <c r="J3145">
        <f t="shared" si="295"/>
        <v>6999.4</v>
      </c>
      <c r="K3145" s="8">
        <f t="shared" si="296"/>
        <v>0.40146144492623947</v>
      </c>
      <c r="L3145" t="str">
        <f t="shared" si="299"/>
        <v>2023-07</v>
      </c>
      <c r="M3145">
        <f t="shared" si="297"/>
        <v>6999.4</v>
      </c>
    </row>
    <row r="3146" spans="1:13" x14ac:dyDescent="0.25">
      <c r="A3146" s="1">
        <v>45543</v>
      </c>
      <c r="B3146" t="s">
        <v>23</v>
      </c>
      <c r="C3146" t="s">
        <v>11</v>
      </c>
      <c r="D3146" t="s">
        <v>9</v>
      </c>
      <c r="E3146">
        <v>1419.91</v>
      </c>
      <c r="F3146">
        <v>1220.79</v>
      </c>
      <c r="G3146">
        <v>6</v>
      </c>
      <c r="H3146">
        <f t="shared" si="294"/>
        <v>8519.4600000000009</v>
      </c>
      <c r="I3146">
        <f t="shared" si="298"/>
        <v>7324.74</v>
      </c>
      <c r="J3146">
        <f t="shared" si="295"/>
        <v>1194.7200000000012</v>
      </c>
      <c r="K3146" s="8">
        <f t="shared" si="296"/>
        <v>0.14023424019832256</v>
      </c>
      <c r="L3146" t="str">
        <f t="shared" si="299"/>
        <v>2024-09</v>
      </c>
      <c r="M3146">
        <f t="shared" si="297"/>
        <v>1194.7200000000012</v>
      </c>
    </row>
    <row r="3147" spans="1:13" x14ac:dyDescent="0.25">
      <c r="A3147" s="1">
        <v>45224</v>
      </c>
      <c r="B3147" t="s">
        <v>7</v>
      </c>
      <c r="C3147" t="s">
        <v>8</v>
      </c>
      <c r="D3147" t="s">
        <v>17</v>
      </c>
      <c r="E3147">
        <v>1453.39</v>
      </c>
      <c r="F3147">
        <v>912.28</v>
      </c>
      <c r="G3147">
        <v>8</v>
      </c>
      <c r="H3147">
        <f t="shared" si="294"/>
        <v>11627.12</v>
      </c>
      <c r="I3147">
        <f t="shared" si="298"/>
        <v>7298.24</v>
      </c>
      <c r="J3147">
        <f t="shared" si="295"/>
        <v>4328.880000000001</v>
      </c>
      <c r="K3147" s="8">
        <f t="shared" si="296"/>
        <v>0.37230887786485395</v>
      </c>
      <c r="L3147" t="str">
        <f t="shared" si="299"/>
        <v>2023-10</v>
      </c>
      <c r="M3147">
        <f t="shared" si="297"/>
        <v>4328.880000000001</v>
      </c>
    </row>
    <row r="3148" spans="1:13" x14ac:dyDescent="0.25">
      <c r="A3148" s="1">
        <v>45563</v>
      </c>
      <c r="B3148" t="s">
        <v>24</v>
      </c>
      <c r="C3148" t="s">
        <v>20</v>
      </c>
      <c r="D3148" t="s">
        <v>9</v>
      </c>
      <c r="E3148">
        <v>964.62</v>
      </c>
      <c r="F3148">
        <v>512.19000000000005</v>
      </c>
      <c r="G3148">
        <v>4</v>
      </c>
      <c r="H3148">
        <f t="shared" si="294"/>
        <v>3858.48</v>
      </c>
      <c r="I3148">
        <f t="shared" si="298"/>
        <v>2048.7600000000002</v>
      </c>
      <c r="J3148">
        <f t="shared" si="295"/>
        <v>1809.7199999999998</v>
      </c>
      <c r="K3148" s="8">
        <f t="shared" si="296"/>
        <v>0.46902407165515947</v>
      </c>
      <c r="L3148" t="str">
        <f t="shared" si="299"/>
        <v>2024-09</v>
      </c>
      <c r="M3148">
        <f t="shared" si="297"/>
        <v>1809.7199999999998</v>
      </c>
    </row>
    <row r="3149" spans="1:13" x14ac:dyDescent="0.25">
      <c r="A3149" s="1">
        <v>45117</v>
      </c>
      <c r="B3149" t="s">
        <v>12</v>
      </c>
      <c r="C3149" t="s">
        <v>8</v>
      </c>
      <c r="D3149" t="s">
        <v>9</v>
      </c>
      <c r="E3149">
        <v>953</v>
      </c>
      <c r="F3149">
        <v>731.67</v>
      </c>
      <c r="G3149">
        <v>7</v>
      </c>
      <c r="H3149">
        <f t="shared" si="294"/>
        <v>6671</v>
      </c>
      <c r="I3149">
        <f t="shared" si="298"/>
        <v>5121.6899999999996</v>
      </c>
      <c r="J3149">
        <f t="shared" si="295"/>
        <v>1549.3100000000004</v>
      </c>
      <c r="K3149" s="8">
        <f t="shared" si="296"/>
        <v>0.23224554039874087</v>
      </c>
      <c r="L3149" t="str">
        <f t="shared" si="299"/>
        <v>2023-07</v>
      </c>
      <c r="M3149">
        <f t="shared" si="297"/>
        <v>1549.3100000000004</v>
      </c>
    </row>
    <row r="3150" spans="1:13" x14ac:dyDescent="0.25">
      <c r="A3150" s="1">
        <v>44882</v>
      </c>
      <c r="B3150" t="s">
        <v>21</v>
      </c>
      <c r="C3150" t="s">
        <v>20</v>
      </c>
      <c r="D3150" t="s">
        <v>17</v>
      </c>
      <c r="E3150">
        <v>913.14</v>
      </c>
      <c r="F3150">
        <v>771.16</v>
      </c>
      <c r="G3150">
        <v>7</v>
      </c>
      <c r="H3150">
        <f t="shared" si="294"/>
        <v>6391.98</v>
      </c>
      <c r="I3150">
        <f t="shared" si="298"/>
        <v>5398.12</v>
      </c>
      <c r="J3150">
        <f t="shared" si="295"/>
        <v>993.85999999999967</v>
      </c>
      <c r="K3150" s="8">
        <f t="shared" si="296"/>
        <v>0.15548546772674504</v>
      </c>
      <c r="L3150" t="str">
        <f t="shared" si="299"/>
        <v>2022-11</v>
      </c>
      <c r="M3150">
        <f t="shared" si="297"/>
        <v>993.85999999999967</v>
      </c>
    </row>
    <row r="3151" spans="1:13" x14ac:dyDescent="0.25">
      <c r="A3151" s="1">
        <v>44712</v>
      </c>
      <c r="B3151" t="s">
        <v>16</v>
      </c>
      <c r="C3151" t="s">
        <v>15</v>
      </c>
      <c r="D3151" t="s">
        <v>17</v>
      </c>
      <c r="E3151">
        <v>432.07</v>
      </c>
      <c r="F3151">
        <v>265.01</v>
      </c>
      <c r="G3151">
        <v>9</v>
      </c>
      <c r="H3151">
        <f t="shared" si="294"/>
        <v>3888.63</v>
      </c>
      <c r="I3151">
        <f t="shared" si="298"/>
        <v>2385.09</v>
      </c>
      <c r="J3151">
        <f t="shared" si="295"/>
        <v>1503.54</v>
      </c>
      <c r="K3151" s="8">
        <f t="shared" si="296"/>
        <v>0.38665031129215172</v>
      </c>
      <c r="L3151" t="str">
        <f t="shared" si="299"/>
        <v>2022-05</v>
      </c>
      <c r="M3151">
        <f t="shared" si="297"/>
        <v>1503.54</v>
      </c>
    </row>
    <row r="3152" spans="1:13" x14ac:dyDescent="0.25">
      <c r="A3152" s="1">
        <v>45114</v>
      </c>
      <c r="B3152" t="s">
        <v>19</v>
      </c>
      <c r="C3152" t="s">
        <v>20</v>
      </c>
      <c r="D3152" t="s">
        <v>18</v>
      </c>
      <c r="E3152">
        <v>952.28</v>
      </c>
      <c r="F3152">
        <v>711.45</v>
      </c>
      <c r="G3152">
        <v>1</v>
      </c>
      <c r="H3152">
        <f t="shared" si="294"/>
        <v>952.28</v>
      </c>
      <c r="I3152">
        <f t="shared" si="298"/>
        <v>711.45</v>
      </c>
      <c r="J3152">
        <f t="shared" si="295"/>
        <v>240.82999999999993</v>
      </c>
      <c r="K3152" s="8">
        <f t="shared" si="296"/>
        <v>0.25289830722056533</v>
      </c>
      <c r="L3152" t="str">
        <f t="shared" si="299"/>
        <v>2023-07</v>
      </c>
      <c r="M3152">
        <f t="shared" si="297"/>
        <v>240.82999999999993</v>
      </c>
    </row>
    <row r="3153" spans="1:13" x14ac:dyDescent="0.25">
      <c r="A3153" s="1">
        <v>45586</v>
      </c>
      <c r="B3153" t="s">
        <v>25</v>
      </c>
      <c r="C3153" t="s">
        <v>15</v>
      </c>
      <c r="D3153" t="s">
        <v>13</v>
      </c>
      <c r="E3153">
        <v>1288.1199999999999</v>
      </c>
      <c r="F3153">
        <v>877.09</v>
      </c>
      <c r="G3153">
        <v>6</v>
      </c>
      <c r="H3153">
        <f t="shared" si="294"/>
        <v>7728.7199999999993</v>
      </c>
      <c r="I3153">
        <f t="shared" si="298"/>
        <v>5262.54</v>
      </c>
      <c r="J3153">
        <f t="shared" si="295"/>
        <v>2466.1799999999994</v>
      </c>
      <c r="K3153" s="8">
        <f t="shared" si="296"/>
        <v>0.3190929416513989</v>
      </c>
      <c r="L3153" t="str">
        <f t="shared" si="299"/>
        <v>2024-10</v>
      </c>
      <c r="M3153">
        <f t="shared" si="297"/>
        <v>2466.1799999999994</v>
      </c>
    </row>
    <row r="3154" spans="1:13" x14ac:dyDescent="0.25">
      <c r="A3154" s="1">
        <v>45032</v>
      </c>
      <c r="B3154" t="s">
        <v>7</v>
      </c>
      <c r="C3154" t="s">
        <v>8</v>
      </c>
      <c r="D3154" t="s">
        <v>17</v>
      </c>
      <c r="E3154">
        <v>1491.56</v>
      </c>
      <c r="F3154">
        <v>1215.9100000000001</v>
      </c>
      <c r="G3154">
        <v>8</v>
      </c>
      <c r="H3154">
        <f t="shared" si="294"/>
        <v>11932.48</v>
      </c>
      <c r="I3154">
        <f t="shared" si="298"/>
        <v>9727.2800000000007</v>
      </c>
      <c r="J3154">
        <f t="shared" si="295"/>
        <v>2205.1999999999989</v>
      </c>
      <c r="K3154" s="8">
        <f t="shared" si="296"/>
        <v>0.18480651130360151</v>
      </c>
      <c r="L3154" t="str">
        <f t="shared" si="299"/>
        <v>2023-04</v>
      </c>
      <c r="M3154">
        <f t="shared" si="297"/>
        <v>2205.1999999999989</v>
      </c>
    </row>
    <row r="3155" spans="1:13" x14ac:dyDescent="0.25">
      <c r="A3155" s="1">
        <v>45375</v>
      </c>
      <c r="B3155" t="s">
        <v>12</v>
      </c>
      <c r="C3155" t="s">
        <v>8</v>
      </c>
      <c r="D3155" t="s">
        <v>18</v>
      </c>
      <c r="E3155">
        <v>1139.1600000000001</v>
      </c>
      <c r="F3155">
        <v>941.3</v>
      </c>
      <c r="G3155">
        <v>5</v>
      </c>
      <c r="H3155">
        <f t="shared" si="294"/>
        <v>5695.8</v>
      </c>
      <c r="I3155">
        <f t="shared" si="298"/>
        <v>4706.5</v>
      </c>
      <c r="J3155">
        <f t="shared" si="295"/>
        <v>989.30000000000018</v>
      </c>
      <c r="K3155" s="8">
        <f t="shared" si="296"/>
        <v>0.17368938516099586</v>
      </c>
      <c r="L3155" t="str">
        <f t="shared" si="299"/>
        <v>2024-03</v>
      </c>
      <c r="M3155">
        <f t="shared" si="297"/>
        <v>989.30000000000018</v>
      </c>
    </row>
    <row r="3156" spans="1:13" x14ac:dyDescent="0.25">
      <c r="A3156" s="1">
        <v>45654</v>
      </c>
      <c r="B3156" t="s">
        <v>24</v>
      </c>
      <c r="C3156" t="s">
        <v>20</v>
      </c>
      <c r="D3156" t="s">
        <v>13</v>
      </c>
      <c r="E3156">
        <v>1336.9</v>
      </c>
      <c r="F3156">
        <v>1046.0999999999999</v>
      </c>
      <c r="G3156">
        <v>2</v>
      </c>
      <c r="H3156">
        <f t="shared" si="294"/>
        <v>2673.8</v>
      </c>
      <c r="I3156">
        <f t="shared" si="298"/>
        <v>2092.1999999999998</v>
      </c>
      <c r="J3156">
        <f t="shared" si="295"/>
        <v>581.60000000000036</v>
      </c>
      <c r="K3156" s="8">
        <f t="shared" si="296"/>
        <v>0.21751813897823336</v>
      </c>
      <c r="L3156" t="str">
        <f t="shared" si="299"/>
        <v>2024-12</v>
      </c>
      <c r="M3156">
        <f t="shared" si="297"/>
        <v>581.60000000000036</v>
      </c>
    </row>
    <row r="3157" spans="1:13" x14ac:dyDescent="0.25">
      <c r="A3157" s="1">
        <v>44817</v>
      </c>
      <c r="B3157" t="s">
        <v>14</v>
      </c>
      <c r="C3157" t="s">
        <v>15</v>
      </c>
      <c r="D3157" t="s">
        <v>17</v>
      </c>
      <c r="E3157">
        <v>1319.97</v>
      </c>
      <c r="F3157">
        <v>851</v>
      </c>
      <c r="G3157">
        <v>9</v>
      </c>
      <c r="H3157">
        <f t="shared" si="294"/>
        <v>11879.73</v>
      </c>
      <c r="I3157">
        <f t="shared" si="298"/>
        <v>7659</v>
      </c>
      <c r="J3157">
        <f t="shared" si="295"/>
        <v>4220.7299999999996</v>
      </c>
      <c r="K3157" s="8">
        <f t="shared" si="296"/>
        <v>0.35528837776616135</v>
      </c>
      <c r="L3157" t="str">
        <f t="shared" si="299"/>
        <v>2022-09</v>
      </c>
      <c r="M3157">
        <f t="shared" si="297"/>
        <v>4220.7299999999996</v>
      </c>
    </row>
    <row r="3158" spans="1:13" x14ac:dyDescent="0.25">
      <c r="A3158" s="1">
        <v>45445</v>
      </c>
      <c r="B3158" t="s">
        <v>10</v>
      </c>
      <c r="C3158" t="s">
        <v>11</v>
      </c>
      <c r="D3158" t="s">
        <v>9</v>
      </c>
      <c r="E3158">
        <v>1982.51</v>
      </c>
      <c r="F3158">
        <v>1381.17</v>
      </c>
      <c r="G3158">
        <v>2</v>
      </c>
      <c r="H3158">
        <f t="shared" si="294"/>
        <v>3965.02</v>
      </c>
      <c r="I3158">
        <f t="shared" si="298"/>
        <v>2762.34</v>
      </c>
      <c r="J3158">
        <f t="shared" si="295"/>
        <v>1202.6799999999998</v>
      </c>
      <c r="K3158" s="8">
        <f t="shared" si="296"/>
        <v>0.30332255575003403</v>
      </c>
      <c r="L3158" t="str">
        <f t="shared" si="299"/>
        <v>2024-06</v>
      </c>
      <c r="M3158">
        <f t="shared" si="297"/>
        <v>1202.6799999999998</v>
      </c>
    </row>
    <row r="3159" spans="1:13" x14ac:dyDescent="0.25">
      <c r="A3159" s="1">
        <v>45629</v>
      </c>
      <c r="B3159" t="s">
        <v>24</v>
      </c>
      <c r="C3159" t="s">
        <v>20</v>
      </c>
      <c r="D3159" t="s">
        <v>13</v>
      </c>
      <c r="E3159">
        <v>1758.36</v>
      </c>
      <c r="F3159">
        <v>913.35</v>
      </c>
      <c r="G3159">
        <v>4</v>
      </c>
      <c r="H3159">
        <f t="shared" si="294"/>
        <v>7033.44</v>
      </c>
      <c r="I3159">
        <f t="shared" si="298"/>
        <v>3653.4</v>
      </c>
      <c r="J3159">
        <f t="shared" si="295"/>
        <v>3380.0399999999995</v>
      </c>
      <c r="K3159" s="8">
        <f t="shared" si="296"/>
        <v>0.48056711936122293</v>
      </c>
      <c r="L3159" t="str">
        <f t="shared" si="299"/>
        <v>2024-12</v>
      </c>
      <c r="M3159">
        <f t="shared" si="297"/>
        <v>3380.0399999999995</v>
      </c>
    </row>
    <row r="3160" spans="1:13" x14ac:dyDescent="0.25">
      <c r="A3160" s="1">
        <v>44813</v>
      </c>
      <c r="B3160" t="s">
        <v>23</v>
      </c>
      <c r="C3160" t="s">
        <v>11</v>
      </c>
      <c r="D3160" t="s">
        <v>9</v>
      </c>
      <c r="E3160">
        <v>1544.25</v>
      </c>
      <c r="F3160">
        <v>1202.3399999999999</v>
      </c>
      <c r="G3160">
        <v>4</v>
      </c>
      <c r="H3160">
        <f t="shared" si="294"/>
        <v>6177</v>
      </c>
      <c r="I3160">
        <f t="shared" si="298"/>
        <v>4809.3599999999997</v>
      </c>
      <c r="J3160">
        <f t="shared" si="295"/>
        <v>1367.6400000000003</v>
      </c>
      <c r="K3160" s="8">
        <f t="shared" si="296"/>
        <v>0.22140845070422541</v>
      </c>
      <c r="L3160" t="str">
        <f t="shared" si="299"/>
        <v>2022-09</v>
      </c>
      <c r="M3160">
        <f t="shared" si="297"/>
        <v>1367.6400000000003</v>
      </c>
    </row>
    <row r="3161" spans="1:13" x14ac:dyDescent="0.25">
      <c r="A3161" s="1">
        <v>44640</v>
      </c>
      <c r="B3161" t="s">
        <v>12</v>
      </c>
      <c r="C3161" t="s">
        <v>8</v>
      </c>
      <c r="D3161" t="s">
        <v>18</v>
      </c>
      <c r="E3161">
        <v>21.58</v>
      </c>
      <c r="F3161">
        <v>14.16</v>
      </c>
      <c r="G3161">
        <v>9</v>
      </c>
      <c r="H3161">
        <f t="shared" si="294"/>
        <v>194.21999999999997</v>
      </c>
      <c r="I3161">
        <f t="shared" si="298"/>
        <v>127.44</v>
      </c>
      <c r="J3161">
        <f t="shared" si="295"/>
        <v>66.779999999999973</v>
      </c>
      <c r="K3161" s="8">
        <f t="shared" si="296"/>
        <v>0.34383688600556062</v>
      </c>
      <c r="L3161" t="str">
        <f t="shared" si="299"/>
        <v>2022-03</v>
      </c>
      <c r="M3161">
        <f t="shared" si="297"/>
        <v>66.779999999999973</v>
      </c>
    </row>
    <row r="3162" spans="1:13" x14ac:dyDescent="0.25">
      <c r="A3162" s="1">
        <v>45485</v>
      </c>
      <c r="B3162" t="s">
        <v>24</v>
      </c>
      <c r="C3162" t="s">
        <v>20</v>
      </c>
      <c r="D3162" t="s">
        <v>13</v>
      </c>
      <c r="E3162">
        <v>250.97</v>
      </c>
      <c r="F3162">
        <v>157.43</v>
      </c>
      <c r="G3162">
        <v>2</v>
      </c>
      <c r="H3162">
        <f t="shared" si="294"/>
        <v>501.94</v>
      </c>
      <c r="I3162">
        <f t="shared" si="298"/>
        <v>314.86</v>
      </c>
      <c r="J3162">
        <f t="shared" si="295"/>
        <v>187.07999999999998</v>
      </c>
      <c r="K3162" s="8">
        <f t="shared" si="296"/>
        <v>0.37271387018368729</v>
      </c>
      <c r="L3162" t="str">
        <f t="shared" si="299"/>
        <v>2024-07</v>
      </c>
      <c r="M3162">
        <f t="shared" si="297"/>
        <v>187.07999999999998</v>
      </c>
    </row>
    <row r="3163" spans="1:13" x14ac:dyDescent="0.25">
      <c r="A3163" s="1">
        <v>44948</v>
      </c>
      <c r="B3163" t="s">
        <v>19</v>
      </c>
      <c r="C3163" t="s">
        <v>20</v>
      </c>
      <c r="D3163" t="s">
        <v>13</v>
      </c>
      <c r="E3163">
        <v>1684.45</v>
      </c>
      <c r="F3163">
        <v>1193.51</v>
      </c>
      <c r="G3163">
        <v>10</v>
      </c>
      <c r="H3163">
        <f t="shared" si="294"/>
        <v>16844.5</v>
      </c>
      <c r="I3163">
        <f t="shared" si="298"/>
        <v>11935.1</v>
      </c>
      <c r="J3163">
        <f t="shared" si="295"/>
        <v>4909.3999999999996</v>
      </c>
      <c r="K3163" s="8">
        <f t="shared" si="296"/>
        <v>0.29145418385823263</v>
      </c>
      <c r="L3163" t="str">
        <f t="shared" si="299"/>
        <v>2023-01</v>
      </c>
      <c r="M3163">
        <f t="shared" si="297"/>
        <v>4909.3999999999996</v>
      </c>
    </row>
    <row r="3164" spans="1:13" x14ac:dyDescent="0.25">
      <c r="A3164" s="1">
        <v>45486</v>
      </c>
      <c r="B3164" t="s">
        <v>16</v>
      </c>
      <c r="C3164" t="s">
        <v>15</v>
      </c>
      <c r="D3164" t="s">
        <v>17</v>
      </c>
      <c r="E3164">
        <v>725.05</v>
      </c>
      <c r="F3164">
        <v>367.27</v>
      </c>
      <c r="G3164">
        <v>4</v>
      </c>
      <c r="H3164">
        <f t="shared" si="294"/>
        <v>2900.2</v>
      </c>
      <c r="I3164">
        <f t="shared" si="298"/>
        <v>1469.08</v>
      </c>
      <c r="J3164">
        <f t="shared" si="295"/>
        <v>1431.12</v>
      </c>
      <c r="K3164" s="8">
        <f t="shared" si="296"/>
        <v>0.49345562375008617</v>
      </c>
      <c r="L3164" t="str">
        <f t="shared" si="299"/>
        <v>2024-07</v>
      </c>
      <c r="M3164">
        <f t="shared" si="297"/>
        <v>1431.12</v>
      </c>
    </row>
    <row r="3165" spans="1:13" x14ac:dyDescent="0.25">
      <c r="A3165" s="1">
        <v>44768</v>
      </c>
      <c r="B3165" t="s">
        <v>7</v>
      </c>
      <c r="C3165" t="s">
        <v>8</v>
      </c>
      <c r="D3165" t="s">
        <v>9</v>
      </c>
      <c r="E3165">
        <v>1930.54</v>
      </c>
      <c r="F3165">
        <v>1294.3900000000001</v>
      </c>
      <c r="G3165">
        <v>5</v>
      </c>
      <c r="H3165">
        <f t="shared" si="294"/>
        <v>9652.7000000000007</v>
      </c>
      <c r="I3165">
        <f t="shared" si="298"/>
        <v>6471.9500000000007</v>
      </c>
      <c r="J3165">
        <f t="shared" si="295"/>
        <v>3180.75</v>
      </c>
      <c r="K3165" s="8">
        <f t="shared" si="296"/>
        <v>0.32951920188133887</v>
      </c>
      <c r="L3165" t="str">
        <f t="shared" si="299"/>
        <v>2022-07</v>
      </c>
      <c r="M3165">
        <f t="shared" si="297"/>
        <v>3180.75</v>
      </c>
    </row>
    <row r="3166" spans="1:13" x14ac:dyDescent="0.25">
      <c r="A3166" s="1">
        <v>45188</v>
      </c>
      <c r="B3166" t="s">
        <v>12</v>
      </c>
      <c r="C3166" t="s">
        <v>8</v>
      </c>
      <c r="D3166" t="s">
        <v>17</v>
      </c>
      <c r="E3166">
        <v>1165.76</v>
      </c>
      <c r="F3166">
        <v>1005.33</v>
      </c>
      <c r="G3166">
        <v>5</v>
      </c>
      <c r="H3166">
        <f t="shared" si="294"/>
        <v>5828.8</v>
      </c>
      <c r="I3166">
        <f t="shared" si="298"/>
        <v>5026.6500000000005</v>
      </c>
      <c r="J3166">
        <f t="shared" si="295"/>
        <v>802.14999999999964</v>
      </c>
      <c r="K3166" s="8">
        <f t="shared" si="296"/>
        <v>0.13761837771067795</v>
      </c>
      <c r="L3166" t="str">
        <f t="shared" si="299"/>
        <v>2023-09</v>
      </c>
      <c r="M3166">
        <f t="shared" si="297"/>
        <v>802.14999999999964</v>
      </c>
    </row>
    <row r="3167" spans="1:13" x14ac:dyDescent="0.25">
      <c r="A3167" s="1">
        <v>44928</v>
      </c>
      <c r="B3167" t="s">
        <v>12</v>
      </c>
      <c r="C3167" t="s">
        <v>8</v>
      </c>
      <c r="D3167" t="s">
        <v>17</v>
      </c>
      <c r="E3167">
        <v>1777.49</v>
      </c>
      <c r="F3167">
        <v>1220.56</v>
      </c>
      <c r="G3167">
        <v>8</v>
      </c>
      <c r="H3167">
        <f t="shared" si="294"/>
        <v>14219.92</v>
      </c>
      <c r="I3167">
        <f t="shared" si="298"/>
        <v>9764.48</v>
      </c>
      <c r="J3167">
        <f t="shared" si="295"/>
        <v>4455.4400000000005</v>
      </c>
      <c r="K3167" s="8">
        <f t="shared" si="296"/>
        <v>0.31332384429729565</v>
      </c>
      <c r="L3167" t="str">
        <f t="shared" si="299"/>
        <v>2023-01</v>
      </c>
      <c r="M3167">
        <f t="shared" si="297"/>
        <v>4455.4400000000005</v>
      </c>
    </row>
    <row r="3168" spans="1:13" x14ac:dyDescent="0.25">
      <c r="A3168" s="1">
        <v>45621</v>
      </c>
      <c r="B3168" t="s">
        <v>22</v>
      </c>
      <c r="C3168" t="s">
        <v>8</v>
      </c>
      <c r="D3168" t="s">
        <v>9</v>
      </c>
      <c r="E3168">
        <v>1581.61</v>
      </c>
      <c r="F3168">
        <v>1024.01</v>
      </c>
      <c r="G3168">
        <v>8</v>
      </c>
      <c r="H3168">
        <f t="shared" si="294"/>
        <v>12652.88</v>
      </c>
      <c r="I3168">
        <f t="shared" si="298"/>
        <v>8192.08</v>
      </c>
      <c r="J3168">
        <f t="shared" si="295"/>
        <v>4460.7999999999993</v>
      </c>
      <c r="K3168" s="8">
        <f t="shared" si="296"/>
        <v>0.35255214623073955</v>
      </c>
      <c r="L3168" t="str">
        <f t="shared" si="299"/>
        <v>2024-11</v>
      </c>
      <c r="M3168">
        <f t="shared" si="297"/>
        <v>4460.7999999999993</v>
      </c>
    </row>
    <row r="3169" spans="1:13" x14ac:dyDescent="0.25">
      <c r="A3169" s="1">
        <v>45441</v>
      </c>
      <c r="B3169" t="s">
        <v>7</v>
      </c>
      <c r="C3169" t="s">
        <v>8</v>
      </c>
      <c r="D3169" t="s">
        <v>13</v>
      </c>
      <c r="E3169">
        <v>47.15</v>
      </c>
      <c r="F3169">
        <v>30.73</v>
      </c>
      <c r="G3169">
        <v>5</v>
      </c>
      <c r="H3169">
        <f t="shared" si="294"/>
        <v>235.75</v>
      </c>
      <c r="I3169">
        <f t="shared" si="298"/>
        <v>153.65</v>
      </c>
      <c r="J3169">
        <f t="shared" si="295"/>
        <v>82.1</v>
      </c>
      <c r="K3169" s="8">
        <f t="shared" si="296"/>
        <v>0.34825026511134677</v>
      </c>
      <c r="L3169" t="str">
        <f t="shared" si="299"/>
        <v>2024-05</v>
      </c>
      <c r="M3169">
        <f t="shared" si="297"/>
        <v>82.1</v>
      </c>
    </row>
    <row r="3170" spans="1:13" x14ac:dyDescent="0.25">
      <c r="A3170" s="1">
        <v>45292</v>
      </c>
      <c r="B3170" t="s">
        <v>24</v>
      </c>
      <c r="C3170" t="s">
        <v>20</v>
      </c>
      <c r="D3170" t="s">
        <v>13</v>
      </c>
      <c r="E3170">
        <v>489.11</v>
      </c>
      <c r="F3170">
        <v>439.64</v>
      </c>
      <c r="G3170">
        <v>6</v>
      </c>
      <c r="H3170">
        <f t="shared" si="294"/>
        <v>2934.66</v>
      </c>
      <c r="I3170">
        <f t="shared" si="298"/>
        <v>2637.84</v>
      </c>
      <c r="J3170">
        <f t="shared" si="295"/>
        <v>296.81999999999971</v>
      </c>
      <c r="K3170" s="8">
        <f t="shared" si="296"/>
        <v>0.10114289219194036</v>
      </c>
      <c r="L3170" t="str">
        <f t="shared" si="299"/>
        <v>2024-01</v>
      </c>
      <c r="M3170">
        <f t="shared" si="297"/>
        <v>296.81999999999971</v>
      </c>
    </row>
    <row r="3171" spans="1:13" x14ac:dyDescent="0.25">
      <c r="A3171" s="1">
        <v>44721</v>
      </c>
      <c r="B3171" t="s">
        <v>24</v>
      </c>
      <c r="C3171" t="s">
        <v>20</v>
      </c>
      <c r="D3171" t="s">
        <v>18</v>
      </c>
      <c r="E3171">
        <v>1107.8399999999999</v>
      </c>
      <c r="F3171">
        <v>849.75</v>
      </c>
      <c r="G3171">
        <v>7</v>
      </c>
      <c r="H3171">
        <f t="shared" si="294"/>
        <v>7754.8799999999992</v>
      </c>
      <c r="I3171">
        <f t="shared" si="298"/>
        <v>5948.25</v>
      </c>
      <c r="J3171">
        <f t="shared" si="295"/>
        <v>1806.6299999999992</v>
      </c>
      <c r="K3171" s="8">
        <f t="shared" si="296"/>
        <v>0.23296685441941067</v>
      </c>
      <c r="L3171" t="str">
        <f t="shared" si="299"/>
        <v>2022-06</v>
      </c>
      <c r="M3171">
        <f t="shared" si="297"/>
        <v>1806.6299999999992</v>
      </c>
    </row>
    <row r="3172" spans="1:13" x14ac:dyDescent="0.25">
      <c r="A3172" s="1">
        <v>45515</v>
      </c>
      <c r="B3172" t="s">
        <v>22</v>
      </c>
      <c r="C3172" t="s">
        <v>8</v>
      </c>
      <c r="D3172" t="s">
        <v>18</v>
      </c>
      <c r="E3172">
        <v>884.07</v>
      </c>
      <c r="F3172">
        <v>590.16999999999996</v>
      </c>
      <c r="G3172">
        <v>6</v>
      </c>
      <c r="H3172">
        <f t="shared" si="294"/>
        <v>5304.42</v>
      </c>
      <c r="I3172">
        <f t="shared" si="298"/>
        <v>3541.0199999999995</v>
      </c>
      <c r="J3172">
        <f t="shared" si="295"/>
        <v>1763.4000000000005</v>
      </c>
      <c r="K3172" s="8">
        <f t="shared" si="296"/>
        <v>0.33243973893469986</v>
      </c>
      <c r="L3172" t="str">
        <f t="shared" si="299"/>
        <v>2024-08</v>
      </c>
      <c r="M3172">
        <f t="shared" si="297"/>
        <v>1763.4000000000005</v>
      </c>
    </row>
    <row r="3173" spans="1:13" x14ac:dyDescent="0.25">
      <c r="A3173" s="1">
        <v>45292</v>
      </c>
      <c r="B3173" t="s">
        <v>22</v>
      </c>
      <c r="C3173" t="s">
        <v>8</v>
      </c>
      <c r="D3173" t="s">
        <v>9</v>
      </c>
      <c r="E3173">
        <v>1358.16</v>
      </c>
      <c r="F3173">
        <v>767.05</v>
      </c>
      <c r="G3173">
        <v>5</v>
      </c>
      <c r="H3173">
        <f t="shared" si="294"/>
        <v>6790.8</v>
      </c>
      <c r="I3173">
        <f t="shared" si="298"/>
        <v>3835.25</v>
      </c>
      <c r="J3173">
        <f t="shared" si="295"/>
        <v>2955.55</v>
      </c>
      <c r="K3173" s="8">
        <f t="shared" si="296"/>
        <v>0.43522854450138426</v>
      </c>
      <c r="L3173" t="str">
        <f t="shared" si="299"/>
        <v>2024-01</v>
      </c>
      <c r="M3173">
        <f t="shared" si="297"/>
        <v>2955.55</v>
      </c>
    </row>
    <row r="3174" spans="1:13" x14ac:dyDescent="0.25">
      <c r="A3174" s="1">
        <v>45057</v>
      </c>
      <c r="B3174" t="s">
        <v>14</v>
      </c>
      <c r="C3174" t="s">
        <v>15</v>
      </c>
      <c r="D3174" t="s">
        <v>13</v>
      </c>
      <c r="E3174">
        <v>1888.57</v>
      </c>
      <c r="F3174">
        <v>1557.88</v>
      </c>
      <c r="G3174">
        <v>10</v>
      </c>
      <c r="H3174">
        <f t="shared" si="294"/>
        <v>18885.7</v>
      </c>
      <c r="I3174">
        <f t="shared" si="298"/>
        <v>15578.800000000001</v>
      </c>
      <c r="J3174">
        <f t="shared" si="295"/>
        <v>3306.8999999999996</v>
      </c>
      <c r="K3174" s="8">
        <f t="shared" si="296"/>
        <v>0.17510073759511163</v>
      </c>
      <c r="L3174" t="str">
        <f t="shared" si="299"/>
        <v>2023-05</v>
      </c>
      <c r="M3174">
        <f t="shared" si="297"/>
        <v>3306.8999999999996</v>
      </c>
    </row>
    <row r="3175" spans="1:13" x14ac:dyDescent="0.25">
      <c r="A3175" s="1">
        <v>44727</v>
      </c>
      <c r="B3175" t="s">
        <v>23</v>
      </c>
      <c r="C3175" t="s">
        <v>11</v>
      </c>
      <c r="D3175" t="s">
        <v>18</v>
      </c>
      <c r="E3175">
        <v>625.55999999999995</v>
      </c>
      <c r="F3175">
        <v>458.82</v>
      </c>
      <c r="G3175">
        <v>1</v>
      </c>
      <c r="H3175">
        <f t="shared" si="294"/>
        <v>625.55999999999995</v>
      </c>
      <c r="I3175">
        <f t="shared" si="298"/>
        <v>458.82</v>
      </c>
      <c r="J3175">
        <f t="shared" si="295"/>
        <v>166.73999999999995</v>
      </c>
      <c r="K3175" s="8">
        <f t="shared" si="296"/>
        <v>0.2665451755227316</v>
      </c>
      <c r="L3175" t="str">
        <f t="shared" si="299"/>
        <v>2022-06</v>
      </c>
      <c r="M3175">
        <f t="shared" si="297"/>
        <v>166.73999999999995</v>
      </c>
    </row>
    <row r="3176" spans="1:13" x14ac:dyDescent="0.25">
      <c r="A3176" s="1">
        <v>45167</v>
      </c>
      <c r="B3176" t="s">
        <v>23</v>
      </c>
      <c r="C3176" t="s">
        <v>11</v>
      </c>
      <c r="D3176" t="s">
        <v>18</v>
      </c>
      <c r="E3176">
        <v>1453.74</v>
      </c>
      <c r="F3176">
        <v>791</v>
      </c>
      <c r="G3176">
        <v>10</v>
      </c>
      <c r="H3176">
        <f t="shared" si="294"/>
        <v>14537.4</v>
      </c>
      <c r="I3176">
        <f t="shared" si="298"/>
        <v>7910</v>
      </c>
      <c r="J3176">
        <f t="shared" si="295"/>
        <v>6627.4</v>
      </c>
      <c r="K3176" s="8">
        <f t="shared" si="296"/>
        <v>0.45588619698157856</v>
      </c>
      <c r="L3176" t="str">
        <f t="shared" si="299"/>
        <v>2023-08</v>
      </c>
      <c r="M3176">
        <f t="shared" si="297"/>
        <v>6627.4</v>
      </c>
    </row>
    <row r="3177" spans="1:13" x14ac:dyDescent="0.25">
      <c r="A3177" s="1">
        <v>45505</v>
      </c>
      <c r="B3177" t="s">
        <v>21</v>
      </c>
      <c r="C3177" t="s">
        <v>20</v>
      </c>
      <c r="D3177" t="s">
        <v>18</v>
      </c>
      <c r="E3177">
        <v>321.62</v>
      </c>
      <c r="F3177">
        <v>278.04000000000002</v>
      </c>
      <c r="G3177">
        <v>10</v>
      </c>
      <c r="H3177">
        <f t="shared" si="294"/>
        <v>3216.2</v>
      </c>
      <c r="I3177">
        <f t="shared" si="298"/>
        <v>2780.4</v>
      </c>
      <c r="J3177">
        <f t="shared" si="295"/>
        <v>435.79999999999973</v>
      </c>
      <c r="K3177" s="8">
        <f t="shared" si="296"/>
        <v>0.13550152353709338</v>
      </c>
      <c r="L3177" t="str">
        <f t="shared" si="299"/>
        <v>2024-08</v>
      </c>
      <c r="M3177">
        <f t="shared" si="297"/>
        <v>435.79999999999973</v>
      </c>
    </row>
    <row r="3178" spans="1:13" x14ac:dyDescent="0.25">
      <c r="A3178" s="1">
        <v>44766</v>
      </c>
      <c r="B3178" t="s">
        <v>7</v>
      </c>
      <c r="C3178" t="s">
        <v>8</v>
      </c>
      <c r="D3178" t="s">
        <v>13</v>
      </c>
      <c r="E3178">
        <v>664.44</v>
      </c>
      <c r="F3178">
        <v>568.25</v>
      </c>
      <c r="G3178">
        <v>1</v>
      </c>
      <c r="H3178">
        <f t="shared" si="294"/>
        <v>664.44</v>
      </c>
      <c r="I3178">
        <f t="shared" si="298"/>
        <v>568.25</v>
      </c>
      <c r="J3178">
        <f t="shared" si="295"/>
        <v>96.190000000000055</v>
      </c>
      <c r="K3178" s="8">
        <f t="shared" si="296"/>
        <v>0.14476852687977854</v>
      </c>
      <c r="L3178" t="str">
        <f t="shared" si="299"/>
        <v>2022-07</v>
      </c>
      <c r="M3178">
        <f t="shared" si="297"/>
        <v>96.190000000000055</v>
      </c>
    </row>
    <row r="3179" spans="1:13" x14ac:dyDescent="0.25">
      <c r="A3179" s="1">
        <v>45496</v>
      </c>
      <c r="B3179" t="s">
        <v>22</v>
      </c>
      <c r="C3179" t="s">
        <v>8</v>
      </c>
      <c r="D3179" t="s">
        <v>13</v>
      </c>
      <c r="E3179">
        <v>548.28</v>
      </c>
      <c r="F3179">
        <v>368.75</v>
      </c>
      <c r="G3179">
        <v>5</v>
      </c>
      <c r="H3179">
        <f t="shared" si="294"/>
        <v>2741.3999999999996</v>
      </c>
      <c r="I3179">
        <f t="shared" si="298"/>
        <v>1843.75</v>
      </c>
      <c r="J3179">
        <f t="shared" si="295"/>
        <v>897.64999999999964</v>
      </c>
      <c r="K3179" s="8">
        <f t="shared" si="296"/>
        <v>0.32744218282629306</v>
      </c>
      <c r="L3179" t="str">
        <f t="shared" si="299"/>
        <v>2024-07</v>
      </c>
      <c r="M3179">
        <f t="shared" si="297"/>
        <v>897.64999999999964</v>
      </c>
    </row>
    <row r="3180" spans="1:13" x14ac:dyDescent="0.25">
      <c r="A3180" s="1">
        <v>45008</v>
      </c>
      <c r="B3180" t="s">
        <v>7</v>
      </c>
      <c r="C3180" t="s">
        <v>8</v>
      </c>
      <c r="D3180" t="s">
        <v>17</v>
      </c>
      <c r="E3180">
        <v>1868.51</v>
      </c>
      <c r="F3180">
        <v>1672.14</v>
      </c>
      <c r="G3180">
        <v>1</v>
      </c>
      <c r="H3180">
        <f t="shared" si="294"/>
        <v>1868.51</v>
      </c>
      <c r="I3180">
        <f t="shared" si="298"/>
        <v>1672.14</v>
      </c>
      <c r="J3180">
        <f t="shared" si="295"/>
        <v>196.36999999999989</v>
      </c>
      <c r="K3180" s="8">
        <f t="shared" si="296"/>
        <v>0.10509443353260078</v>
      </c>
      <c r="L3180" t="str">
        <f t="shared" si="299"/>
        <v>2023-03</v>
      </c>
      <c r="M3180">
        <f t="shared" si="297"/>
        <v>196.36999999999989</v>
      </c>
    </row>
    <row r="3181" spans="1:13" x14ac:dyDescent="0.25">
      <c r="A3181" s="1">
        <v>45372</v>
      </c>
      <c r="B3181" t="s">
        <v>14</v>
      </c>
      <c r="C3181" t="s">
        <v>15</v>
      </c>
      <c r="D3181" t="s">
        <v>13</v>
      </c>
      <c r="E3181">
        <v>443.56</v>
      </c>
      <c r="F3181">
        <v>370.71</v>
      </c>
      <c r="G3181">
        <v>10</v>
      </c>
      <c r="H3181">
        <f t="shared" si="294"/>
        <v>4435.6000000000004</v>
      </c>
      <c r="I3181">
        <f t="shared" si="298"/>
        <v>3707.1</v>
      </c>
      <c r="J3181">
        <f t="shared" si="295"/>
        <v>728.50000000000045</v>
      </c>
      <c r="K3181" s="8">
        <f t="shared" si="296"/>
        <v>0.16423933627919568</v>
      </c>
      <c r="L3181" t="str">
        <f t="shared" si="299"/>
        <v>2024-03</v>
      </c>
      <c r="M3181">
        <f t="shared" si="297"/>
        <v>728.50000000000045</v>
      </c>
    </row>
    <row r="3182" spans="1:13" x14ac:dyDescent="0.25">
      <c r="A3182" s="1">
        <v>45243</v>
      </c>
      <c r="B3182" t="s">
        <v>21</v>
      </c>
      <c r="C3182" t="s">
        <v>20</v>
      </c>
      <c r="D3182" t="s">
        <v>18</v>
      </c>
      <c r="E3182">
        <v>1525.41</v>
      </c>
      <c r="F3182">
        <v>860.09</v>
      </c>
      <c r="G3182">
        <v>7</v>
      </c>
      <c r="H3182">
        <f t="shared" si="294"/>
        <v>10677.87</v>
      </c>
      <c r="I3182">
        <f t="shared" si="298"/>
        <v>6020.63</v>
      </c>
      <c r="J3182">
        <f t="shared" si="295"/>
        <v>4657.2400000000007</v>
      </c>
      <c r="K3182" s="8">
        <f t="shared" si="296"/>
        <v>0.43615814764555105</v>
      </c>
      <c r="L3182" t="str">
        <f t="shared" si="299"/>
        <v>2023-11</v>
      </c>
      <c r="M3182">
        <f t="shared" si="297"/>
        <v>4657.2400000000007</v>
      </c>
    </row>
    <row r="3183" spans="1:13" x14ac:dyDescent="0.25">
      <c r="A3183" s="1">
        <v>45534</v>
      </c>
      <c r="B3183" t="s">
        <v>23</v>
      </c>
      <c r="C3183" t="s">
        <v>11</v>
      </c>
      <c r="D3183" t="s">
        <v>18</v>
      </c>
      <c r="E3183">
        <v>838.44</v>
      </c>
      <c r="F3183">
        <v>647.36</v>
      </c>
      <c r="G3183">
        <v>7</v>
      </c>
      <c r="H3183">
        <f t="shared" si="294"/>
        <v>5869.08</v>
      </c>
      <c r="I3183">
        <f t="shared" si="298"/>
        <v>4531.5200000000004</v>
      </c>
      <c r="J3183">
        <f t="shared" si="295"/>
        <v>1337.5599999999995</v>
      </c>
      <c r="K3183" s="8">
        <f t="shared" si="296"/>
        <v>0.22789943227899423</v>
      </c>
      <c r="L3183" t="str">
        <f t="shared" si="299"/>
        <v>2024-08</v>
      </c>
      <c r="M3183">
        <f t="shared" si="297"/>
        <v>1337.5599999999995</v>
      </c>
    </row>
    <row r="3184" spans="1:13" x14ac:dyDescent="0.25">
      <c r="A3184" s="1">
        <v>45373</v>
      </c>
      <c r="B3184" t="s">
        <v>21</v>
      </c>
      <c r="C3184" t="s">
        <v>20</v>
      </c>
      <c r="D3184" t="s">
        <v>9</v>
      </c>
      <c r="E3184">
        <v>1468.24</v>
      </c>
      <c r="F3184">
        <v>1002.88</v>
      </c>
      <c r="G3184">
        <v>9</v>
      </c>
      <c r="H3184">
        <f t="shared" si="294"/>
        <v>13214.16</v>
      </c>
      <c r="I3184">
        <f t="shared" si="298"/>
        <v>9025.92</v>
      </c>
      <c r="J3184">
        <f t="shared" si="295"/>
        <v>4188.24</v>
      </c>
      <c r="K3184" s="8">
        <f t="shared" si="296"/>
        <v>0.31695090720863073</v>
      </c>
      <c r="L3184" t="str">
        <f t="shared" si="299"/>
        <v>2024-03</v>
      </c>
      <c r="M3184">
        <f t="shared" si="297"/>
        <v>4188.24</v>
      </c>
    </row>
    <row r="3185" spans="1:13" x14ac:dyDescent="0.25">
      <c r="A3185" s="1">
        <v>45075</v>
      </c>
      <c r="B3185" t="s">
        <v>23</v>
      </c>
      <c r="C3185" t="s">
        <v>11</v>
      </c>
      <c r="D3185" t="s">
        <v>13</v>
      </c>
      <c r="E3185">
        <v>159.68</v>
      </c>
      <c r="F3185">
        <v>126.62</v>
      </c>
      <c r="G3185">
        <v>7</v>
      </c>
      <c r="H3185">
        <f t="shared" si="294"/>
        <v>1117.76</v>
      </c>
      <c r="I3185">
        <f t="shared" si="298"/>
        <v>886.34</v>
      </c>
      <c r="J3185">
        <f t="shared" si="295"/>
        <v>231.41999999999996</v>
      </c>
      <c r="K3185" s="8">
        <f t="shared" si="296"/>
        <v>0.20703907815631259</v>
      </c>
      <c r="L3185" t="str">
        <f t="shared" si="299"/>
        <v>2023-05</v>
      </c>
      <c r="M3185">
        <f t="shared" si="297"/>
        <v>231.41999999999996</v>
      </c>
    </row>
    <row r="3186" spans="1:13" x14ac:dyDescent="0.25">
      <c r="A3186" s="1">
        <v>44766</v>
      </c>
      <c r="B3186" t="s">
        <v>23</v>
      </c>
      <c r="C3186" t="s">
        <v>11</v>
      </c>
      <c r="D3186" t="s">
        <v>9</v>
      </c>
      <c r="E3186">
        <v>721.72</v>
      </c>
      <c r="F3186">
        <v>639.95000000000005</v>
      </c>
      <c r="G3186">
        <v>4</v>
      </c>
      <c r="H3186">
        <f t="shared" si="294"/>
        <v>2886.88</v>
      </c>
      <c r="I3186">
        <f t="shared" si="298"/>
        <v>2559.8000000000002</v>
      </c>
      <c r="J3186">
        <f t="shared" si="295"/>
        <v>327.07999999999993</v>
      </c>
      <c r="K3186" s="8">
        <f t="shared" si="296"/>
        <v>0.11329878623288807</v>
      </c>
      <c r="L3186" t="str">
        <f t="shared" si="299"/>
        <v>2022-07</v>
      </c>
      <c r="M3186">
        <f t="shared" si="297"/>
        <v>327.07999999999993</v>
      </c>
    </row>
    <row r="3187" spans="1:13" x14ac:dyDescent="0.25">
      <c r="A3187" s="1">
        <v>45065</v>
      </c>
      <c r="B3187" t="s">
        <v>7</v>
      </c>
      <c r="C3187" t="s">
        <v>8</v>
      </c>
      <c r="D3187" t="s">
        <v>13</v>
      </c>
      <c r="E3187">
        <v>250.48</v>
      </c>
      <c r="F3187">
        <v>152.56</v>
      </c>
      <c r="G3187">
        <v>10</v>
      </c>
      <c r="H3187">
        <f t="shared" si="294"/>
        <v>2504.7999999999997</v>
      </c>
      <c r="I3187">
        <f t="shared" si="298"/>
        <v>1525.6</v>
      </c>
      <c r="J3187">
        <f t="shared" si="295"/>
        <v>979.19999999999982</v>
      </c>
      <c r="K3187" s="8">
        <f t="shared" si="296"/>
        <v>0.39092941552219734</v>
      </c>
      <c r="L3187" t="str">
        <f t="shared" si="299"/>
        <v>2023-05</v>
      </c>
      <c r="M3187">
        <f t="shared" si="297"/>
        <v>979.19999999999982</v>
      </c>
    </row>
    <row r="3188" spans="1:13" x14ac:dyDescent="0.25">
      <c r="A3188" s="1">
        <v>45054</v>
      </c>
      <c r="B3188" t="s">
        <v>22</v>
      </c>
      <c r="C3188" t="s">
        <v>8</v>
      </c>
      <c r="D3188" t="s">
        <v>13</v>
      </c>
      <c r="E3188">
        <v>975.19</v>
      </c>
      <c r="F3188">
        <v>591.45000000000005</v>
      </c>
      <c r="G3188">
        <v>4</v>
      </c>
      <c r="H3188">
        <f t="shared" si="294"/>
        <v>3900.76</v>
      </c>
      <c r="I3188">
        <f t="shared" si="298"/>
        <v>2365.8000000000002</v>
      </c>
      <c r="J3188">
        <f t="shared" si="295"/>
        <v>1534.96</v>
      </c>
      <c r="K3188" s="8">
        <f t="shared" si="296"/>
        <v>0.39350280458167125</v>
      </c>
      <c r="L3188" t="str">
        <f t="shared" si="299"/>
        <v>2023-05</v>
      </c>
      <c r="M3188">
        <f t="shared" si="297"/>
        <v>1534.96</v>
      </c>
    </row>
    <row r="3189" spans="1:13" x14ac:dyDescent="0.25">
      <c r="A3189" s="1">
        <v>44767</v>
      </c>
      <c r="B3189" t="s">
        <v>16</v>
      </c>
      <c r="C3189" t="s">
        <v>15</v>
      </c>
      <c r="D3189" t="s">
        <v>18</v>
      </c>
      <c r="E3189">
        <v>871.95</v>
      </c>
      <c r="F3189">
        <v>482.82</v>
      </c>
      <c r="G3189">
        <v>4</v>
      </c>
      <c r="H3189">
        <f t="shared" si="294"/>
        <v>3487.8</v>
      </c>
      <c r="I3189">
        <f t="shared" si="298"/>
        <v>1931.28</v>
      </c>
      <c r="J3189">
        <f t="shared" si="295"/>
        <v>1556.5200000000002</v>
      </c>
      <c r="K3189" s="8">
        <f t="shared" si="296"/>
        <v>0.4462755891966283</v>
      </c>
      <c r="L3189" t="str">
        <f t="shared" si="299"/>
        <v>2022-07</v>
      </c>
      <c r="M3189">
        <f t="shared" si="297"/>
        <v>1556.5200000000002</v>
      </c>
    </row>
    <row r="3190" spans="1:13" x14ac:dyDescent="0.25">
      <c r="A3190" s="1">
        <v>45370</v>
      </c>
      <c r="B3190" t="s">
        <v>25</v>
      </c>
      <c r="C3190" t="s">
        <v>15</v>
      </c>
      <c r="D3190" t="s">
        <v>17</v>
      </c>
      <c r="E3190">
        <v>1676.02</v>
      </c>
      <c r="F3190">
        <v>1310.79</v>
      </c>
      <c r="G3190">
        <v>5</v>
      </c>
      <c r="H3190">
        <f t="shared" si="294"/>
        <v>8380.1</v>
      </c>
      <c r="I3190">
        <f t="shared" si="298"/>
        <v>6553.95</v>
      </c>
      <c r="J3190">
        <f t="shared" si="295"/>
        <v>1826.1500000000005</v>
      </c>
      <c r="K3190" s="8">
        <f t="shared" si="296"/>
        <v>0.21791506067946689</v>
      </c>
      <c r="L3190" t="str">
        <f t="shared" si="299"/>
        <v>2024-03</v>
      </c>
      <c r="M3190">
        <f t="shared" si="297"/>
        <v>1826.1500000000005</v>
      </c>
    </row>
    <row r="3191" spans="1:13" x14ac:dyDescent="0.25">
      <c r="A3191" s="1">
        <v>45470</v>
      </c>
      <c r="B3191" t="s">
        <v>12</v>
      </c>
      <c r="C3191" t="s">
        <v>8</v>
      </c>
      <c r="D3191" t="s">
        <v>13</v>
      </c>
      <c r="E3191">
        <v>1121.32</v>
      </c>
      <c r="F3191">
        <v>911.5</v>
      </c>
      <c r="G3191">
        <v>1</v>
      </c>
      <c r="H3191">
        <f t="shared" si="294"/>
        <v>1121.32</v>
      </c>
      <c r="I3191">
        <f t="shared" si="298"/>
        <v>911.5</v>
      </c>
      <c r="J3191">
        <f t="shared" si="295"/>
        <v>209.81999999999994</v>
      </c>
      <c r="K3191" s="8">
        <f t="shared" si="296"/>
        <v>0.18711875289836974</v>
      </c>
      <c r="L3191" t="str">
        <f t="shared" si="299"/>
        <v>2024-06</v>
      </c>
      <c r="M3191">
        <f t="shared" si="297"/>
        <v>209.81999999999994</v>
      </c>
    </row>
    <row r="3192" spans="1:13" x14ac:dyDescent="0.25">
      <c r="A3192" s="1">
        <v>45233</v>
      </c>
      <c r="B3192" t="s">
        <v>24</v>
      </c>
      <c r="C3192" t="s">
        <v>20</v>
      </c>
      <c r="D3192" t="s">
        <v>18</v>
      </c>
      <c r="E3192">
        <v>766.17</v>
      </c>
      <c r="F3192">
        <v>614.24</v>
      </c>
      <c r="G3192">
        <v>6</v>
      </c>
      <c r="H3192">
        <f t="shared" si="294"/>
        <v>4597.0199999999995</v>
      </c>
      <c r="I3192">
        <f t="shared" si="298"/>
        <v>3685.44</v>
      </c>
      <c r="J3192">
        <f t="shared" si="295"/>
        <v>911.57999999999947</v>
      </c>
      <c r="K3192" s="8">
        <f t="shared" si="296"/>
        <v>0.1982980278528263</v>
      </c>
      <c r="L3192" t="str">
        <f t="shared" si="299"/>
        <v>2023-11</v>
      </c>
      <c r="M3192">
        <f t="shared" si="297"/>
        <v>911.57999999999947</v>
      </c>
    </row>
    <row r="3193" spans="1:13" x14ac:dyDescent="0.25">
      <c r="A3193" s="1">
        <v>44829</v>
      </c>
      <c r="B3193" t="s">
        <v>23</v>
      </c>
      <c r="C3193" t="s">
        <v>11</v>
      </c>
      <c r="D3193" t="s">
        <v>13</v>
      </c>
      <c r="E3193">
        <v>308.2</v>
      </c>
      <c r="F3193">
        <v>207.31</v>
      </c>
      <c r="G3193">
        <v>5</v>
      </c>
      <c r="H3193">
        <f t="shared" si="294"/>
        <v>1541</v>
      </c>
      <c r="I3193">
        <f t="shared" si="298"/>
        <v>1036.55</v>
      </c>
      <c r="J3193">
        <f t="shared" si="295"/>
        <v>504.45000000000005</v>
      </c>
      <c r="K3193" s="8">
        <f t="shared" si="296"/>
        <v>0.32735236859182354</v>
      </c>
      <c r="L3193" t="str">
        <f t="shared" si="299"/>
        <v>2022-09</v>
      </c>
      <c r="M3193">
        <f t="shared" si="297"/>
        <v>504.45000000000005</v>
      </c>
    </row>
    <row r="3194" spans="1:13" x14ac:dyDescent="0.25">
      <c r="A3194" s="1">
        <v>45112</v>
      </c>
      <c r="B3194" t="s">
        <v>12</v>
      </c>
      <c r="C3194" t="s">
        <v>8</v>
      </c>
      <c r="D3194" t="s">
        <v>13</v>
      </c>
      <c r="E3194">
        <v>1795.53</v>
      </c>
      <c r="F3194">
        <v>1491.31</v>
      </c>
      <c r="G3194">
        <v>5</v>
      </c>
      <c r="H3194">
        <f t="shared" si="294"/>
        <v>8977.65</v>
      </c>
      <c r="I3194">
        <f t="shared" si="298"/>
        <v>7456.5499999999993</v>
      </c>
      <c r="J3194">
        <f t="shared" si="295"/>
        <v>1521.1000000000004</v>
      </c>
      <c r="K3194" s="8">
        <f t="shared" si="296"/>
        <v>0.16943186691394746</v>
      </c>
      <c r="L3194" t="str">
        <f t="shared" si="299"/>
        <v>2023-07</v>
      </c>
      <c r="M3194">
        <f t="shared" si="297"/>
        <v>1521.1000000000004</v>
      </c>
    </row>
    <row r="3195" spans="1:13" x14ac:dyDescent="0.25">
      <c r="A3195" s="1">
        <v>44952</v>
      </c>
      <c r="B3195" t="s">
        <v>16</v>
      </c>
      <c r="C3195" t="s">
        <v>15</v>
      </c>
      <c r="D3195" t="s">
        <v>17</v>
      </c>
      <c r="E3195">
        <v>1130.3800000000001</v>
      </c>
      <c r="F3195">
        <v>659.2</v>
      </c>
      <c r="G3195">
        <v>10</v>
      </c>
      <c r="H3195">
        <f t="shared" si="294"/>
        <v>11303.800000000001</v>
      </c>
      <c r="I3195">
        <f t="shared" si="298"/>
        <v>6592</v>
      </c>
      <c r="J3195">
        <f t="shared" si="295"/>
        <v>4711.8000000000011</v>
      </c>
      <c r="K3195" s="8">
        <f t="shared" si="296"/>
        <v>0.41683327730497716</v>
      </c>
      <c r="L3195" t="str">
        <f t="shared" si="299"/>
        <v>2023-01</v>
      </c>
      <c r="M3195">
        <f t="shared" si="297"/>
        <v>4711.8000000000011</v>
      </c>
    </row>
    <row r="3196" spans="1:13" x14ac:dyDescent="0.25">
      <c r="A3196" s="1">
        <v>45469</v>
      </c>
      <c r="B3196" t="s">
        <v>21</v>
      </c>
      <c r="C3196" t="s">
        <v>20</v>
      </c>
      <c r="D3196" t="s">
        <v>13</v>
      </c>
      <c r="E3196">
        <v>436.03</v>
      </c>
      <c r="F3196">
        <v>267.27</v>
      </c>
      <c r="G3196">
        <v>10</v>
      </c>
      <c r="H3196">
        <f t="shared" si="294"/>
        <v>4360.2999999999993</v>
      </c>
      <c r="I3196">
        <f t="shared" si="298"/>
        <v>2672.7</v>
      </c>
      <c r="J3196">
        <f t="shared" si="295"/>
        <v>1687.5999999999995</v>
      </c>
      <c r="K3196" s="8">
        <f t="shared" si="296"/>
        <v>0.38703758915670933</v>
      </c>
      <c r="L3196" t="str">
        <f t="shared" si="299"/>
        <v>2024-06</v>
      </c>
      <c r="M3196">
        <f t="shared" si="297"/>
        <v>1687.5999999999995</v>
      </c>
    </row>
    <row r="3197" spans="1:13" x14ac:dyDescent="0.25">
      <c r="A3197" s="1">
        <v>45130</v>
      </c>
      <c r="B3197" t="s">
        <v>21</v>
      </c>
      <c r="C3197" t="s">
        <v>20</v>
      </c>
      <c r="D3197" t="s">
        <v>17</v>
      </c>
      <c r="E3197">
        <v>1266.3499999999999</v>
      </c>
      <c r="F3197">
        <v>844.5</v>
      </c>
      <c r="G3197">
        <v>5</v>
      </c>
      <c r="H3197">
        <f t="shared" si="294"/>
        <v>6331.75</v>
      </c>
      <c r="I3197">
        <f t="shared" si="298"/>
        <v>4222.5</v>
      </c>
      <c r="J3197">
        <f t="shared" si="295"/>
        <v>2109.25</v>
      </c>
      <c r="K3197" s="8">
        <f t="shared" si="296"/>
        <v>0.33312275437280375</v>
      </c>
      <c r="L3197" t="str">
        <f t="shared" si="299"/>
        <v>2023-07</v>
      </c>
      <c r="M3197">
        <f t="shared" si="297"/>
        <v>2109.25</v>
      </c>
    </row>
    <row r="3198" spans="1:13" x14ac:dyDescent="0.25">
      <c r="A3198" s="1">
        <v>45642</v>
      </c>
      <c r="B3198" t="s">
        <v>23</v>
      </c>
      <c r="C3198" t="s">
        <v>11</v>
      </c>
      <c r="D3198" t="s">
        <v>13</v>
      </c>
      <c r="E3198">
        <v>1639.28</v>
      </c>
      <c r="F3198">
        <v>1116.92</v>
      </c>
      <c r="G3198">
        <v>2</v>
      </c>
      <c r="H3198">
        <f t="shared" si="294"/>
        <v>3278.56</v>
      </c>
      <c r="I3198">
        <f t="shared" si="298"/>
        <v>2233.84</v>
      </c>
      <c r="J3198">
        <f t="shared" si="295"/>
        <v>1044.7199999999998</v>
      </c>
      <c r="K3198" s="8">
        <f t="shared" si="296"/>
        <v>0.31865209116197352</v>
      </c>
      <c r="L3198" t="str">
        <f t="shared" si="299"/>
        <v>2024-12</v>
      </c>
      <c r="M3198">
        <f t="shared" si="297"/>
        <v>1044.7199999999998</v>
      </c>
    </row>
    <row r="3199" spans="1:13" x14ac:dyDescent="0.25">
      <c r="A3199" s="1">
        <v>45653</v>
      </c>
      <c r="B3199" t="s">
        <v>24</v>
      </c>
      <c r="C3199" t="s">
        <v>20</v>
      </c>
      <c r="D3199" t="s">
        <v>17</v>
      </c>
      <c r="E3199">
        <v>323.02</v>
      </c>
      <c r="F3199">
        <v>234.61</v>
      </c>
      <c r="G3199">
        <v>9</v>
      </c>
      <c r="H3199">
        <f t="shared" si="294"/>
        <v>2907.18</v>
      </c>
      <c r="I3199">
        <f t="shared" si="298"/>
        <v>2111.4900000000002</v>
      </c>
      <c r="J3199">
        <f t="shared" si="295"/>
        <v>795.6899999999996</v>
      </c>
      <c r="K3199" s="8">
        <f t="shared" si="296"/>
        <v>0.27369822302024632</v>
      </c>
      <c r="L3199" t="str">
        <f t="shared" si="299"/>
        <v>2024-12</v>
      </c>
      <c r="M3199">
        <f t="shared" si="297"/>
        <v>795.6899999999996</v>
      </c>
    </row>
    <row r="3200" spans="1:13" x14ac:dyDescent="0.25">
      <c r="A3200" s="1">
        <v>44960</v>
      </c>
      <c r="B3200" t="s">
        <v>10</v>
      </c>
      <c r="C3200" t="s">
        <v>11</v>
      </c>
      <c r="D3200" t="s">
        <v>17</v>
      </c>
      <c r="E3200">
        <v>876.13</v>
      </c>
      <c r="F3200">
        <v>605.9</v>
      </c>
      <c r="G3200">
        <v>8</v>
      </c>
      <c r="H3200">
        <f t="shared" si="294"/>
        <v>7009.04</v>
      </c>
      <c r="I3200">
        <f t="shared" si="298"/>
        <v>4847.2</v>
      </c>
      <c r="J3200">
        <f t="shared" si="295"/>
        <v>2161.84</v>
      </c>
      <c r="K3200" s="8">
        <f t="shared" si="296"/>
        <v>0.30843596269959939</v>
      </c>
      <c r="L3200" t="str">
        <f t="shared" si="299"/>
        <v>2023-02</v>
      </c>
      <c r="M3200">
        <f t="shared" si="297"/>
        <v>2161.84</v>
      </c>
    </row>
    <row r="3201" spans="1:13" x14ac:dyDescent="0.25">
      <c r="A3201" s="1">
        <v>45485</v>
      </c>
      <c r="B3201" t="s">
        <v>22</v>
      </c>
      <c r="C3201" t="s">
        <v>8</v>
      </c>
      <c r="D3201" t="s">
        <v>9</v>
      </c>
      <c r="E3201">
        <v>1744.8</v>
      </c>
      <c r="F3201">
        <v>1545.04</v>
      </c>
      <c r="G3201">
        <v>7</v>
      </c>
      <c r="H3201">
        <f t="shared" si="294"/>
        <v>12213.6</v>
      </c>
      <c r="I3201">
        <f t="shared" si="298"/>
        <v>10815.279999999999</v>
      </c>
      <c r="J3201">
        <f t="shared" si="295"/>
        <v>1398.3200000000015</v>
      </c>
      <c r="K3201" s="8">
        <f t="shared" si="296"/>
        <v>0.11448876662081627</v>
      </c>
      <c r="L3201" t="str">
        <f t="shared" si="299"/>
        <v>2024-07</v>
      </c>
      <c r="M3201">
        <f t="shared" si="297"/>
        <v>1398.3200000000015</v>
      </c>
    </row>
    <row r="3202" spans="1:13" x14ac:dyDescent="0.25">
      <c r="A3202" s="1">
        <v>45198</v>
      </c>
      <c r="B3202" t="s">
        <v>23</v>
      </c>
      <c r="C3202" t="s">
        <v>11</v>
      </c>
      <c r="D3202" t="s">
        <v>13</v>
      </c>
      <c r="E3202">
        <v>1077.5999999999999</v>
      </c>
      <c r="F3202">
        <v>839.05</v>
      </c>
      <c r="G3202">
        <v>9</v>
      </c>
      <c r="H3202">
        <f t="shared" si="294"/>
        <v>9698.4</v>
      </c>
      <c r="I3202">
        <f t="shared" si="298"/>
        <v>7551.45</v>
      </c>
      <c r="J3202">
        <f t="shared" si="295"/>
        <v>2146.9499999999998</v>
      </c>
      <c r="K3202" s="8">
        <f t="shared" si="296"/>
        <v>0.22137156644394951</v>
      </c>
      <c r="L3202" t="str">
        <f t="shared" si="299"/>
        <v>2023-09</v>
      </c>
      <c r="M3202">
        <f t="shared" si="297"/>
        <v>2146.9499999999998</v>
      </c>
    </row>
    <row r="3203" spans="1:13" x14ac:dyDescent="0.25">
      <c r="A3203" s="1">
        <v>45278</v>
      </c>
      <c r="B3203" t="s">
        <v>14</v>
      </c>
      <c r="C3203" t="s">
        <v>15</v>
      </c>
      <c r="D3203" t="s">
        <v>18</v>
      </c>
      <c r="E3203">
        <v>1929.83</v>
      </c>
      <c r="F3203">
        <v>1059.17</v>
      </c>
      <c r="G3203">
        <v>7</v>
      </c>
      <c r="H3203">
        <f t="shared" ref="H3203:H3266" si="300">E3203*G3203</f>
        <v>13508.81</v>
      </c>
      <c r="I3203">
        <f t="shared" si="298"/>
        <v>7414.1900000000005</v>
      </c>
      <c r="J3203">
        <f t="shared" ref="J3203:J3266" si="301">H3203-I3203</f>
        <v>6094.619999999999</v>
      </c>
      <c r="K3203" s="8">
        <f t="shared" ref="K3203:K3266" si="302">(H3203-I3203)/H3203</f>
        <v>0.45115891037034345</v>
      </c>
      <c r="L3203" t="str">
        <f t="shared" si="299"/>
        <v>2023-12</v>
      </c>
      <c r="M3203">
        <f t="shared" ref="M3203:M3266" si="303">H3203-I3203</f>
        <v>6094.619999999999</v>
      </c>
    </row>
    <row r="3204" spans="1:13" x14ac:dyDescent="0.25">
      <c r="A3204" s="1">
        <v>44618</v>
      </c>
      <c r="B3204" t="s">
        <v>24</v>
      </c>
      <c r="C3204" t="s">
        <v>20</v>
      </c>
      <c r="D3204" t="s">
        <v>9</v>
      </c>
      <c r="E3204">
        <v>545.80999999999995</v>
      </c>
      <c r="F3204">
        <v>424.85</v>
      </c>
      <c r="G3204">
        <v>2</v>
      </c>
      <c r="H3204">
        <f t="shared" si="300"/>
        <v>1091.6199999999999</v>
      </c>
      <c r="I3204">
        <f t="shared" ref="I3204:I3267" si="304">F3204*G3204</f>
        <v>849.7</v>
      </c>
      <c r="J3204">
        <f t="shared" si="301"/>
        <v>241.91999999999985</v>
      </c>
      <c r="K3204" s="8">
        <f t="shared" si="302"/>
        <v>0.22161558051336533</v>
      </c>
      <c r="L3204" t="str">
        <f t="shared" ref="L3204:L3267" si="305">TEXT(A3204,"rrrr-mm")</f>
        <v>2022-02</v>
      </c>
      <c r="M3204">
        <f t="shared" si="303"/>
        <v>241.91999999999985</v>
      </c>
    </row>
    <row r="3205" spans="1:13" x14ac:dyDescent="0.25">
      <c r="A3205" s="1">
        <v>44620</v>
      </c>
      <c r="B3205" t="s">
        <v>22</v>
      </c>
      <c r="C3205" t="s">
        <v>8</v>
      </c>
      <c r="D3205" t="s">
        <v>13</v>
      </c>
      <c r="E3205">
        <v>1597.06</v>
      </c>
      <c r="F3205">
        <v>1066.47</v>
      </c>
      <c r="G3205">
        <v>6</v>
      </c>
      <c r="H3205">
        <f t="shared" si="300"/>
        <v>9582.36</v>
      </c>
      <c r="I3205">
        <f t="shared" si="304"/>
        <v>6398.82</v>
      </c>
      <c r="J3205">
        <f t="shared" si="301"/>
        <v>3183.5400000000009</v>
      </c>
      <c r="K3205" s="8">
        <f t="shared" si="302"/>
        <v>0.33222922119394394</v>
      </c>
      <c r="L3205" t="str">
        <f t="shared" si="305"/>
        <v>2022-02</v>
      </c>
      <c r="M3205">
        <f t="shared" si="303"/>
        <v>3183.5400000000009</v>
      </c>
    </row>
    <row r="3206" spans="1:13" x14ac:dyDescent="0.25">
      <c r="A3206" s="1">
        <v>45652</v>
      </c>
      <c r="B3206" t="s">
        <v>12</v>
      </c>
      <c r="C3206" t="s">
        <v>8</v>
      </c>
      <c r="D3206" t="s">
        <v>18</v>
      </c>
      <c r="E3206">
        <v>1903.59</v>
      </c>
      <c r="F3206">
        <v>1375</v>
      </c>
      <c r="G3206">
        <v>7</v>
      </c>
      <c r="H3206">
        <f t="shared" si="300"/>
        <v>13325.13</v>
      </c>
      <c r="I3206">
        <f t="shared" si="304"/>
        <v>9625</v>
      </c>
      <c r="J3206">
        <f t="shared" si="301"/>
        <v>3700.1299999999992</v>
      </c>
      <c r="K3206" s="8">
        <f t="shared" si="302"/>
        <v>0.27768059298483388</v>
      </c>
      <c r="L3206" t="str">
        <f t="shared" si="305"/>
        <v>2024-12</v>
      </c>
      <c r="M3206">
        <f t="shared" si="303"/>
        <v>3700.1299999999992</v>
      </c>
    </row>
    <row r="3207" spans="1:13" x14ac:dyDescent="0.25">
      <c r="A3207" s="1">
        <v>44647</v>
      </c>
      <c r="B3207" t="s">
        <v>25</v>
      </c>
      <c r="C3207" t="s">
        <v>15</v>
      </c>
      <c r="D3207" t="s">
        <v>17</v>
      </c>
      <c r="E3207">
        <v>813.29</v>
      </c>
      <c r="F3207">
        <v>566.61</v>
      </c>
      <c r="G3207">
        <v>5</v>
      </c>
      <c r="H3207">
        <f t="shared" si="300"/>
        <v>4066.45</v>
      </c>
      <c r="I3207">
        <f t="shared" si="304"/>
        <v>2833.05</v>
      </c>
      <c r="J3207">
        <f t="shared" si="301"/>
        <v>1233.3999999999996</v>
      </c>
      <c r="K3207" s="8">
        <f t="shared" si="302"/>
        <v>0.30331124199240117</v>
      </c>
      <c r="L3207" t="str">
        <f t="shared" si="305"/>
        <v>2022-03</v>
      </c>
      <c r="M3207">
        <f t="shared" si="303"/>
        <v>1233.3999999999996</v>
      </c>
    </row>
    <row r="3208" spans="1:13" x14ac:dyDescent="0.25">
      <c r="A3208" s="1">
        <v>45462</v>
      </c>
      <c r="B3208" t="s">
        <v>22</v>
      </c>
      <c r="C3208" t="s">
        <v>8</v>
      </c>
      <c r="D3208" t="s">
        <v>17</v>
      </c>
      <c r="E3208">
        <v>788.33</v>
      </c>
      <c r="F3208">
        <v>660.03</v>
      </c>
      <c r="G3208">
        <v>4</v>
      </c>
      <c r="H3208">
        <f t="shared" si="300"/>
        <v>3153.32</v>
      </c>
      <c r="I3208">
        <f t="shared" si="304"/>
        <v>2640.12</v>
      </c>
      <c r="J3208">
        <f t="shared" si="301"/>
        <v>513.20000000000027</v>
      </c>
      <c r="K3208" s="8">
        <f t="shared" si="302"/>
        <v>0.16274910253320318</v>
      </c>
      <c r="L3208" t="str">
        <f t="shared" si="305"/>
        <v>2024-06</v>
      </c>
      <c r="M3208">
        <f t="shared" si="303"/>
        <v>513.20000000000027</v>
      </c>
    </row>
    <row r="3209" spans="1:13" x14ac:dyDescent="0.25">
      <c r="A3209" s="1">
        <v>44889</v>
      </c>
      <c r="B3209" t="s">
        <v>21</v>
      </c>
      <c r="C3209" t="s">
        <v>20</v>
      </c>
      <c r="D3209" t="s">
        <v>13</v>
      </c>
      <c r="E3209">
        <v>552.01</v>
      </c>
      <c r="F3209">
        <v>401.41</v>
      </c>
      <c r="G3209">
        <v>3</v>
      </c>
      <c r="H3209">
        <f t="shared" si="300"/>
        <v>1656.03</v>
      </c>
      <c r="I3209">
        <f t="shared" si="304"/>
        <v>1204.23</v>
      </c>
      <c r="J3209">
        <f t="shared" si="301"/>
        <v>451.79999999999995</v>
      </c>
      <c r="K3209" s="8">
        <f t="shared" si="302"/>
        <v>0.27282114454448286</v>
      </c>
      <c r="L3209" t="str">
        <f t="shared" si="305"/>
        <v>2022-11</v>
      </c>
      <c r="M3209">
        <f t="shared" si="303"/>
        <v>451.79999999999995</v>
      </c>
    </row>
    <row r="3210" spans="1:13" x14ac:dyDescent="0.25">
      <c r="A3210" s="1">
        <v>45251</v>
      </c>
      <c r="B3210" t="s">
        <v>22</v>
      </c>
      <c r="C3210" t="s">
        <v>8</v>
      </c>
      <c r="D3210" t="s">
        <v>17</v>
      </c>
      <c r="E3210">
        <v>288.73</v>
      </c>
      <c r="F3210">
        <v>173.81</v>
      </c>
      <c r="G3210">
        <v>6</v>
      </c>
      <c r="H3210">
        <f t="shared" si="300"/>
        <v>1732.38</v>
      </c>
      <c r="I3210">
        <f t="shared" si="304"/>
        <v>1042.8600000000001</v>
      </c>
      <c r="J3210">
        <f t="shared" si="301"/>
        <v>689.52</v>
      </c>
      <c r="K3210" s="8">
        <f t="shared" si="302"/>
        <v>0.39801891040072035</v>
      </c>
      <c r="L3210" t="str">
        <f t="shared" si="305"/>
        <v>2023-11</v>
      </c>
      <c r="M3210">
        <f t="shared" si="303"/>
        <v>689.52</v>
      </c>
    </row>
    <row r="3211" spans="1:13" x14ac:dyDescent="0.25">
      <c r="A3211" s="1">
        <v>45357</v>
      </c>
      <c r="B3211" t="s">
        <v>10</v>
      </c>
      <c r="C3211" t="s">
        <v>11</v>
      </c>
      <c r="D3211" t="s">
        <v>17</v>
      </c>
      <c r="E3211">
        <v>1157.82</v>
      </c>
      <c r="F3211">
        <v>761.72</v>
      </c>
      <c r="G3211">
        <v>6</v>
      </c>
      <c r="H3211">
        <f t="shared" si="300"/>
        <v>6946.92</v>
      </c>
      <c r="I3211">
        <f t="shared" si="304"/>
        <v>4570.32</v>
      </c>
      <c r="J3211">
        <f t="shared" si="301"/>
        <v>2376.6000000000004</v>
      </c>
      <c r="K3211" s="8">
        <f t="shared" si="302"/>
        <v>0.34210844518146177</v>
      </c>
      <c r="L3211" t="str">
        <f t="shared" si="305"/>
        <v>2024-03</v>
      </c>
      <c r="M3211">
        <f t="shared" si="303"/>
        <v>2376.6000000000004</v>
      </c>
    </row>
    <row r="3212" spans="1:13" x14ac:dyDescent="0.25">
      <c r="A3212" s="1">
        <v>45211</v>
      </c>
      <c r="B3212" t="s">
        <v>12</v>
      </c>
      <c r="C3212" t="s">
        <v>8</v>
      </c>
      <c r="D3212" t="s">
        <v>9</v>
      </c>
      <c r="E3212">
        <v>1423.46</v>
      </c>
      <c r="F3212">
        <v>955.46</v>
      </c>
      <c r="G3212">
        <v>10</v>
      </c>
      <c r="H3212">
        <f t="shared" si="300"/>
        <v>14234.6</v>
      </c>
      <c r="I3212">
        <f t="shared" si="304"/>
        <v>9554.6</v>
      </c>
      <c r="J3212">
        <f t="shared" si="301"/>
        <v>4680</v>
      </c>
      <c r="K3212" s="8">
        <f t="shared" si="302"/>
        <v>0.32877636182260128</v>
      </c>
      <c r="L3212" t="str">
        <f t="shared" si="305"/>
        <v>2023-10</v>
      </c>
      <c r="M3212">
        <f t="shared" si="303"/>
        <v>4680</v>
      </c>
    </row>
    <row r="3213" spans="1:13" x14ac:dyDescent="0.25">
      <c r="A3213" s="1">
        <v>45347</v>
      </c>
      <c r="B3213" t="s">
        <v>16</v>
      </c>
      <c r="C3213" t="s">
        <v>15</v>
      </c>
      <c r="D3213" t="s">
        <v>13</v>
      </c>
      <c r="E3213">
        <v>339.03</v>
      </c>
      <c r="F3213">
        <v>229.1</v>
      </c>
      <c r="G3213">
        <v>9</v>
      </c>
      <c r="H3213">
        <f t="shared" si="300"/>
        <v>3051.2699999999995</v>
      </c>
      <c r="I3213">
        <f t="shared" si="304"/>
        <v>2061.9</v>
      </c>
      <c r="J3213">
        <f t="shared" si="301"/>
        <v>989.36999999999944</v>
      </c>
      <c r="K3213" s="8">
        <f t="shared" si="302"/>
        <v>0.32424859157006741</v>
      </c>
      <c r="L3213" t="str">
        <f t="shared" si="305"/>
        <v>2024-02</v>
      </c>
      <c r="M3213">
        <f t="shared" si="303"/>
        <v>989.36999999999944</v>
      </c>
    </row>
    <row r="3214" spans="1:13" x14ac:dyDescent="0.25">
      <c r="A3214" s="1">
        <v>44802</v>
      </c>
      <c r="B3214" t="s">
        <v>21</v>
      </c>
      <c r="C3214" t="s">
        <v>20</v>
      </c>
      <c r="D3214" t="s">
        <v>17</v>
      </c>
      <c r="E3214">
        <v>1596.54</v>
      </c>
      <c r="F3214">
        <v>1179.71</v>
      </c>
      <c r="G3214">
        <v>8</v>
      </c>
      <c r="H3214">
        <f t="shared" si="300"/>
        <v>12772.32</v>
      </c>
      <c r="I3214">
        <f t="shared" si="304"/>
        <v>9437.68</v>
      </c>
      <c r="J3214">
        <f t="shared" si="301"/>
        <v>3334.6399999999994</v>
      </c>
      <c r="K3214" s="8">
        <f t="shared" si="302"/>
        <v>0.26108334272865069</v>
      </c>
      <c r="L3214" t="str">
        <f t="shared" si="305"/>
        <v>2022-08</v>
      </c>
      <c r="M3214">
        <f t="shared" si="303"/>
        <v>3334.6399999999994</v>
      </c>
    </row>
    <row r="3215" spans="1:13" x14ac:dyDescent="0.25">
      <c r="A3215" s="1">
        <v>45160</v>
      </c>
      <c r="B3215" t="s">
        <v>24</v>
      </c>
      <c r="C3215" t="s">
        <v>20</v>
      </c>
      <c r="D3215" t="s">
        <v>17</v>
      </c>
      <c r="E3215">
        <v>1672.34</v>
      </c>
      <c r="F3215">
        <v>1476.13</v>
      </c>
      <c r="G3215">
        <v>3</v>
      </c>
      <c r="H3215">
        <f t="shared" si="300"/>
        <v>5017.0199999999995</v>
      </c>
      <c r="I3215">
        <f t="shared" si="304"/>
        <v>4428.3900000000003</v>
      </c>
      <c r="J3215">
        <f t="shared" si="301"/>
        <v>588.6299999999992</v>
      </c>
      <c r="K3215" s="8">
        <f t="shared" si="302"/>
        <v>0.11732662018489048</v>
      </c>
      <c r="L3215" t="str">
        <f t="shared" si="305"/>
        <v>2023-08</v>
      </c>
      <c r="M3215">
        <f t="shared" si="303"/>
        <v>588.6299999999992</v>
      </c>
    </row>
    <row r="3216" spans="1:13" x14ac:dyDescent="0.25">
      <c r="A3216" s="1">
        <v>45047</v>
      </c>
      <c r="B3216" t="s">
        <v>16</v>
      </c>
      <c r="C3216" t="s">
        <v>15</v>
      </c>
      <c r="D3216" t="s">
        <v>9</v>
      </c>
      <c r="E3216">
        <v>162.26</v>
      </c>
      <c r="F3216">
        <v>127.93</v>
      </c>
      <c r="G3216">
        <v>9</v>
      </c>
      <c r="H3216">
        <f t="shared" si="300"/>
        <v>1460.34</v>
      </c>
      <c r="I3216">
        <f t="shared" si="304"/>
        <v>1151.3700000000001</v>
      </c>
      <c r="J3216">
        <f t="shared" si="301"/>
        <v>308.9699999999998</v>
      </c>
      <c r="K3216" s="8">
        <f t="shared" si="302"/>
        <v>0.21157401700973733</v>
      </c>
      <c r="L3216" t="str">
        <f t="shared" si="305"/>
        <v>2023-05</v>
      </c>
      <c r="M3216">
        <f t="shared" si="303"/>
        <v>308.9699999999998</v>
      </c>
    </row>
    <row r="3217" spans="1:13" x14ac:dyDescent="0.25">
      <c r="A3217" s="1">
        <v>45297</v>
      </c>
      <c r="B3217" t="s">
        <v>22</v>
      </c>
      <c r="C3217" t="s">
        <v>8</v>
      </c>
      <c r="D3217" t="s">
        <v>17</v>
      </c>
      <c r="E3217">
        <v>646.45000000000005</v>
      </c>
      <c r="F3217">
        <v>406.13</v>
      </c>
      <c r="G3217">
        <v>4</v>
      </c>
      <c r="H3217">
        <f t="shared" si="300"/>
        <v>2585.8000000000002</v>
      </c>
      <c r="I3217">
        <f t="shared" si="304"/>
        <v>1624.52</v>
      </c>
      <c r="J3217">
        <f t="shared" si="301"/>
        <v>961.2800000000002</v>
      </c>
      <c r="K3217" s="8">
        <f t="shared" si="302"/>
        <v>0.37175342253847943</v>
      </c>
      <c r="L3217" t="str">
        <f t="shared" si="305"/>
        <v>2024-01</v>
      </c>
      <c r="M3217">
        <f t="shared" si="303"/>
        <v>961.2800000000002</v>
      </c>
    </row>
    <row r="3218" spans="1:13" x14ac:dyDescent="0.25">
      <c r="A3218" s="1">
        <v>44982</v>
      </c>
      <c r="B3218" t="s">
        <v>7</v>
      </c>
      <c r="C3218" t="s">
        <v>8</v>
      </c>
      <c r="D3218" t="s">
        <v>13</v>
      </c>
      <c r="E3218">
        <v>166.1</v>
      </c>
      <c r="F3218">
        <v>92.38</v>
      </c>
      <c r="G3218">
        <v>6</v>
      </c>
      <c r="H3218">
        <f t="shared" si="300"/>
        <v>996.59999999999991</v>
      </c>
      <c r="I3218">
        <f t="shared" si="304"/>
        <v>554.28</v>
      </c>
      <c r="J3218">
        <f t="shared" si="301"/>
        <v>442.31999999999994</v>
      </c>
      <c r="K3218" s="8">
        <f t="shared" si="302"/>
        <v>0.4438290186634557</v>
      </c>
      <c r="L3218" t="str">
        <f t="shared" si="305"/>
        <v>2023-02</v>
      </c>
      <c r="M3218">
        <f t="shared" si="303"/>
        <v>442.31999999999994</v>
      </c>
    </row>
    <row r="3219" spans="1:13" x14ac:dyDescent="0.25">
      <c r="A3219" s="1">
        <v>45536</v>
      </c>
      <c r="B3219" t="s">
        <v>10</v>
      </c>
      <c r="C3219" t="s">
        <v>11</v>
      </c>
      <c r="D3219" t="s">
        <v>9</v>
      </c>
      <c r="E3219">
        <v>255.13</v>
      </c>
      <c r="F3219">
        <v>183.57</v>
      </c>
      <c r="G3219">
        <v>8</v>
      </c>
      <c r="H3219">
        <f t="shared" si="300"/>
        <v>2041.04</v>
      </c>
      <c r="I3219">
        <f t="shared" si="304"/>
        <v>1468.56</v>
      </c>
      <c r="J3219">
        <f t="shared" si="301"/>
        <v>572.48</v>
      </c>
      <c r="K3219" s="8">
        <f t="shared" si="302"/>
        <v>0.2804844589033042</v>
      </c>
      <c r="L3219" t="str">
        <f t="shared" si="305"/>
        <v>2024-09</v>
      </c>
      <c r="M3219">
        <f t="shared" si="303"/>
        <v>572.48</v>
      </c>
    </row>
    <row r="3220" spans="1:13" x14ac:dyDescent="0.25">
      <c r="A3220" s="1">
        <v>45461</v>
      </c>
      <c r="B3220" t="s">
        <v>7</v>
      </c>
      <c r="C3220" t="s">
        <v>8</v>
      </c>
      <c r="D3220" t="s">
        <v>9</v>
      </c>
      <c r="E3220">
        <v>979.61</v>
      </c>
      <c r="F3220">
        <v>709.29</v>
      </c>
      <c r="G3220">
        <v>7</v>
      </c>
      <c r="H3220">
        <f t="shared" si="300"/>
        <v>6857.27</v>
      </c>
      <c r="I3220">
        <f t="shared" si="304"/>
        <v>4965.03</v>
      </c>
      <c r="J3220">
        <f t="shared" si="301"/>
        <v>1892.2400000000007</v>
      </c>
      <c r="K3220" s="8">
        <f t="shared" si="302"/>
        <v>0.27594655015771591</v>
      </c>
      <c r="L3220" t="str">
        <f t="shared" si="305"/>
        <v>2024-06</v>
      </c>
      <c r="M3220">
        <f t="shared" si="303"/>
        <v>1892.2400000000007</v>
      </c>
    </row>
    <row r="3221" spans="1:13" x14ac:dyDescent="0.25">
      <c r="A3221" s="1">
        <v>45210</v>
      </c>
      <c r="B3221" t="s">
        <v>24</v>
      </c>
      <c r="C3221" t="s">
        <v>20</v>
      </c>
      <c r="D3221" t="s">
        <v>13</v>
      </c>
      <c r="E3221">
        <v>328.45</v>
      </c>
      <c r="F3221">
        <v>180.09</v>
      </c>
      <c r="G3221">
        <v>7</v>
      </c>
      <c r="H3221">
        <f t="shared" si="300"/>
        <v>2299.15</v>
      </c>
      <c r="I3221">
        <f t="shared" si="304"/>
        <v>1260.6300000000001</v>
      </c>
      <c r="J3221">
        <f t="shared" si="301"/>
        <v>1038.52</v>
      </c>
      <c r="K3221" s="8">
        <f t="shared" si="302"/>
        <v>0.45169736641802405</v>
      </c>
      <c r="L3221" t="str">
        <f t="shared" si="305"/>
        <v>2023-10</v>
      </c>
      <c r="M3221">
        <f t="shared" si="303"/>
        <v>1038.52</v>
      </c>
    </row>
    <row r="3222" spans="1:13" x14ac:dyDescent="0.25">
      <c r="A3222" s="1">
        <v>45119</v>
      </c>
      <c r="B3222" t="s">
        <v>23</v>
      </c>
      <c r="C3222" t="s">
        <v>11</v>
      </c>
      <c r="D3222" t="s">
        <v>9</v>
      </c>
      <c r="E3222">
        <v>89.74</v>
      </c>
      <c r="F3222">
        <v>66.61</v>
      </c>
      <c r="G3222">
        <v>4</v>
      </c>
      <c r="H3222">
        <f t="shared" si="300"/>
        <v>358.96</v>
      </c>
      <c r="I3222">
        <f t="shared" si="304"/>
        <v>266.44</v>
      </c>
      <c r="J3222">
        <f t="shared" si="301"/>
        <v>92.519999999999982</v>
      </c>
      <c r="K3222" s="8">
        <f t="shared" si="302"/>
        <v>0.25774459549810558</v>
      </c>
      <c r="L3222" t="str">
        <f t="shared" si="305"/>
        <v>2023-07</v>
      </c>
      <c r="M3222">
        <f t="shared" si="303"/>
        <v>92.519999999999982</v>
      </c>
    </row>
    <row r="3223" spans="1:13" x14ac:dyDescent="0.25">
      <c r="A3223" s="1">
        <v>45286</v>
      </c>
      <c r="B3223" t="s">
        <v>12</v>
      </c>
      <c r="C3223" t="s">
        <v>8</v>
      </c>
      <c r="D3223" t="s">
        <v>13</v>
      </c>
      <c r="E3223">
        <v>1042.8</v>
      </c>
      <c r="F3223">
        <v>602.79</v>
      </c>
      <c r="G3223">
        <v>6</v>
      </c>
      <c r="H3223">
        <f t="shared" si="300"/>
        <v>6256.7999999999993</v>
      </c>
      <c r="I3223">
        <f t="shared" si="304"/>
        <v>3616.74</v>
      </c>
      <c r="J3223">
        <f t="shared" si="301"/>
        <v>2640.0599999999995</v>
      </c>
      <c r="K3223" s="8">
        <f t="shared" si="302"/>
        <v>0.42195051783659376</v>
      </c>
      <c r="L3223" t="str">
        <f t="shared" si="305"/>
        <v>2023-12</v>
      </c>
      <c r="M3223">
        <f t="shared" si="303"/>
        <v>2640.0599999999995</v>
      </c>
    </row>
    <row r="3224" spans="1:13" x14ac:dyDescent="0.25">
      <c r="A3224" s="1">
        <v>45007</v>
      </c>
      <c r="B3224" t="s">
        <v>23</v>
      </c>
      <c r="C3224" t="s">
        <v>11</v>
      </c>
      <c r="D3224" t="s">
        <v>9</v>
      </c>
      <c r="E3224">
        <v>1434.89</v>
      </c>
      <c r="F3224">
        <v>967.8</v>
      </c>
      <c r="G3224">
        <v>1</v>
      </c>
      <c r="H3224">
        <f t="shared" si="300"/>
        <v>1434.89</v>
      </c>
      <c r="I3224">
        <f t="shared" si="304"/>
        <v>967.8</v>
      </c>
      <c r="J3224">
        <f t="shared" si="301"/>
        <v>467.09000000000015</v>
      </c>
      <c r="K3224" s="8">
        <f t="shared" si="302"/>
        <v>0.32552321083846159</v>
      </c>
      <c r="L3224" t="str">
        <f t="shared" si="305"/>
        <v>2023-03</v>
      </c>
      <c r="M3224">
        <f t="shared" si="303"/>
        <v>467.09000000000015</v>
      </c>
    </row>
    <row r="3225" spans="1:13" x14ac:dyDescent="0.25">
      <c r="A3225" s="1">
        <v>44625</v>
      </c>
      <c r="B3225" t="s">
        <v>12</v>
      </c>
      <c r="C3225" t="s">
        <v>8</v>
      </c>
      <c r="D3225" t="s">
        <v>17</v>
      </c>
      <c r="E3225">
        <v>1681.11</v>
      </c>
      <c r="F3225">
        <v>1032.73</v>
      </c>
      <c r="G3225">
        <v>8</v>
      </c>
      <c r="H3225">
        <f t="shared" si="300"/>
        <v>13448.88</v>
      </c>
      <c r="I3225">
        <f t="shared" si="304"/>
        <v>8261.84</v>
      </c>
      <c r="J3225">
        <f t="shared" si="301"/>
        <v>5187.0399999999991</v>
      </c>
      <c r="K3225" s="8">
        <f t="shared" si="302"/>
        <v>0.38568564817293333</v>
      </c>
      <c r="L3225" t="str">
        <f t="shared" si="305"/>
        <v>2022-03</v>
      </c>
      <c r="M3225">
        <f t="shared" si="303"/>
        <v>5187.0399999999991</v>
      </c>
    </row>
    <row r="3226" spans="1:13" x14ac:dyDescent="0.25">
      <c r="A3226" s="1">
        <v>45060</v>
      </c>
      <c r="B3226" t="s">
        <v>16</v>
      </c>
      <c r="C3226" t="s">
        <v>15</v>
      </c>
      <c r="D3226" t="s">
        <v>9</v>
      </c>
      <c r="E3226">
        <v>1045.03</v>
      </c>
      <c r="F3226">
        <v>730.79</v>
      </c>
      <c r="G3226">
        <v>7</v>
      </c>
      <c r="H3226">
        <f t="shared" si="300"/>
        <v>7315.21</v>
      </c>
      <c r="I3226">
        <f t="shared" si="304"/>
        <v>5115.53</v>
      </c>
      <c r="J3226">
        <f t="shared" si="301"/>
        <v>2199.6800000000003</v>
      </c>
      <c r="K3226" s="8">
        <f t="shared" si="302"/>
        <v>0.30069950144971919</v>
      </c>
      <c r="L3226" t="str">
        <f t="shared" si="305"/>
        <v>2023-05</v>
      </c>
      <c r="M3226">
        <f t="shared" si="303"/>
        <v>2199.6800000000003</v>
      </c>
    </row>
    <row r="3227" spans="1:13" x14ac:dyDescent="0.25">
      <c r="A3227" s="1">
        <v>45636</v>
      </c>
      <c r="B3227" t="s">
        <v>21</v>
      </c>
      <c r="C3227" t="s">
        <v>20</v>
      </c>
      <c r="D3227" t="s">
        <v>17</v>
      </c>
      <c r="E3227">
        <v>1597.81</v>
      </c>
      <c r="F3227">
        <v>916</v>
      </c>
      <c r="G3227">
        <v>2</v>
      </c>
      <c r="H3227">
        <f t="shared" si="300"/>
        <v>3195.62</v>
      </c>
      <c r="I3227">
        <f t="shared" si="304"/>
        <v>1832</v>
      </c>
      <c r="J3227">
        <f t="shared" si="301"/>
        <v>1363.62</v>
      </c>
      <c r="K3227" s="8">
        <f t="shared" si="302"/>
        <v>0.42671531658958195</v>
      </c>
      <c r="L3227" t="str">
        <f t="shared" si="305"/>
        <v>2024-12</v>
      </c>
      <c r="M3227">
        <f t="shared" si="303"/>
        <v>1363.62</v>
      </c>
    </row>
    <row r="3228" spans="1:13" x14ac:dyDescent="0.25">
      <c r="A3228" s="1">
        <v>45322</v>
      </c>
      <c r="B3228" t="s">
        <v>25</v>
      </c>
      <c r="C3228" t="s">
        <v>15</v>
      </c>
      <c r="D3228" t="s">
        <v>18</v>
      </c>
      <c r="E3228">
        <v>1931.59</v>
      </c>
      <c r="F3228">
        <v>1539.6</v>
      </c>
      <c r="G3228">
        <v>10</v>
      </c>
      <c r="H3228">
        <f t="shared" si="300"/>
        <v>19315.899999999998</v>
      </c>
      <c r="I3228">
        <f t="shared" si="304"/>
        <v>15396</v>
      </c>
      <c r="J3228">
        <f t="shared" si="301"/>
        <v>3919.8999999999978</v>
      </c>
      <c r="K3228" s="8">
        <f t="shared" si="302"/>
        <v>0.20293644096314425</v>
      </c>
      <c r="L3228" t="str">
        <f t="shared" si="305"/>
        <v>2024-01</v>
      </c>
      <c r="M3228">
        <f t="shared" si="303"/>
        <v>3919.8999999999978</v>
      </c>
    </row>
    <row r="3229" spans="1:13" x14ac:dyDescent="0.25">
      <c r="A3229" s="1">
        <v>45345</v>
      </c>
      <c r="B3229" t="s">
        <v>25</v>
      </c>
      <c r="C3229" t="s">
        <v>15</v>
      </c>
      <c r="D3229" t="s">
        <v>17</v>
      </c>
      <c r="E3229">
        <v>729.93</v>
      </c>
      <c r="F3229">
        <v>582.66999999999996</v>
      </c>
      <c r="G3229">
        <v>9</v>
      </c>
      <c r="H3229">
        <f t="shared" si="300"/>
        <v>6569.37</v>
      </c>
      <c r="I3229">
        <f t="shared" si="304"/>
        <v>5244.03</v>
      </c>
      <c r="J3229">
        <f t="shared" si="301"/>
        <v>1325.3400000000001</v>
      </c>
      <c r="K3229" s="8">
        <f t="shared" si="302"/>
        <v>0.20174537284397137</v>
      </c>
      <c r="L3229" t="str">
        <f t="shared" si="305"/>
        <v>2024-02</v>
      </c>
      <c r="M3229">
        <f t="shared" si="303"/>
        <v>1325.3400000000001</v>
      </c>
    </row>
    <row r="3230" spans="1:13" x14ac:dyDescent="0.25">
      <c r="A3230" s="1">
        <v>45615</v>
      </c>
      <c r="B3230" t="s">
        <v>23</v>
      </c>
      <c r="C3230" t="s">
        <v>11</v>
      </c>
      <c r="D3230" t="s">
        <v>13</v>
      </c>
      <c r="E3230">
        <v>71.19</v>
      </c>
      <c r="F3230">
        <v>41.79</v>
      </c>
      <c r="G3230">
        <v>1</v>
      </c>
      <c r="H3230">
        <f t="shared" si="300"/>
        <v>71.19</v>
      </c>
      <c r="I3230">
        <f t="shared" si="304"/>
        <v>41.79</v>
      </c>
      <c r="J3230">
        <f t="shared" si="301"/>
        <v>29.4</v>
      </c>
      <c r="K3230" s="8">
        <f t="shared" si="302"/>
        <v>0.41297935103244837</v>
      </c>
      <c r="L3230" t="str">
        <f t="shared" si="305"/>
        <v>2024-11</v>
      </c>
      <c r="M3230">
        <f t="shared" si="303"/>
        <v>29.4</v>
      </c>
    </row>
    <row r="3231" spans="1:13" x14ac:dyDescent="0.25">
      <c r="A3231" s="1">
        <v>45519</v>
      </c>
      <c r="B3231" t="s">
        <v>25</v>
      </c>
      <c r="C3231" t="s">
        <v>15</v>
      </c>
      <c r="D3231" t="s">
        <v>18</v>
      </c>
      <c r="E3231">
        <v>1177.77</v>
      </c>
      <c r="F3231">
        <v>1025.54</v>
      </c>
      <c r="G3231">
        <v>5</v>
      </c>
      <c r="H3231">
        <f t="shared" si="300"/>
        <v>5888.85</v>
      </c>
      <c r="I3231">
        <f t="shared" si="304"/>
        <v>5127.7</v>
      </c>
      <c r="J3231">
        <f t="shared" si="301"/>
        <v>761.15000000000055</v>
      </c>
      <c r="K3231" s="8">
        <f t="shared" si="302"/>
        <v>0.12925274034828541</v>
      </c>
      <c r="L3231" t="str">
        <f t="shared" si="305"/>
        <v>2024-08</v>
      </c>
      <c r="M3231">
        <f t="shared" si="303"/>
        <v>761.15000000000055</v>
      </c>
    </row>
    <row r="3232" spans="1:13" x14ac:dyDescent="0.25">
      <c r="A3232" s="1">
        <v>45195</v>
      </c>
      <c r="B3232" t="s">
        <v>14</v>
      </c>
      <c r="C3232" t="s">
        <v>15</v>
      </c>
      <c r="D3232" t="s">
        <v>9</v>
      </c>
      <c r="E3232">
        <v>277.68</v>
      </c>
      <c r="F3232">
        <v>203.53</v>
      </c>
      <c r="G3232">
        <v>6</v>
      </c>
      <c r="H3232">
        <f t="shared" si="300"/>
        <v>1666.08</v>
      </c>
      <c r="I3232">
        <f t="shared" si="304"/>
        <v>1221.18</v>
      </c>
      <c r="J3232">
        <f t="shared" si="301"/>
        <v>444.89999999999986</v>
      </c>
      <c r="K3232" s="8">
        <f t="shared" si="302"/>
        <v>0.26703399596658017</v>
      </c>
      <c r="L3232" t="str">
        <f t="shared" si="305"/>
        <v>2023-09</v>
      </c>
      <c r="M3232">
        <f t="shared" si="303"/>
        <v>444.89999999999986</v>
      </c>
    </row>
    <row r="3233" spans="1:13" x14ac:dyDescent="0.25">
      <c r="A3233" s="1">
        <v>45503</v>
      </c>
      <c r="B3233" t="s">
        <v>25</v>
      </c>
      <c r="C3233" t="s">
        <v>15</v>
      </c>
      <c r="D3233" t="s">
        <v>18</v>
      </c>
      <c r="E3233">
        <v>1106.8499999999999</v>
      </c>
      <c r="F3233">
        <v>969.85</v>
      </c>
      <c r="G3233">
        <v>5</v>
      </c>
      <c r="H3233">
        <f t="shared" si="300"/>
        <v>5534.25</v>
      </c>
      <c r="I3233">
        <f t="shared" si="304"/>
        <v>4849.25</v>
      </c>
      <c r="J3233">
        <f t="shared" si="301"/>
        <v>685</v>
      </c>
      <c r="K3233" s="8">
        <f t="shared" si="302"/>
        <v>0.1237746758820075</v>
      </c>
      <c r="L3233" t="str">
        <f t="shared" si="305"/>
        <v>2024-07</v>
      </c>
      <c r="M3233">
        <f t="shared" si="303"/>
        <v>685</v>
      </c>
    </row>
    <row r="3234" spans="1:13" x14ac:dyDescent="0.25">
      <c r="A3234" s="1">
        <v>45284</v>
      </c>
      <c r="B3234" t="s">
        <v>16</v>
      </c>
      <c r="C3234" t="s">
        <v>15</v>
      </c>
      <c r="D3234" t="s">
        <v>17</v>
      </c>
      <c r="E3234">
        <v>1873.67</v>
      </c>
      <c r="F3234">
        <v>1213.8599999999999</v>
      </c>
      <c r="G3234">
        <v>7</v>
      </c>
      <c r="H3234">
        <f t="shared" si="300"/>
        <v>13115.69</v>
      </c>
      <c r="I3234">
        <f t="shared" si="304"/>
        <v>8497.0199999999986</v>
      </c>
      <c r="J3234">
        <f t="shared" si="301"/>
        <v>4618.6700000000019</v>
      </c>
      <c r="K3234" s="8">
        <f t="shared" si="302"/>
        <v>0.35214845730571565</v>
      </c>
      <c r="L3234" t="str">
        <f t="shared" si="305"/>
        <v>2023-12</v>
      </c>
      <c r="M3234">
        <f t="shared" si="303"/>
        <v>4618.6700000000019</v>
      </c>
    </row>
    <row r="3235" spans="1:13" x14ac:dyDescent="0.25">
      <c r="A3235" s="1">
        <v>44771</v>
      </c>
      <c r="B3235" t="s">
        <v>10</v>
      </c>
      <c r="C3235" t="s">
        <v>11</v>
      </c>
      <c r="D3235" t="s">
        <v>13</v>
      </c>
      <c r="E3235">
        <v>1410.94</v>
      </c>
      <c r="F3235">
        <v>1143.8699999999999</v>
      </c>
      <c r="G3235">
        <v>1</v>
      </c>
      <c r="H3235">
        <f t="shared" si="300"/>
        <v>1410.94</v>
      </c>
      <c r="I3235">
        <f t="shared" si="304"/>
        <v>1143.8699999999999</v>
      </c>
      <c r="J3235">
        <f t="shared" si="301"/>
        <v>267.07000000000016</v>
      </c>
      <c r="K3235" s="8">
        <f t="shared" si="302"/>
        <v>0.18928515741278876</v>
      </c>
      <c r="L3235" t="str">
        <f t="shared" si="305"/>
        <v>2022-07</v>
      </c>
      <c r="M3235">
        <f t="shared" si="303"/>
        <v>267.07000000000016</v>
      </c>
    </row>
    <row r="3236" spans="1:13" x14ac:dyDescent="0.25">
      <c r="A3236" s="1">
        <v>44669</v>
      </c>
      <c r="B3236" t="s">
        <v>22</v>
      </c>
      <c r="C3236" t="s">
        <v>8</v>
      </c>
      <c r="D3236" t="s">
        <v>9</v>
      </c>
      <c r="E3236">
        <v>1496.81</v>
      </c>
      <c r="F3236">
        <v>844.19</v>
      </c>
      <c r="G3236">
        <v>5</v>
      </c>
      <c r="H3236">
        <f t="shared" si="300"/>
        <v>7484.0499999999993</v>
      </c>
      <c r="I3236">
        <f t="shared" si="304"/>
        <v>4220.9500000000007</v>
      </c>
      <c r="J3236">
        <f t="shared" si="301"/>
        <v>3263.0999999999985</v>
      </c>
      <c r="K3236" s="8">
        <f t="shared" si="302"/>
        <v>0.43600724206813141</v>
      </c>
      <c r="L3236" t="str">
        <f t="shared" si="305"/>
        <v>2022-04</v>
      </c>
      <c r="M3236">
        <f t="shared" si="303"/>
        <v>3263.0999999999985</v>
      </c>
    </row>
    <row r="3237" spans="1:13" x14ac:dyDescent="0.25">
      <c r="A3237" s="1">
        <v>45563</v>
      </c>
      <c r="B3237" t="s">
        <v>12</v>
      </c>
      <c r="C3237" t="s">
        <v>8</v>
      </c>
      <c r="D3237" t="s">
        <v>13</v>
      </c>
      <c r="E3237">
        <v>1927.82</v>
      </c>
      <c r="F3237">
        <v>1417.71</v>
      </c>
      <c r="G3237">
        <v>7</v>
      </c>
      <c r="H3237">
        <f t="shared" si="300"/>
        <v>13494.74</v>
      </c>
      <c r="I3237">
        <f t="shared" si="304"/>
        <v>9923.9700000000012</v>
      </c>
      <c r="J3237">
        <f t="shared" si="301"/>
        <v>3570.7699999999986</v>
      </c>
      <c r="K3237" s="8">
        <f t="shared" si="302"/>
        <v>0.26460457926569897</v>
      </c>
      <c r="L3237" t="str">
        <f t="shared" si="305"/>
        <v>2024-09</v>
      </c>
      <c r="M3237">
        <f t="shared" si="303"/>
        <v>3570.7699999999986</v>
      </c>
    </row>
    <row r="3238" spans="1:13" x14ac:dyDescent="0.25">
      <c r="A3238" s="1">
        <v>45281</v>
      </c>
      <c r="B3238" t="s">
        <v>21</v>
      </c>
      <c r="C3238" t="s">
        <v>20</v>
      </c>
      <c r="D3238" t="s">
        <v>13</v>
      </c>
      <c r="E3238">
        <v>1465.89</v>
      </c>
      <c r="F3238">
        <v>828.56</v>
      </c>
      <c r="G3238">
        <v>8</v>
      </c>
      <c r="H3238">
        <f t="shared" si="300"/>
        <v>11727.12</v>
      </c>
      <c r="I3238">
        <f t="shared" si="304"/>
        <v>6628.48</v>
      </c>
      <c r="J3238">
        <f t="shared" si="301"/>
        <v>5098.6400000000012</v>
      </c>
      <c r="K3238" s="8">
        <f t="shared" si="302"/>
        <v>0.43477341410337755</v>
      </c>
      <c r="L3238" t="str">
        <f t="shared" si="305"/>
        <v>2023-12</v>
      </c>
      <c r="M3238">
        <f t="shared" si="303"/>
        <v>5098.6400000000012</v>
      </c>
    </row>
    <row r="3239" spans="1:13" x14ac:dyDescent="0.25">
      <c r="A3239" s="1">
        <v>45362</v>
      </c>
      <c r="B3239" t="s">
        <v>19</v>
      </c>
      <c r="C3239" t="s">
        <v>20</v>
      </c>
      <c r="D3239" t="s">
        <v>13</v>
      </c>
      <c r="E3239">
        <v>1580.72</v>
      </c>
      <c r="F3239">
        <v>1003.68</v>
      </c>
      <c r="G3239">
        <v>5</v>
      </c>
      <c r="H3239">
        <f t="shared" si="300"/>
        <v>7903.6</v>
      </c>
      <c r="I3239">
        <f t="shared" si="304"/>
        <v>5018.3999999999996</v>
      </c>
      <c r="J3239">
        <f t="shared" si="301"/>
        <v>2885.2000000000007</v>
      </c>
      <c r="K3239" s="8">
        <f t="shared" si="302"/>
        <v>0.36504883850397296</v>
      </c>
      <c r="L3239" t="str">
        <f t="shared" si="305"/>
        <v>2024-03</v>
      </c>
      <c r="M3239">
        <f t="shared" si="303"/>
        <v>2885.2000000000007</v>
      </c>
    </row>
    <row r="3240" spans="1:13" x14ac:dyDescent="0.25">
      <c r="A3240" s="1">
        <v>44794</v>
      </c>
      <c r="B3240" t="s">
        <v>21</v>
      </c>
      <c r="C3240" t="s">
        <v>20</v>
      </c>
      <c r="D3240" t="s">
        <v>9</v>
      </c>
      <c r="E3240">
        <v>391.55</v>
      </c>
      <c r="F3240">
        <v>207.8</v>
      </c>
      <c r="G3240">
        <v>1</v>
      </c>
      <c r="H3240">
        <f t="shared" si="300"/>
        <v>391.55</v>
      </c>
      <c r="I3240">
        <f t="shared" si="304"/>
        <v>207.8</v>
      </c>
      <c r="J3240">
        <f t="shared" si="301"/>
        <v>183.75</v>
      </c>
      <c r="K3240" s="8">
        <f t="shared" si="302"/>
        <v>0.46928872430085555</v>
      </c>
      <c r="L3240" t="str">
        <f t="shared" si="305"/>
        <v>2022-08</v>
      </c>
      <c r="M3240">
        <f t="shared" si="303"/>
        <v>183.75</v>
      </c>
    </row>
    <row r="3241" spans="1:13" x14ac:dyDescent="0.25">
      <c r="A3241" s="1">
        <v>45517</v>
      </c>
      <c r="B3241" t="s">
        <v>12</v>
      </c>
      <c r="C3241" t="s">
        <v>8</v>
      </c>
      <c r="D3241" t="s">
        <v>9</v>
      </c>
      <c r="E3241">
        <v>1563.09</v>
      </c>
      <c r="F3241">
        <v>833.93</v>
      </c>
      <c r="G3241">
        <v>2</v>
      </c>
      <c r="H3241">
        <f t="shared" si="300"/>
        <v>3126.18</v>
      </c>
      <c r="I3241">
        <f t="shared" si="304"/>
        <v>1667.86</v>
      </c>
      <c r="J3241">
        <f t="shared" si="301"/>
        <v>1458.32</v>
      </c>
      <c r="K3241" s="8">
        <f t="shared" si="302"/>
        <v>0.46648625479019123</v>
      </c>
      <c r="L3241" t="str">
        <f t="shared" si="305"/>
        <v>2024-08</v>
      </c>
      <c r="M3241">
        <f t="shared" si="303"/>
        <v>1458.32</v>
      </c>
    </row>
    <row r="3242" spans="1:13" x14ac:dyDescent="0.25">
      <c r="A3242" s="1">
        <v>45133</v>
      </c>
      <c r="B3242" t="s">
        <v>12</v>
      </c>
      <c r="C3242" t="s">
        <v>8</v>
      </c>
      <c r="D3242" t="s">
        <v>17</v>
      </c>
      <c r="E3242">
        <v>519.54</v>
      </c>
      <c r="F3242">
        <v>324.77999999999997</v>
      </c>
      <c r="G3242">
        <v>6</v>
      </c>
      <c r="H3242">
        <f t="shared" si="300"/>
        <v>3117.24</v>
      </c>
      <c r="I3242">
        <f t="shared" si="304"/>
        <v>1948.6799999999998</v>
      </c>
      <c r="J3242">
        <f t="shared" si="301"/>
        <v>1168.56</v>
      </c>
      <c r="K3242" s="8">
        <f t="shared" si="302"/>
        <v>0.37487007737614042</v>
      </c>
      <c r="L3242" t="str">
        <f t="shared" si="305"/>
        <v>2023-07</v>
      </c>
      <c r="M3242">
        <f t="shared" si="303"/>
        <v>1168.56</v>
      </c>
    </row>
    <row r="3243" spans="1:13" x14ac:dyDescent="0.25">
      <c r="A3243" s="1">
        <v>44615</v>
      </c>
      <c r="B3243" t="s">
        <v>24</v>
      </c>
      <c r="C3243" t="s">
        <v>20</v>
      </c>
      <c r="D3243" t="s">
        <v>17</v>
      </c>
      <c r="E3243">
        <v>1314.17</v>
      </c>
      <c r="F3243">
        <v>725.61</v>
      </c>
      <c r="G3243">
        <v>10</v>
      </c>
      <c r="H3243">
        <f t="shared" si="300"/>
        <v>13141.7</v>
      </c>
      <c r="I3243">
        <f t="shared" si="304"/>
        <v>7256.1</v>
      </c>
      <c r="J3243">
        <f t="shared" si="301"/>
        <v>5885.6</v>
      </c>
      <c r="K3243" s="8">
        <f t="shared" si="302"/>
        <v>0.44785682217673511</v>
      </c>
      <c r="L3243" t="str">
        <f t="shared" si="305"/>
        <v>2022-02</v>
      </c>
      <c r="M3243">
        <f t="shared" si="303"/>
        <v>5885.6</v>
      </c>
    </row>
    <row r="3244" spans="1:13" x14ac:dyDescent="0.25">
      <c r="A3244" s="1">
        <v>45228</v>
      </c>
      <c r="B3244" t="s">
        <v>23</v>
      </c>
      <c r="C3244" t="s">
        <v>11</v>
      </c>
      <c r="D3244" t="s">
        <v>9</v>
      </c>
      <c r="E3244">
        <v>455.78</v>
      </c>
      <c r="F3244">
        <v>242.29</v>
      </c>
      <c r="G3244">
        <v>10</v>
      </c>
      <c r="H3244">
        <f t="shared" si="300"/>
        <v>4557.7999999999993</v>
      </c>
      <c r="I3244">
        <f t="shared" si="304"/>
        <v>2422.9</v>
      </c>
      <c r="J3244">
        <f t="shared" si="301"/>
        <v>2134.8999999999992</v>
      </c>
      <c r="K3244" s="8">
        <f t="shared" si="302"/>
        <v>0.46840580982052732</v>
      </c>
      <c r="L3244" t="str">
        <f t="shared" si="305"/>
        <v>2023-10</v>
      </c>
      <c r="M3244">
        <f t="shared" si="303"/>
        <v>2134.8999999999992</v>
      </c>
    </row>
    <row r="3245" spans="1:13" x14ac:dyDescent="0.25">
      <c r="A3245" s="1">
        <v>45246</v>
      </c>
      <c r="B3245" t="s">
        <v>10</v>
      </c>
      <c r="C3245" t="s">
        <v>11</v>
      </c>
      <c r="D3245" t="s">
        <v>13</v>
      </c>
      <c r="E3245">
        <v>279.73</v>
      </c>
      <c r="F3245">
        <v>230.98</v>
      </c>
      <c r="G3245">
        <v>1</v>
      </c>
      <c r="H3245">
        <f t="shared" si="300"/>
        <v>279.73</v>
      </c>
      <c r="I3245">
        <f t="shared" si="304"/>
        <v>230.98</v>
      </c>
      <c r="J3245">
        <f t="shared" si="301"/>
        <v>48.750000000000028</v>
      </c>
      <c r="K3245" s="8">
        <f t="shared" si="302"/>
        <v>0.17427519393701077</v>
      </c>
      <c r="L3245" t="str">
        <f t="shared" si="305"/>
        <v>2023-11</v>
      </c>
      <c r="M3245">
        <f t="shared" si="303"/>
        <v>48.750000000000028</v>
      </c>
    </row>
    <row r="3246" spans="1:13" x14ac:dyDescent="0.25">
      <c r="A3246" s="1">
        <v>44641</v>
      </c>
      <c r="B3246" t="s">
        <v>10</v>
      </c>
      <c r="C3246" t="s">
        <v>11</v>
      </c>
      <c r="D3246" t="s">
        <v>18</v>
      </c>
      <c r="E3246">
        <v>135.49</v>
      </c>
      <c r="F3246">
        <v>92.01</v>
      </c>
      <c r="G3246">
        <v>1</v>
      </c>
      <c r="H3246">
        <f t="shared" si="300"/>
        <v>135.49</v>
      </c>
      <c r="I3246">
        <f t="shared" si="304"/>
        <v>92.01</v>
      </c>
      <c r="J3246">
        <f t="shared" si="301"/>
        <v>43.480000000000004</v>
      </c>
      <c r="K3246" s="8">
        <f t="shared" si="302"/>
        <v>0.32090929219868625</v>
      </c>
      <c r="L3246" t="str">
        <f t="shared" si="305"/>
        <v>2022-03</v>
      </c>
      <c r="M3246">
        <f t="shared" si="303"/>
        <v>43.480000000000004</v>
      </c>
    </row>
    <row r="3247" spans="1:13" x14ac:dyDescent="0.25">
      <c r="A3247" s="1">
        <v>45557</v>
      </c>
      <c r="B3247" t="s">
        <v>14</v>
      </c>
      <c r="C3247" t="s">
        <v>15</v>
      </c>
      <c r="D3247" t="s">
        <v>9</v>
      </c>
      <c r="E3247">
        <v>559.36</v>
      </c>
      <c r="F3247">
        <v>432.84</v>
      </c>
      <c r="G3247">
        <v>3</v>
      </c>
      <c r="H3247">
        <f t="shared" si="300"/>
        <v>1678.08</v>
      </c>
      <c r="I3247">
        <f t="shared" si="304"/>
        <v>1298.52</v>
      </c>
      <c r="J3247">
        <f t="shared" si="301"/>
        <v>379.55999999999995</v>
      </c>
      <c r="K3247" s="8">
        <f t="shared" si="302"/>
        <v>0.22618707093821508</v>
      </c>
      <c r="L3247" t="str">
        <f t="shared" si="305"/>
        <v>2024-09</v>
      </c>
      <c r="M3247">
        <f t="shared" si="303"/>
        <v>379.55999999999995</v>
      </c>
    </row>
    <row r="3248" spans="1:13" x14ac:dyDescent="0.25">
      <c r="A3248" s="1">
        <v>44687</v>
      </c>
      <c r="B3248" t="s">
        <v>21</v>
      </c>
      <c r="C3248" t="s">
        <v>20</v>
      </c>
      <c r="D3248" t="s">
        <v>17</v>
      </c>
      <c r="E3248">
        <v>42.93</v>
      </c>
      <c r="F3248">
        <v>31.96</v>
      </c>
      <c r="G3248">
        <v>7</v>
      </c>
      <c r="H3248">
        <f t="shared" si="300"/>
        <v>300.51</v>
      </c>
      <c r="I3248">
        <f t="shared" si="304"/>
        <v>223.72</v>
      </c>
      <c r="J3248">
        <f t="shared" si="301"/>
        <v>76.789999999999992</v>
      </c>
      <c r="K3248" s="8">
        <f t="shared" si="302"/>
        <v>0.25553226182156996</v>
      </c>
      <c r="L3248" t="str">
        <f t="shared" si="305"/>
        <v>2022-05</v>
      </c>
      <c r="M3248">
        <f t="shared" si="303"/>
        <v>76.789999999999992</v>
      </c>
    </row>
    <row r="3249" spans="1:13" x14ac:dyDescent="0.25">
      <c r="A3249" s="1">
        <v>44576</v>
      </c>
      <c r="B3249" t="s">
        <v>25</v>
      </c>
      <c r="C3249" t="s">
        <v>15</v>
      </c>
      <c r="D3249" t="s">
        <v>18</v>
      </c>
      <c r="E3249">
        <v>1575.27</v>
      </c>
      <c r="F3249">
        <v>1404.39</v>
      </c>
      <c r="G3249">
        <v>5</v>
      </c>
      <c r="H3249">
        <f t="shared" si="300"/>
        <v>7876.35</v>
      </c>
      <c r="I3249">
        <f t="shared" si="304"/>
        <v>7021.9500000000007</v>
      </c>
      <c r="J3249">
        <f t="shared" si="301"/>
        <v>854.39999999999964</v>
      </c>
      <c r="K3249" s="8">
        <f t="shared" si="302"/>
        <v>0.10847664209944957</v>
      </c>
      <c r="L3249" t="str">
        <f t="shared" si="305"/>
        <v>2022-01</v>
      </c>
      <c r="M3249">
        <f t="shared" si="303"/>
        <v>854.39999999999964</v>
      </c>
    </row>
    <row r="3250" spans="1:13" x14ac:dyDescent="0.25">
      <c r="A3250" s="1">
        <v>44872</v>
      </c>
      <c r="B3250" t="s">
        <v>16</v>
      </c>
      <c r="C3250" t="s">
        <v>15</v>
      </c>
      <c r="D3250" t="s">
        <v>18</v>
      </c>
      <c r="E3250">
        <v>1809.05</v>
      </c>
      <c r="F3250">
        <v>1127.3599999999999</v>
      </c>
      <c r="G3250">
        <v>7</v>
      </c>
      <c r="H3250">
        <f t="shared" si="300"/>
        <v>12663.35</v>
      </c>
      <c r="I3250">
        <f t="shared" si="304"/>
        <v>7891.5199999999995</v>
      </c>
      <c r="J3250">
        <f t="shared" si="301"/>
        <v>4771.8300000000008</v>
      </c>
      <c r="K3250" s="8">
        <f t="shared" si="302"/>
        <v>0.37682208894170977</v>
      </c>
      <c r="L3250" t="str">
        <f t="shared" si="305"/>
        <v>2022-11</v>
      </c>
      <c r="M3250">
        <f t="shared" si="303"/>
        <v>4771.8300000000008</v>
      </c>
    </row>
    <row r="3251" spans="1:13" x14ac:dyDescent="0.25">
      <c r="A3251" s="1">
        <v>44715</v>
      </c>
      <c r="B3251" t="s">
        <v>24</v>
      </c>
      <c r="C3251" t="s">
        <v>20</v>
      </c>
      <c r="D3251" t="s">
        <v>9</v>
      </c>
      <c r="E3251">
        <v>1699.28</v>
      </c>
      <c r="F3251">
        <v>1520.23</v>
      </c>
      <c r="G3251">
        <v>7</v>
      </c>
      <c r="H3251">
        <f t="shared" si="300"/>
        <v>11894.96</v>
      </c>
      <c r="I3251">
        <f t="shared" si="304"/>
        <v>10641.61</v>
      </c>
      <c r="J3251">
        <f t="shared" si="301"/>
        <v>1253.3499999999985</v>
      </c>
      <c r="K3251" s="8">
        <f t="shared" si="302"/>
        <v>0.10536815592486218</v>
      </c>
      <c r="L3251" t="str">
        <f t="shared" si="305"/>
        <v>2022-06</v>
      </c>
      <c r="M3251">
        <f t="shared" si="303"/>
        <v>1253.3499999999985</v>
      </c>
    </row>
    <row r="3252" spans="1:13" x14ac:dyDescent="0.25">
      <c r="A3252" s="1">
        <v>45516</v>
      </c>
      <c r="B3252" t="s">
        <v>12</v>
      </c>
      <c r="C3252" t="s">
        <v>8</v>
      </c>
      <c r="D3252" t="s">
        <v>9</v>
      </c>
      <c r="E3252">
        <v>1681.16</v>
      </c>
      <c r="F3252">
        <v>1093.53</v>
      </c>
      <c r="G3252">
        <v>10</v>
      </c>
      <c r="H3252">
        <f t="shared" si="300"/>
        <v>16811.600000000002</v>
      </c>
      <c r="I3252">
        <f t="shared" si="304"/>
        <v>10935.3</v>
      </c>
      <c r="J3252">
        <f t="shared" si="301"/>
        <v>5876.3000000000029</v>
      </c>
      <c r="K3252" s="8">
        <f t="shared" si="302"/>
        <v>0.3495384139522712</v>
      </c>
      <c r="L3252" t="str">
        <f t="shared" si="305"/>
        <v>2024-08</v>
      </c>
      <c r="M3252">
        <f t="shared" si="303"/>
        <v>5876.3000000000029</v>
      </c>
    </row>
    <row r="3253" spans="1:13" x14ac:dyDescent="0.25">
      <c r="A3253" s="1">
        <v>45257</v>
      </c>
      <c r="B3253" t="s">
        <v>7</v>
      </c>
      <c r="C3253" t="s">
        <v>8</v>
      </c>
      <c r="D3253" t="s">
        <v>13</v>
      </c>
      <c r="E3253">
        <v>770.82</v>
      </c>
      <c r="F3253">
        <v>529.65</v>
      </c>
      <c r="G3253">
        <v>3</v>
      </c>
      <c r="H3253">
        <f t="shared" si="300"/>
        <v>2312.46</v>
      </c>
      <c r="I3253">
        <f t="shared" si="304"/>
        <v>1588.9499999999998</v>
      </c>
      <c r="J3253">
        <f t="shared" si="301"/>
        <v>723.51000000000022</v>
      </c>
      <c r="K3253" s="8">
        <f t="shared" si="302"/>
        <v>0.31287460107418086</v>
      </c>
      <c r="L3253" t="str">
        <f t="shared" si="305"/>
        <v>2023-11</v>
      </c>
      <c r="M3253">
        <f t="shared" si="303"/>
        <v>723.51000000000022</v>
      </c>
    </row>
    <row r="3254" spans="1:13" x14ac:dyDescent="0.25">
      <c r="A3254" s="1">
        <v>44597</v>
      </c>
      <c r="B3254" t="s">
        <v>22</v>
      </c>
      <c r="C3254" t="s">
        <v>8</v>
      </c>
      <c r="D3254" t="s">
        <v>18</v>
      </c>
      <c r="E3254">
        <v>1338.08</v>
      </c>
      <c r="F3254">
        <v>1042.48</v>
      </c>
      <c r="G3254">
        <v>6</v>
      </c>
      <c r="H3254">
        <f t="shared" si="300"/>
        <v>8028.48</v>
      </c>
      <c r="I3254">
        <f t="shared" si="304"/>
        <v>6254.88</v>
      </c>
      <c r="J3254">
        <f t="shared" si="301"/>
        <v>1773.5999999999995</v>
      </c>
      <c r="K3254" s="8">
        <f t="shared" si="302"/>
        <v>0.22091354776993896</v>
      </c>
      <c r="L3254" t="str">
        <f t="shared" si="305"/>
        <v>2022-02</v>
      </c>
      <c r="M3254">
        <f t="shared" si="303"/>
        <v>1773.5999999999995</v>
      </c>
    </row>
    <row r="3255" spans="1:13" x14ac:dyDescent="0.25">
      <c r="A3255" s="1">
        <v>45595</v>
      </c>
      <c r="B3255" t="s">
        <v>7</v>
      </c>
      <c r="C3255" t="s">
        <v>8</v>
      </c>
      <c r="D3255" t="s">
        <v>13</v>
      </c>
      <c r="E3255">
        <v>1011.63</v>
      </c>
      <c r="F3255">
        <v>834.02</v>
      </c>
      <c r="G3255">
        <v>7</v>
      </c>
      <c r="H3255">
        <f t="shared" si="300"/>
        <v>7081.41</v>
      </c>
      <c r="I3255">
        <f t="shared" si="304"/>
        <v>5838.1399999999994</v>
      </c>
      <c r="J3255">
        <f t="shared" si="301"/>
        <v>1243.2700000000004</v>
      </c>
      <c r="K3255" s="8">
        <f t="shared" si="302"/>
        <v>0.17556814250269373</v>
      </c>
      <c r="L3255" t="str">
        <f t="shared" si="305"/>
        <v>2024-10</v>
      </c>
      <c r="M3255">
        <f t="shared" si="303"/>
        <v>1243.2700000000004</v>
      </c>
    </row>
    <row r="3256" spans="1:13" x14ac:dyDescent="0.25">
      <c r="A3256" s="1">
        <v>44946</v>
      </c>
      <c r="B3256" t="s">
        <v>12</v>
      </c>
      <c r="C3256" t="s">
        <v>8</v>
      </c>
      <c r="D3256" t="s">
        <v>9</v>
      </c>
      <c r="E3256">
        <v>1234.97</v>
      </c>
      <c r="F3256">
        <v>649.52</v>
      </c>
      <c r="G3256">
        <v>6</v>
      </c>
      <c r="H3256">
        <f t="shared" si="300"/>
        <v>7409.82</v>
      </c>
      <c r="I3256">
        <f t="shared" si="304"/>
        <v>3897.12</v>
      </c>
      <c r="J3256">
        <f t="shared" si="301"/>
        <v>3512.7</v>
      </c>
      <c r="K3256" s="8">
        <f t="shared" si="302"/>
        <v>0.47406009862587756</v>
      </c>
      <c r="L3256" t="str">
        <f t="shared" si="305"/>
        <v>2023-01</v>
      </c>
      <c r="M3256">
        <f t="shared" si="303"/>
        <v>3512.7</v>
      </c>
    </row>
    <row r="3257" spans="1:13" x14ac:dyDescent="0.25">
      <c r="A3257" s="1">
        <v>44859</v>
      </c>
      <c r="B3257" t="s">
        <v>19</v>
      </c>
      <c r="C3257" t="s">
        <v>20</v>
      </c>
      <c r="D3257" t="s">
        <v>17</v>
      </c>
      <c r="E3257">
        <v>174.72</v>
      </c>
      <c r="F3257">
        <v>154.72</v>
      </c>
      <c r="G3257">
        <v>8</v>
      </c>
      <c r="H3257">
        <f t="shared" si="300"/>
        <v>1397.76</v>
      </c>
      <c r="I3257">
        <f t="shared" si="304"/>
        <v>1237.76</v>
      </c>
      <c r="J3257">
        <f t="shared" si="301"/>
        <v>160</v>
      </c>
      <c r="K3257" s="8">
        <f t="shared" si="302"/>
        <v>0.11446886446886446</v>
      </c>
      <c r="L3257" t="str">
        <f t="shared" si="305"/>
        <v>2022-10</v>
      </c>
      <c r="M3257">
        <f t="shared" si="303"/>
        <v>160</v>
      </c>
    </row>
    <row r="3258" spans="1:13" x14ac:dyDescent="0.25">
      <c r="A3258" s="1">
        <v>45051</v>
      </c>
      <c r="B3258" t="s">
        <v>22</v>
      </c>
      <c r="C3258" t="s">
        <v>8</v>
      </c>
      <c r="D3258" t="s">
        <v>13</v>
      </c>
      <c r="E3258">
        <v>1536.68</v>
      </c>
      <c r="F3258">
        <v>1221.49</v>
      </c>
      <c r="G3258">
        <v>1</v>
      </c>
      <c r="H3258">
        <f t="shared" si="300"/>
        <v>1536.68</v>
      </c>
      <c r="I3258">
        <f t="shared" si="304"/>
        <v>1221.49</v>
      </c>
      <c r="J3258">
        <f t="shared" si="301"/>
        <v>315.19000000000005</v>
      </c>
      <c r="K3258" s="8">
        <f t="shared" si="302"/>
        <v>0.20511101855949193</v>
      </c>
      <c r="L3258" t="str">
        <f t="shared" si="305"/>
        <v>2023-05</v>
      </c>
      <c r="M3258">
        <f t="shared" si="303"/>
        <v>315.19000000000005</v>
      </c>
    </row>
    <row r="3259" spans="1:13" x14ac:dyDescent="0.25">
      <c r="A3259" s="1">
        <v>45105</v>
      </c>
      <c r="B3259" t="s">
        <v>7</v>
      </c>
      <c r="C3259" t="s">
        <v>8</v>
      </c>
      <c r="D3259" t="s">
        <v>13</v>
      </c>
      <c r="E3259">
        <v>319.13</v>
      </c>
      <c r="F3259">
        <v>190.9</v>
      </c>
      <c r="G3259">
        <v>8</v>
      </c>
      <c r="H3259">
        <f t="shared" si="300"/>
        <v>2553.04</v>
      </c>
      <c r="I3259">
        <f t="shared" si="304"/>
        <v>1527.2</v>
      </c>
      <c r="J3259">
        <f t="shared" si="301"/>
        <v>1025.8399999999999</v>
      </c>
      <c r="K3259" s="8">
        <f t="shared" si="302"/>
        <v>0.40181117412966499</v>
      </c>
      <c r="L3259" t="str">
        <f t="shared" si="305"/>
        <v>2023-06</v>
      </c>
      <c r="M3259">
        <f t="shared" si="303"/>
        <v>1025.8399999999999</v>
      </c>
    </row>
    <row r="3260" spans="1:13" x14ac:dyDescent="0.25">
      <c r="A3260" s="1">
        <v>44620</v>
      </c>
      <c r="B3260" t="s">
        <v>12</v>
      </c>
      <c r="C3260" t="s">
        <v>8</v>
      </c>
      <c r="D3260" t="s">
        <v>18</v>
      </c>
      <c r="E3260">
        <v>1032.32</v>
      </c>
      <c r="F3260">
        <v>874.31</v>
      </c>
      <c r="G3260">
        <v>1</v>
      </c>
      <c r="H3260">
        <f t="shared" si="300"/>
        <v>1032.32</v>
      </c>
      <c r="I3260">
        <f t="shared" si="304"/>
        <v>874.31</v>
      </c>
      <c r="J3260">
        <f t="shared" si="301"/>
        <v>158.01</v>
      </c>
      <c r="K3260" s="8">
        <f t="shared" si="302"/>
        <v>0.15306300371977682</v>
      </c>
      <c r="L3260" t="str">
        <f t="shared" si="305"/>
        <v>2022-02</v>
      </c>
      <c r="M3260">
        <f t="shared" si="303"/>
        <v>158.01</v>
      </c>
    </row>
    <row r="3261" spans="1:13" x14ac:dyDescent="0.25">
      <c r="A3261" s="1">
        <v>44850</v>
      </c>
      <c r="B3261" t="s">
        <v>12</v>
      </c>
      <c r="C3261" t="s">
        <v>8</v>
      </c>
      <c r="D3261" t="s">
        <v>13</v>
      </c>
      <c r="E3261">
        <v>1872.86</v>
      </c>
      <c r="F3261">
        <v>1173.1300000000001</v>
      </c>
      <c r="G3261">
        <v>5</v>
      </c>
      <c r="H3261">
        <f t="shared" si="300"/>
        <v>9364.2999999999993</v>
      </c>
      <c r="I3261">
        <f t="shared" si="304"/>
        <v>5865.6500000000005</v>
      </c>
      <c r="J3261">
        <f t="shared" si="301"/>
        <v>3498.6499999999987</v>
      </c>
      <c r="K3261" s="8">
        <f t="shared" si="302"/>
        <v>0.37361575344660031</v>
      </c>
      <c r="L3261" t="str">
        <f t="shared" si="305"/>
        <v>2022-10</v>
      </c>
      <c r="M3261">
        <f t="shared" si="303"/>
        <v>3498.6499999999987</v>
      </c>
    </row>
    <row r="3262" spans="1:13" x14ac:dyDescent="0.25">
      <c r="A3262" s="1">
        <v>45442</v>
      </c>
      <c r="B3262" t="s">
        <v>10</v>
      </c>
      <c r="C3262" t="s">
        <v>11</v>
      </c>
      <c r="D3262" t="s">
        <v>17</v>
      </c>
      <c r="E3262">
        <v>1124</v>
      </c>
      <c r="F3262">
        <v>817.62</v>
      </c>
      <c r="G3262">
        <v>2</v>
      </c>
      <c r="H3262">
        <f t="shared" si="300"/>
        <v>2248</v>
      </c>
      <c r="I3262">
        <f t="shared" si="304"/>
        <v>1635.24</v>
      </c>
      <c r="J3262">
        <f t="shared" si="301"/>
        <v>612.76</v>
      </c>
      <c r="K3262" s="8">
        <f t="shared" si="302"/>
        <v>0.27258007117437721</v>
      </c>
      <c r="L3262" t="str">
        <f t="shared" si="305"/>
        <v>2024-05</v>
      </c>
      <c r="M3262">
        <f t="shared" si="303"/>
        <v>612.76</v>
      </c>
    </row>
    <row r="3263" spans="1:13" x14ac:dyDescent="0.25">
      <c r="A3263" s="1">
        <v>45606</v>
      </c>
      <c r="B3263" t="s">
        <v>16</v>
      </c>
      <c r="C3263" t="s">
        <v>15</v>
      </c>
      <c r="D3263" t="s">
        <v>17</v>
      </c>
      <c r="E3263">
        <v>514.98</v>
      </c>
      <c r="F3263">
        <v>412.86</v>
      </c>
      <c r="G3263">
        <v>2</v>
      </c>
      <c r="H3263">
        <f t="shared" si="300"/>
        <v>1029.96</v>
      </c>
      <c r="I3263">
        <f t="shared" si="304"/>
        <v>825.72</v>
      </c>
      <c r="J3263">
        <f t="shared" si="301"/>
        <v>204.24</v>
      </c>
      <c r="K3263" s="8">
        <f t="shared" si="302"/>
        <v>0.19829896306652686</v>
      </c>
      <c r="L3263" t="str">
        <f t="shared" si="305"/>
        <v>2024-11</v>
      </c>
      <c r="M3263">
        <f t="shared" si="303"/>
        <v>204.24</v>
      </c>
    </row>
    <row r="3264" spans="1:13" x14ac:dyDescent="0.25">
      <c r="A3264" s="1">
        <v>45096</v>
      </c>
      <c r="B3264" t="s">
        <v>10</v>
      </c>
      <c r="C3264" t="s">
        <v>11</v>
      </c>
      <c r="D3264" t="s">
        <v>9</v>
      </c>
      <c r="E3264">
        <v>209.45</v>
      </c>
      <c r="F3264">
        <v>106.58</v>
      </c>
      <c r="G3264">
        <v>10</v>
      </c>
      <c r="H3264">
        <f t="shared" si="300"/>
        <v>2094.5</v>
      </c>
      <c r="I3264">
        <f t="shared" si="304"/>
        <v>1065.8</v>
      </c>
      <c r="J3264">
        <f t="shared" si="301"/>
        <v>1028.7</v>
      </c>
      <c r="K3264" s="8">
        <f t="shared" si="302"/>
        <v>0.49114347099546435</v>
      </c>
      <c r="L3264" t="str">
        <f t="shared" si="305"/>
        <v>2023-06</v>
      </c>
      <c r="M3264">
        <f t="shared" si="303"/>
        <v>1028.7</v>
      </c>
    </row>
    <row r="3265" spans="1:13" x14ac:dyDescent="0.25">
      <c r="A3265" s="1">
        <v>45053</v>
      </c>
      <c r="B3265" t="s">
        <v>10</v>
      </c>
      <c r="C3265" t="s">
        <v>11</v>
      </c>
      <c r="D3265" t="s">
        <v>18</v>
      </c>
      <c r="E3265">
        <v>1627.86</v>
      </c>
      <c r="F3265">
        <v>1391.09</v>
      </c>
      <c r="G3265">
        <v>8</v>
      </c>
      <c r="H3265">
        <f t="shared" si="300"/>
        <v>13022.88</v>
      </c>
      <c r="I3265">
        <f t="shared" si="304"/>
        <v>11128.72</v>
      </c>
      <c r="J3265">
        <f t="shared" si="301"/>
        <v>1894.1599999999999</v>
      </c>
      <c r="K3265" s="8">
        <f t="shared" si="302"/>
        <v>0.14544862580320175</v>
      </c>
      <c r="L3265" t="str">
        <f t="shared" si="305"/>
        <v>2023-05</v>
      </c>
      <c r="M3265">
        <f t="shared" si="303"/>
        <v>1894.1599999999999</v>
      </c>
    </row>
    <row r="3266" spans="1:13" x14ac:dyDescent="0.25">
      <c r="A3266" s="1">
        <v>45654</v>
      </c>
      <c r="B3266" t="s">
        <v>16</v>
      </c>
      <c r="C3266" t="s">
        <v>15</v>
      </c>
      <c r="D3266" t="s">
        <v>18</v>
      </c>
      <c r="E3266">
        <v>969.09</v>
      </c>
      <c r="F3266">
        <v>595.94000000000005</v>
      </c>
      <c r="G3266">
        <v>2</v>
      </c>
      <c r="H3266">
        <f t="shared" si="300"/>
        <v>1938.18</v>
      </c>
      <c r="I3266">
        <f t="shared" si="304"/>
        <v>1191.8800000000001</v>
      </c>
      <c r="J3266">
        <f t="shared" si="301"/>
        <v>746.3</v>
      </c>
      <c r="K3266" s="8">
        <f t="shared" si="302"/>
        <v>0.38505195595868286</v>
      </c>
      <c r="L3266" t="str">
        <f t="shared" si="305"/>
        <v>2024-12</v>
      </c>
      <c r="M3266">
        <f t="shared" si="303"/>
        <v>746.3</v>
      </c>
    </row>
    <row r="3267" spans="1:13" x14ac:dyDescent="0.25">
      <c r="A3267" s="1">
        <v>44766</v>
      </c>
      <c r="B3267" t="s">
        <v>25</v>
      </c>
      <c r="C3267" t="s">
        <v>15</v>
      </c>
      <c r="D3267" t="s">
        <v>13</v>
      </c>
      <c r="E3267">
        <v>530.32000000000005</v>
      </c>
      <c r="F3267">
        <v>468.94</v>
      </c>
      <c r="G3267">
        <v>8</v>
      </c>
      <c r="H3267">
        <f t="shared" ref="H3267:H3330" si="306">E3267*G3267</f>
        <v>4242.5600000000004</v>
      </c>
      <c r="I3267">
        <f t="shared" si="304"/>
        <v>3751.52</v>
      </c>
      <c r="J3267">
        <f t="shared" ref="J3267:J3330" si="307">H3267-I3267</f>
        <v>491.04000000000042</v>
      </c>
      <c r="K3267" s="8">
        <f t="shared" ref="K3267:K3330" si="308">(H3267-I3267)/H3267</f>
        <v>0.11574143913109075</v>
      </c>
      <c r="L3267" t="str">
        <f t="shared" si="305"/>
        <v>2022-07</v>
      </c>
      <c r="M3267">
        <f t="shared" ref="M3267:M3330" si="309">H3267-I3267</f>
        <v>491.04000000000042</v>
      </c>
    </row>
    <row r="3268" spans="1:13" x14ac:dyDescent="0.25">
      <c r="A3268" s="1">
        <v>45074</v>
      </c>
      <c r="B3268" t="s">
        <v>23</v>
      </c>
      <c r="C3268" t="s">
        <v>11</v>
      </c>
      <c r="D3268" t="s">
        <v>17</v>
      </c>
      <c r="E3268">
        <v>869.13</v>
      </c>
      <c r="F3268">
        <v>775.91</v>
      </c>
      <c r="G3268">
        <v>2</v>
      </c>
      <c r="H3268">
        <f t="shared" si="306"/>
        <v>1738.26</v>
      </c>
      <c r="I3268">
        <f t="shared" ref="I3268:I3331" si="310">F3268*G3268</f>
        <v>1551.82</v>
      </c>
      <c r="J3268">
        <f t="shared" si="307"/>
        <v>186.44000000000005</v>
      </c>
      <c r="K3268" s="8">
        <f t="shared" si="308"/>
        <v>0.10725668196932568</v>
      </c>
      <c r="L3268" t="str">
        <f t="shared" ref="L3268:L3331" si="311">TEXT(A3268,"rrrr-mm")</f>
        <v>2023-05</v>
      </c>
      <c r="M3268">
        <f t="shared" si="309"/>
        <v>186.44000000000005</v>
      </c>
    </row>
    <row r="3269" spans="1:13" x14ac:dyDescent="0.25">
      <c r="A3269" s="1">
        <v>45220</v>
      </c>
      <c r="B3269" t="s">
        <v>21</v>
      </c>
      <c r="C3269" t="s">
        <v>20</v>
      </c>
      <c r="D3269" t="s">
        <v>18</v>
      </c>
      <c r="E3269">
        <v>1535.71</v>
      </c>
      <c r="F3269">
        <v>940.47</v>
      </c>
      <c r="G3269">
        <v>7</v>
      </c>
      <c r="H3269">
        <f t="shared" si="306"/>
        <v>10749.970000000001</v>
      </c>
      <c r="I3269">
        <f t="shared" si="310"/>
        <v>6583.29</v>
      </c>
      <c r="J3269">
        <f t="shared" si="307"/>
        <v>4166.6800000000012</v>
      </c>
      <c r="K3269" s="8">
        <f t="shared" si="308"/>
        <v>0.38759922120712903</v>
      </c>
      <c r="L3269" t="str">
        <f t="shared" si="311"/>
        <v>2023-10</v>
      </c>
      <c r="M3269">
        <f t="shared" si="309"/>
        <v>4166.6800000000012</v>
      </c>
    </row>
    <row r="3270" spans="1:13" x14ac:dyDescent="0.25">
      <c r="A3270" s="1">
        <v>45508</v>
      </c>
      <c r="B3270" t="s">
        <v>21</v>
      </c>
      <c r="C3270" t="s">
        <v>20</v>
      </c>
      <c r="D3270" t="s">
        <v>13</v>
      </c>
      <c r="E3270">
        <v>1542.32</v>
      </c>
      <c r="F3270">
        <v>1059.51</v>
      </c>
      <c r="G3270">
        <v>9</v>
      </c>
      <c r="H3270">
        <f t="shared" si="306"/>
        <v>13880.88</v>
      </c>
      <c r="I3270">
        <f t="shared" si="310"/>
        <v>9535.59</v>
      </c>
      <c r="J3270">
        <f t="shared" si="307"/>
        <v>4345.2899999999991</v>
      </c>
      <c r="K3270" s="8">
        <f t="shared" si="308"/>
        <v>0.31304139218839144</v>
      </c>
      <c r="L3270" t="str">
        <f t="shared" si="311"/>
        <v>2024-08</v>
      </c>
      <c r="M3270">
        <f t="shared" si="309"/>
        <v>4345.2899999999991</v>
      </c>
    </row>
    <row r="3271" spans="1:13" x14ac:dyDescent="0.25">
      <c r="A3271" s="1">
        <v>44689</v>
      </c>
      <c r="B3271" t="s">
        <v>25</v>
      </c>
      <c r="C3271" t="s">
        <v>15</v>
      </c>
      <c r="D3271" t="s">
        <v>9</v>
      </c>
      <c r="E3271">
        <v>143.66</v>
      </c>
      <c r="F3271">
        <v>128.86000000000001</v>
      </c>
      <c r="G3271">
        <v>3</v>
      </c>
      <c r="H3271">
        <f t="shared" si="306"/>
        <v>430.98</v>
      </c>
      <c r="I3271">
        <f t="shared" si="310"/>
        <v>386.58000000000004</v>
      </c>
      <c r="J3271">
        <f t="shared" si="307"/>
        <v>44.399999999999977</v>
      </c>
      <c r="K3271" s="8">
        <f t="shared" si="308"/>
        <v>0.10302102185716269</v>
      </c>
      <c r="L3271" t="str">
        <f t="shared" si="311"/>
        <v>2022-05</v>
      </c>
      <c r="M3271">
        <f t="shared" si="309"/>
        <v>44.399999999999977</v>
      </c>
    </row>
    <row r="3272" spans="1:13" x14ac:dyDescent="0.25">
      <c r="A3272" s="1">
        <v>45139</v>
      </c>
      <c r="B3272" t="s">
        <v>25</v>
      </c>
      <c r="C3272" t="s">
        <v>15</v>
      </c>
      <c r="D3272" t="s">
        <v>13</v>
      </c>
      <c r="E3272">
        <v>1187.04</v>
      </c>
      <c r="F3272">
        <v>921.67</v>
      </c>
      <c r="G3272">
        <v>2</v>
      </c>
      <c r="H3272">
        <f t="shared" si="306"/>
        <v>2374.08</v>
      </c>
      <c r="I3272">
        <f t="shared" si="310"/>
        <v>1843.34</v>
      </c>
      <c r="J3272">
        <f t="shared" si="307"/>
        <v>530.74</v>
      </c>
      <c r="K3272" s="8">
        <f t="shared" si="308"/>
        <v>0.22355607224693355</v>
      </c>
      <c r="L3272" t="str">
        <f t="shared" si="311"/>
        <v>2023-08</v>
      </c>
      <c r="M3272">
        <f t="shared" si="309"/>
        <v>530.74</v>
      </c>
    </row>
    <row r="3273" spans="1:13" x14ac:dyDescent="0.25">
      <c r="A3273" s="1">
        <v>45292</v>
      </c>
      <c r="B3273" t="s">
        <v>25</v>
      </c>
      <c r="C3273" t="s">
        <v>15</v>
      </c>
      <c r="D3273" t="s">
        <v>9</v>
      </c>
      <c r="E3273">
        <v>605.57000000000005</v>
      </c>
      <c r="F3273">
        <v>445.33</v>
      </c>
      <c r="G3273">
        <v>2</v>
      </c>
      <c r="H3273">
        <f t="shared" si="306"/>
        <v>1211.1400000000001</v>
      </c>
      <c r="I3273">
        <f t="shared" si="310"/>
        <v>890.66</v>
      </c>
      <c r="J3273">
        <f t="shared" si="307"/>
        <v>320.48000000000013</v>
      </c>
      <c r="K3273" s="8">
        <f t="shared" si="308"/>
        <v>0.2646102019584855</v>
      </c>
      <c r="L3273" t="str">
        <f t="shared" si="311"/>
        <v>2024-01</v>
      </c>
      <c r="M3273">
        <f t="shared" si="309"/>
        <v>320.48000000000013</v>
      </c>
    </row>
    <row r="3274" spans="1:13" x14ac:dyDescent="0.25">
      <c r="A3274" s="1">
        <v>44976</v>
      </c>
      <c r="B3274" t="s">
        <v>22</v>
      </c>
      <c r="C3274" t="s">
        <v>8</v>
      </c>
      <c r="D3274" t="s">
        <v>17</v>
      </c>
      <c r="E3274">
        <v>300.22000000000003</v>
      </c>
      <c r="F3274">
        <v>238.42</v>
      </c>
      <c r="G3274">
        <v>7</v>
      </c>
      <c r="H3274">
        <f t="shared" si="306"/>
        <v>2101.54</v>
      </c>
      <c r="I3274">
        <f t="shared" si="310"/>
        <v>1668.9399999999998</v>
      </c>
      <c r="J3274">
        <f t="shared" si="307"/>
        <v>432.60000000000014</v>
      </c>
      <c r="K3274" s="8">
        <f t="shared" si="308"/>
        <v>0.20584904403437487</v>
      </c>
      <c r="L3274" t="str">
        <f t="shared" si="311"/>
        <v>2023-02</v>
      </c>
      <c r="M3274">
        <f t="shared" si="309"/>
        <v>432.60000000000014</v>
      </c>
    </row>
    <row r="3275" spans="1:13" x14ac:dyDescent="0.25">
      <c r="A3275" s="1">
        <v>45496</v>
      </c>
      <c r="B3275" t="s">
        <v>12</v>
      </c>
      <c r="C3275" t="s">
        <v>8</v>
      </c>
      <c r="D3275" t="s">
        <v>18</v>
      </c>
      <c r="E3275">
        <v>1198.33</v>
      </c>
      <c r="F3275">
        <v>734.6</v>
      </c>
      <c r="G3275">
        <v>9</v>
      </c>
      <c r="H3275">
        <f t="shared" si="306"/>
        <v>10784.97</v>
      </c>
      <c r="I3275">
        <f t="shared" si="310"/>
        <v>6611.4000000000005</v>
      </c>
      <c r="J3275">
        <f t="shared" si="307"/>
        <v>4173.5699999999988</v>
      </c>
      <c r="K3275" s="8">
        <f t="shared" si="308"/>
        <v>0.38698021413133266</v>
      </c>
      <c r="L3275" t="str">
        <f t="shared" si="311"/>
        <v>2024-07</v>
      </c>
      <c r="M3275">
        <f t="shared" si="309"/>
        <v>4173.5699999999988</v>
      </c>
    </row>
    <row r="3276" spans="1:13" x14ac:dyDescent="0.25">
      <c r="A3276" s="1">
        <v>45426</v>
      </c>
      <c r="B3276" t="s">
        <v>7</v>
      </c>
      <c r="C3276" t="s">
        <v>8</v>
      </c>
      <c r="D3276" t="s">
        <v>13</v>
      </c>
      <c r="E3276">
        <v>106.14</v>
      </c>
      <c r="F3276">
        <v>77.03</v>
      </c>
      <c r="G3276">
        <v>7</v>
      </c>
      <c r="H3276">
        <f t="shared" si="306"/>
        <v>742.98</v>
      </c>
      <c r="I3276">
        <f t="shared" si="310"/>
        <v>539.21</v>
      </c>
      <c r="J3276">
        <f t="shared" si="307"/>
        <v>203.76999999999998</v>
      </c>
      <c r="K3276" s="8">
        <f t="shared" si="308"/>
        <v>0.27426041077821744</v>
      </c>
      <c r="L3276" t="str">
        <f t="shared" si="311"/>
        <v>2024-05</v>
      </c>
      <c r="M3276">
        <f t="shared" si="309"/>
        <v>203.76999999999998</v>
      </c>
    </row>
    <row r="3277" spans="1:13" x14ac:dyDescent="0.25">
      <c r="A3277" s="1">
        <v>45409</v>
      </c>
      <c r="B3277" t="s">
        <v>19</v>
      </c>
      <c r="C3277" t="s">
        <v>20</v>
      </c>
      <c r="D3277" t="s">
        <v>17</v>
      </c>
      <c r="E3277">
        <v>1025.8800000000001</v>
      </c>
      <c r="F3277">
        <v>582.61</v>
      </c>
      <c r="G3277">
        <v>10</v>
      </c>
      <c r="H3277">
        <f t="shared" si="306"/>
        <v>10258.800000000001</v>
      </c>
      <c r="I3277">
        <f t="shared" si="310"/>
        <v>5826.1</v>
      </c>
      <c r="J3277">
        <f t="shared" si="307"/>
        <v>4432.7000000000007</v>
      </c>
      <c r="K3277" s="8">
        <f t="shared" si="308"/>
        <v>0.43208757359535233</v>
      </c>
      <c r="L3277" t="str">
        <f t="shared" si="311"/>
        <v>2024-04</v>
      </c>
      <c r="M3277">
        <f t="shared" si="309"/>
        <v>4432.7000000000007</v>
      </c>
    </row>
    <row r="3278" spans="1:13" x14ac:dyDescent="0.25">
      <c r="A3278" s="1">
        <v>45624</v>
      </c>
      <c r="B3278" t="s">
        <v>22</v>
      </c>
      <c r="C3278" t="s">
        <v>8</v>
      </c>
      <c r="D3278" t="s">
        <v>18</v>
      </c>
      <c r="E3278">
        <v>1637.9</v>
      </c>
      <c r="F3278">
        <v>1232.8399999999999</v>
      </c>
      <c r="G3278">
        <v>8</v>
      </c>
      <c r="H3278">
        <f t="shared" si="306"/>
        <v>13103.2</v>
      </c>
      <c r="I3278">
        <f t="shared" si="310"/>
        <v>9862.7199999999993</v>
      </c>
      <c r="J3278">
        <f t="shared" si="307"/>
        <v>3240.4800000000014</v>
      </c>
      <c r="K3278" s="8">
        <f t="shared" si="308"/>
        <v>0.24730447524268889</v>
      </c>
      <c r="L3278" t="str">
        <f t="shared" si="311"/>
        <v>2024-11</v>
      </c>
      <c r="M3278">
        <f t="shared" si="309"/>
        <v>3240.4800000000014</v>
      </c>
    </row>
    <row r="3279" spans="1:13" x14ac:dyDescent="0.25">
      <c r="A3279" s="1">
        <v>44918</v>
      </c>
      <c r="B3279" t="s">
        <v>22</v>
      </c>
      <c r="C3279" t="s">
        <v>8</v>
      </c>
      <c r="D3279" t="s">
        <v>13</v>
      </c>
      <c r="E3279">
        <v>690.4</v>
      </c>
      <c r="F3279">
        <v>534.08000000000004</v>
      </c>
      <c r="G3279">
        <v>5</v>
      </c>
      <c r="H3279">
        <f t="shared" si="306"/>
        <v>3452</v>
      </c>
      <c r="I3279">
        <f t="shared" si="310"/>
        <v>2670.4</v>
      </c>
      <c r="J3279">
        <f t="shared" si="307"/>
        <v>781.59999999999991</v>
      </c>
      <c r="K3279" s="8">
        <f t="shared" si="308"/>
        <v>0.22641946697566626</v>
      </c>
      <c r="L3279" t="str">
        <f t="shared" si="311"/>
        <v>2022-12</v>
      </c>
      <c r="M3279">
        <f t="shared" si="309"/>
        <v>781.59999999999991</v>
      </c>
    </row>
    <row r="3280" spans="1:13" x14ac:dyDescent="0.25">
      <c r="A3280" s="1">
        <v>45512</v>
      </c>
      <c r="B3280" t="s">
        <v>16</v>
      </c>
      <c r="C3280" t="s">
        <v>15</v>
      </c>
      <c r="D3280" t="s">
        <v>9</v>
      </c>
      <c r="E3280">
        <v>514</v>
      </c>
      <c r="F3280">
        <v>361.46</v>
      </c>
      <c r="G3280">
        <v>9</v>
      </c>
      <c r="H3280">
        <f t="shared" si="306"/>
        <v>4626</v>
      </c>
      <c r="I3280">
        <f t="shared" si="310"/>
        <v>3253.14</v>
      </c>
      <c r="J3280">
        <f t="shared" si="307"/>
        <v>1372.8600000000001</v>
      </c>
      <c r="K3280" s="8">
        <f t="shared" si="308"/>
        <v>0.29677042801556425</v>
      </c>
      <c r="L3280" t="str">
        <f t="shared" si="311"/>
        <v>2024-08</v>
      </c>
      <c r="M3280">
        <f t="shared" si="309"/>
        <v>1372.8600000000001</v>
      </c>
    </row>
    <row r="3281" spans="1:13" x14ac:dyDescent="0.25">
      <c r="A3281" s="1">
        <v>44958</v>
      </c>
      <c r="B3281" t="s">
        <v>14</v>
      </c>
      <c r="C3281" t="s">
        <v>15</v>
      </c>
      <c r="D3281" t="s">
        <v>9</v>
      </c>
      <c r="E3281">
        <v>900.92</v>
      </c>
      <c r="F3281">
        <v>545.16999999999996</v>
      </c>
      <c r="G3281">
        <v>2</v>
      </c>
      <c r="H3281">
        <f t="shared" si="306"/>
        <v>1801.84</v>
      </c>
      <c r="I3281">
        <f t="shared" si="310"/>
        <v>1090.3399999999999</v>
      </c>
      <c r="J3281">
        <f t="shared" si="307"/>
        <v>711.5</v>
      </c>
      <c r="K3281" s="8">
        <f t="shared" si="308"/>
        <v>0.39487412866847227</v>
      </c>
      <c r="L3281" t="str">
        <f t="shared" si="311"/>
        <v>2023-02</v>
      </c>
      <c r="M3281">
        <f t="shared" si="309"/>
        <v>711.5</v>
      </c>
    </row>
    <row r="3282" spans="1:13" x14ac:dyDescent="0.25">
      <c r="A3282" s="1">
        <v>44804</v>
      </c>
      <c r="B3282" t="s">
        <v>16</v>
      </c>
      <c r="C3282" t="s">
        <v>15</v>
      </c>
      <c r="D3282" t="s">
        <v>18</v>
      </c>
      <c r="E3282">
        <v>878.85</v>
      </c>
      <c r="F3282">
        <v>588.26</v>
      </c>
      <c r="G3282">
        <v>3</v>
      </c>
      <c r="H3282">
        <f t="shared" si="306"/>
        <v>2636.55</v>
      </c>
      <c r="I3282">
        <f t="shared" si="310"/>
        <v>1764.78</v>
      </c>
      <c r="J3282">
        <f t="shared" si="307"/>
        <v>871.77000000000021</v>
      </c>
      <c r="K3282" s="8">
        <f t="shared" si="308"/>
        <v>0.3306480059168232</v>
      </c>
      <c r="L3282" t="str">
        <f t="shared" si="311"/>
        <v>2022-08</v>
      </c>
      <c r="M3282">
        <f t="shared" si="309"/>
        <v>871.77000000000021</v>
      </c>
    </row>
    <row r="3283" spans="1:13" x14ac:dyDescent="0.25">
      <c r="A3283" s="1">
        <v>45532</v>
      </c>
      <c r="B3283" t="s">
        <v>14</v>
      </c>
      <c r="C3283" t="s">
        <v>15</v>
      </c>
      <c r="D3283" t="s">
        <v>13</v>
      </c>
      <c r="E3283">
        <v>1528.01</v>
      </c>
      <c r="F3283">
        <v>1230.77</v>
      </c>
      <c r="G3283">
        <v>4</v>
      </c>
      <c r="H3283">
        <f t="shared" si="306"/>
        <v>6112.04</v>
      </c>
      <c r="I3283">
        <f t="shared" si="310"/>
        <v>4923.08</v>
      </c>
      <c r="J3283">
        <f t="shared" si="307"/>
        <v>1188.96</v>
      </c>
      <c r="K3283" s="8">
        <f t="shared" si="308"/>
        <v>0.19452752272563661</v>
      </c>
      <c r="L3283" t="str">
        <f t="shared" si="311"/>
        <v>2024-08</v>
      </c>
      <c r="M3283">
        <f t="shared" si="309"/>
        <v>1188.96</v>
      </c>
    </row>
    <row r="3284" spans="1:13" x14ac:dyDescent="0.25">
      <c r="A3284" s="1">
        <v>45049</v>
      </c>
      <c r="B3284" t="s">
        <v>24</v>
      </c>
      <c r="C3284" t="s">
        <v>20</v>
      </c>
      <c r="D3284" t="s">
        <v>18</v>
      </c>
      <c r="E3284">
        <v>772.76</v>
      </c>
      <c r="F3284">
        <v>406.56</v>
      </c>
      <c r="G3284">
        <v>2</v>
      </c>
      <c r="H3284">
        <f t="shared" si="306"/>
        <v>1545.52</v>
      </c>
      <c r="I3284">
        <f t="shared" si="310"/>
        <v>813.12</v>
      </c>
      <c r="J3284">
        <f t="shared" si="307"/>
        <v>732.4</v>
      </c>
      <c r="K3284" s="8">
        <f t="shared" si="308"/>
        <v>0.4738858118950256</v>
      </c>
      <c r="L3284" t="str">
        <f t="shared" si="311"/>
        <v>2023-05</v>
      </c>
      <c r="M3284">
        <f t="shared" si="309"/>
        <v>732.4</v>
      </c>
    </row>
    <row r="3285" spans="1:13" x14ac:dyDescent="0.25">
      <c r="A3285" s="1">
        <v>45654</v>
      </c>
      <c r="B3285" t="s">
        <v>22</v>
      </c>
      <c r="C3285" t="s">
        <v>8</v>
      </c>
      <c r="D3285" t="s">
        <v>13</v>
      </c>
      <c r="E3285">
        <v>1691.08</v>
      </c>
      <c r="F3285">
        <v>1405.62</v>
      </c>
      <c r="G3285">
        <v>10</v>
      </c>
      <c r="H3285">
        <f t="shared" si="306"/>
        <v>16910.8</v>
      </c>
      <c r="I3285">
        <f t="shared" si="310"/>
        <v>14056.199999999999</v>
      </c>
      <c r="J3285">
        <f t="shared" si="307"/>
        <v>2854.6000000000004</v>
      </c>
      <c r="K3285" s="8">
        <f t="shared" si="308"/>
        <v>0.16880336826170261</v>
      </c>
      <c r="L3285" t="str">
        <f t="shared" si="311"/>
        <v>2024-12</v>
      </c>
      <c r="M3285">
        <f t="shared" si="309"/>
        <v>2854.6000000000004</v>
      </c>
    </row>
    <row r="3286" spans="1:13" x14ac:dyDescent="0.25">
      <c r="A3286" s="1">
        <v>45010</v>
      </c>
      <c r="B3286" t="s">
        <v>19</v>
      </c>
      <c r="C3286" t="s">
        <v>20</v>
      </c>
      <c r="D3286" t="s">
        <v>13</v>
      </c>
      <c r="E3286">
        <v>393.99</v>
      </c>
      <c r="F3286">
        <v>288.98</v>
      </c>
      <c r="G3286">
        <v>8</v>
      </c>
      <c r="H3286">
        <f t="shared" si="306"/>
        <v>3151.92</v>
      </c>
      <c r="I3286">
        <f t="shared" si="310"/>
        <v>2311.84</v>
      </c>
      <c r="J3286">
        <f t="shared" si="307"/>
        <v>840.07999999999993</v>
      </c>
      <c r="K3286" s="8">
        <f t="shared" si="308"/>
        <v>0.26652960735044035</v>
      </c>
      <c r="L3286" t="str">
        <f t="shared" si="311"/>
        <v>2023-03</v>
      </c>
      <c r="M3286">
        <f t="shared" si="309"/>
        <v>840.07999999999993</v>
      </c>
    </row>
    <row r="3287" spans="1:13" x14ac:dyDescent="0.25">
      <c r="A3287" s="1">
        <v>45632</v>
      </c>
      <c r="B3287" t="s">
        <v>24</v>
      </c>
      <c r="C3287" t="s">
        <v>20</v>
      </c>
      <c r="D3287" t="s">
        <v>18</v>
      </c>
      <c r="E3287">
        <v>792.67</v>
      </c>
      <c r="F3287">
        <v>600.21</v>
      </c>
      <c r="G3287">
        <v>8</v>
      </c>
      <c r="H3287">
        <f t="shared" si="306"/>
        <v>6341.36</v>
      </c>
      <c r="I3287">
        <f t="shared" si="310"/>
        <v>4801.68</v>
      </c>
      <c r="J3287">
        <f t="shared" si="307"/>
        <v>1539.6799999999994</v>
      </c>
      <c r="K3287" s="8">
        <f t="shared" si="308"/>
        <v>0.24279965180970636</v>
      </c>
      <c r="L3287" t="str">
        <f t="shared" si="311"/>
        <v>2024-12</v>
      </c>
      <c r="M3287">
        <f t="shared" si="309"/>
        <v>1539.6799999999994</v>
      </c>
    </row>
    <row r="3288" spans="1:13" x14ac:dyDescent="0.25">
      <c r="A3288" s="1">
        <v>45013</v>
      </c>
      <c r="B3288" t="s">
        <v>7</v>
      </c>
      <c r="C3288" t="s">
        <v>8</v>
      </c>
      <c r="D3288" t="s">
        <v>17</v>
      </c>
      <c r="E3288">
        <v>668.52</v>
      </c>
      <c r="F3288">
        <v>360.37</v>
      </c>
      <c r="G3288">
        <v>4</v>
      </c>
      <c r="H3288">
        <f t="shared" si="306"/>
        <v>2674.08</v>
      </c>
      <c r="I3288">
        <f t="shared" si="310"/>
        <v>1441.48</v>
      </c>
      <c r="J3288">
        <f t="shared" si="307"/>
        <v>1232.5999999999999</v>
      </c>
      <c r="K3288" s="8">
        <f t="shared" si="308"/>
        <v>0.46094357685633935</v>
      </c>
      <c r="L3288" t="str">
        <f t="shared" si="311"/>
        <v>2023-03</v>
      </c>
      <c r="M3288">
        <f t="shared" si="309"/>
        <v>1232.5999999999999</v>
      </c>
    </row>
    <row r="3289" spans="1:13" x14ac:dyDescent="0.25">
      <c r="A3289" s="1">
        <v>45234</v>
      </c>
      <c r="B3289" t="s">
        <v>25</v>
      </c>
      <c r="C3289" t="s">
        <v>15</v>
      </c>
      <c r="D3289" t="s">
        <v>17</v>
      </c>
      <c r="E3289">
        <v>566.20000000000005</v>
      </c>
      <c r="F3289">
        <v>437.17</v>
      </c>
      <c r="G3289">
        <v>1</v>
      </c>
      <c r="H3289">
        <f t="shared" si="306"/>
        <v>566.20000000000005</v>
      </c>
      <c r="I3289">
        <f t="shared" si="310"/>
        <v>437.17</v>
      </c>
      <c r="J3289">
        <f t="shared" si="307"/>
        <v>129.03000000000003</v>
      </c>
      <c r="K3289" s="8">
        <f t="shared" si="308"/>
        <v>0.22788767220063585</v>
      </c>
      <c r="L3289" t="str">
        <f t="shared" si="311"/>
        <v>2023-11</v>
      </c>
      <c r="M3289">
        <f t="shared" si="309"/>
        <v>129.03000000000003</v>
      </c>
    </row>
    <row r="3290" spans="1:13" x14ac:dyDescent="0.25">
      <c r="A3290" s="1">
        <v>44649</v>
      </c>
      <c r="B3290" t="s">
        <v>21</v>
      </c>
      <c r="C3290" t="s">
        <v>20</v>
      </c>
      <c r="D3290" t="s">
        <v>17</v>
      </c>
      <c r="E3290">
        <v>587.54999999999995</v>
      </c>
      <c r="F3290">
        <v>449.85</v>
      </c>
      <c r="G3290">
        <v>6</v>
      </c>
      <c r="H3290">
        <f t="shared" si="306"/>
        <v>3525.2999999999997</v>
      </c>
      <c r="I3290">
        <f t="shared" si="310"/>
        <v>2699.1000000000004</v>
      </c>
      <c r="J3290">
        <f t="shared" si="307"/>
        <v>826.19999999999936</v>
      </c>
      <c r="K3290" s="8">
        <f t="shared" si="308"/>
        <v>0.23436303293336722</v>
      </c>
      <c r="L3290" t="str">
        <f t="shared" si="311"/>
        <v>2022-03</v>
      </c>
      <c r="M3290">
        <f t="shared" si="309"/>
        <v>826.19999999999936</v>
      </c>
    </row>
    <row r="3291" spans="1:13" x14ac:dyDescent="0.25">
      <c r="A3291" s="1">
        <v>44811</v>
      </c>
      <c r="B3291" t="s">
        <v>19</v>
      </c>
      <c r="C3291" t="s">
        <v>20</v>
      </c>
      <c r="D3291" t="s">
        <v>9</v>
      </c>
      <c r="E3291">
        <v>1511.17</v>
      </c>
      <c r="F3291">
        <v>1279.58</v>
      </c>
      <c r="G3291">
        <v>7</v>
      </c>
      <c r="H3291">
        <f t="shared" si="306"/>
        <v>10578.19</v>
      </c>
      <c r="I3291">
        <f t="shared" si="310"/>
        <v>8957.06</v>
      </c>
      <c r="J3291">
        <f t="shared" si="307"/>
        <v>1621.130000000001</v>
      </c>
      <c r="K3291" s="8">
        <f t="shared" si="308"/>
        <v>0.15325211591018889</v>
      </c>
      <c r="L3291" t="str">
        <f t="shared" si="311"/>
        <v>2022-09</v>
      </c>
      <c r="M3291">
        <f t="shared" si="309"/>
        <v>1621.130000000001</v>
      </c>
    </row>
    <row r="3292" spans="1:13" x14ac:dyDescent="0.25">
      <c r="A3292" s="1">
        <v>45096</v>
      </c>
      <c r="B3292" t="s">
        <v>10</v>
      </c>
      <c r="C3292" t="s">
        <v>11</v>
      </c>
      <c r="D3292" t="s">
        <v>13</v>
      </c>
      <c r="E3292">
        <v>1439.62</v>
      </c>
      <c r="F3292">
        <v>878.69</v>
      </c>
      <c r="G3292">
        <v>3</v>
      </c>
      <c r="H3292">
        <f t="shared" si="306"/>
        <v>4318.8599999999997</v>
      </c>
      <c r="I3292">
        <f t="shared" si="310"/>
        <v>2636.07</v>
      </c>
      <c r="J3292">
        <f t="shared" si="307"/>
        <v>1682.7899999999995</v>
      </c>
      <c r="K3292" s="8">
        <f t="shared" si="308"/>
        <v>0.38963754324057731</v>
      </c>
      <c r="L3292" t="str">
        <f t="shared" si="311"/>
        <v>2023-06</v>
      </c>
      <c r="M3292">
        <f t="shared" si="309"/>
        <v>1682.7899999999995</v>
      </c>
    </row>
    <row r="3293" spans="1:13" x14ac:dyDescent="0.25">
      <c r="A3293" s="1">
        <v>45135</v>
      </c>
      <c r="B3293" t="s">
        <v>14</v>
      </c>
      <c r="C3293" t="s">
        <v>15</v>
      </c>
      <c r="D3293" t="s">
        <v>17</v>
      </c>
      <c r="E3293">
        <v>1939.42</v>
      </c>
      <c r="F3293">
        <v>1396.01</v>
      </c>
      <c r="G3293">
        <v>5</v>
      </c>
      <c r="H3293">
        <f t="shared" si="306"/>
        <v>9697.1</v>
      </c>
      <c r="I3293">
        <f t="shared" si="310"/>
        <v>6980.05</v>
      </c>
      <c r="J3293">
        <f t="shared" si="307"/>
        <v>2717.05</v>
      </c>
      <c r="K3293" s="8">
        <f t="shared" si="308"/>
        <v>0.28019201616978273</v>
      </c>
      <c r="L3293" t="str">
        <f t="shared" si="311"/>
        <v>2023-07</v>
      </c>
      <c r="M3293">
        <f t="shared" si="309"/>
        <v>2717.05</v>
      </c>
    </row>
    <row r="3294" spans="1:13" x14ac:dyDescent="0.25">
      <c r="A3294" s="1">
        <v>45024</v>
      </c>
      <c r="B3294" t="s">
        <v>14</v>
      </c>
      <c r="C3294" t="s">
        <v>15</v>
      </c>
      <c r="D3294" t="s">
        <v>17</v>
      </c>
      <c r="E3294">
        <v>1464.09</v>
      </c>
      <c r="F3294">
        <v>1157.29</v>
      </c>
      <c r="G3294">
        <v>8</v>
      </c>
      <c r="H3294">
        <f t="shared" si="306"/>
        <v>11712.72</v>
      </c>
      <c r="I3294">
        <f t="shared" si="310"/>
        <v>9258.32</v>
      </c>
      <c r="J3294">
        <f t="shared" si="307"/>
        <v>2454.3999999999996</v>
      </c>
      <c r="K3294" s="8">
        <f t="shared" si="308"/>
        <v>0.20954995936042181</v>
      </c>
      <c r="L3294" t="str">
        <f t="shared" si="311"/>
        <v>2023-04</v>
      </c>
      <c r="M3294">
        <f t="shared" si="309"/>
        <v>2454.3999999999996</v>
      </c>
    </row>
    <row r="3295" spans="1:13" x14ac:dyDescent="0.25">
      <c r="A3295" s="1">
        <v>44983</v>
      </c>
      <c r="B3295" t="s">
        <v>22</v>
      </c>
      <c r="C3295" t="s">
        <v>8</v>
      </c>
      <c r="D3295" t="s">
        <v>9</v>
      </c>
      <c r="E3295">
        <v>158.72</v>
      </c>
      <c r="F3295">
        <v>133.03</v>
      </c>
      <c r="G3295">
        <v>7</v>
      </c>
      <c r="H3295">
        <f t="shared" si="306"/>
        <v>1111.04</v>
      </c>
      <c r="I3295">
        <f t="shared" si="310"/>
        <v>931.21</v>
      </c>
      <c r="J3295">
        <f t="shared" si="307"/>
        <v>179.82999999999993</v>
      </c>
      <c r="K3295" s="8">
        <f t="shared" si="308"/>
        <v>0.16185735887096769</v>
      </c>
      <c r="L3295" t="str">
        <f t="shared" si="311"/>
        <v>2023-02</v>
      </c>
      <c r="M3295">
        <f t="shared" si="309"/>
        <v>179.82999999999993</v>
      </c>
    </row>
    <row r="3296" spans="1:13" x14ac:dyDescent="0.25">
      <c r="A3296" s="1">
        <v>45318</v>
      </c>
      <c r="B3296" t="s">
        <v>10</v>
      </c>
      <c r="C3296" t="s">
        <v>11</v>
      </c>
      <c r="D3296" t="s">
        <v>17</v>
      </c>
      <c r="E3296">
        <v>1525.13</v>
      </c>
      <c r="F3296">
        <v>989.68</v>
      </c>
      <c r="G3296">
        <v>9</v>
      </c>
      <c r="H3296">
        <f t="shared" si="306"/>
        <v>13726.170000000002</v>
      </c>
      <c r="I3296">
        <f t="shared" si="310"/>
        <v>8907.119999999999</v>
      </c>
      <c r="J3296">
        <f t="shared" si="307"/>
        <v>4819.0500000000029</v>
      </c>
      <c r="K3296" s="8">
        <f t="shared" si="308"/>
        <v>0.35108482555585441</v>
      </c>
      <c r="L3296" t="str">
        <f t="shared" si="311"/>
        <v>2024-01</v>
      </c>
      <c r="M3296">
        <f t="shared" si="309"/>
        <v>4819.0500000000029</v>
      </c>
    </row>
    <row r="3297" spans="1:13" x14ac:dyDescent="0.25">
      <c r="A3297" s="1">
        <v>45147</v>
      </c>
      <c r="B3297" t="s">
        <v>19</v>
      </c>
      <c r="C3297" t="s">
        <v>20</v>
      </c>
      <c r="D3297" t="s">
        <v>18</v>
      </c>
      <c r="E3297">
        <v>641.1</v>
      </c>
      <c r="F3297">
        <v>536.84</v>
      </c>
      <c r="G3297">
        <v>9</v>
      </c>
      <c r="H3297">
        <f t="shared" si="306"/>
        <v>5769.9000000000005</v>
      </c>
      <c r="I3297">
        <f t="shared" si="310"/>
        <v>4831.5600000000004</v>
      </c>
      <c r="J3297">
        <f t="shared" si="307"/>
        <v>938.34000000000015</v>
      </c>
      <c r="K3297" s="8">
        <f t="shared" si="308"/>
        <v>0.16262673529870536</v>
      </c>
      <c r="L3297" t="str">
        <f t="shared" si="311"/>
        <v>2023-08</v>
      </c>
      <c r="M3297">
        <f t="shared" si="309"/>
        <v>938.34000000000015</v>
      </c>
    </row>
    <row r="3298" spans="1:13" x14ac:dyDescent="0.25">
      <c r="A3298" s="1">
        <v>44972</v>
      </c>
      <c r="B3298" t="s">
        <v>16</v>
      </c>
      <c r="C3298" t="s">
        <v>15</v>
      </c>
      <c r="D3298" t="s">
        <v>13</v>
      </c>
      <c r="E3298">
        <v>1734.26</v>
      </c>
      <c r="F3298">
        <v>958.67</v>
      </c>
      <c r="G3298">
        <v>1</v>
      </c>
      <c r="H3298">
        <f t="shared" si="306"/>
        <v>1734.26</v>
      </c>
      <c r="I3298">
        <f t="shared" si="310"/>
        <v>958.67</v>
      </c>
      <c r="J3298">
        <f t="shared" si="307"/>
        <v>775.59</v>
      </c>
      <c r="K3298" s="8">
        <f t="shared" si="308"/>
        <v>0.44721668031321721</v>
      </c>
      <c r="L3298" t="str">
        <f t="shared" si="311"/>
        <v>2023-02</v>
      </c>
      <c r="M3298">
        <f t="shared" si="309"/>
        <v>775.59</v>
      </c>
    </row>
    <row r="3299" spans="1:13" x14ac:dyDescent="0.25">
      <c r="A3299" s="1">
        <v>44722</v>
      </c>
      <c r="B3299" t="s">
        <v>10</v>
      </c>
      <c r="C3299" t="s">
        <v>11</v>
      </c>
      <c r="D3299" t="s">
        <v>18</v>
      </c>
      <c r="E3299">
        <v>148.26</v>
      </c>
      <c r="F3299">
        <v>131.78</v>
      </c>
      <c r="G3299">
        <v>2</v>
      </c>
      <c r="H3299">
        <f t="shared" si="306"/>
        <v>296.52</v>
      </c>
      <c r="I3299">
        <f t="shared" si="310"/>
        <v>263.56</v>
      </c>
      <c r="J3299">
        <f t="shared" si="307"/>
        <v>32.95999999999998</v>
      </c>
      <c r="K3299" s="8">
        <f t="shared" si="308"/>
        <v>0.11115607716174282</v>
      </c>
      <c r="L3299" t="str">
        <f t="shared" si="311"/>
        <v>2022-06</v>
      </c>
      <c r="M3299">
        <f t="shared" si="309"/>
        <v>32.95999999999998</v>
      </c>
    </row>
    <row r="3300" spans="1:13" x14ac:dyDescent="0.25">
      <c r="A3300" s="1">
        <v>45559</v>
      </c>
      <c r="B3300" t="s">
        <v>7</v>
      </c>
      <c r="C3300" t="s">
        <v>8</v>
      </c>
      <c r="D3300" t="s">
        <v>18</v>
      </c>
      <c r="E3300">
        <v>1109.52</v>
      </c>
      <c r="F3300">
        <v>640.91</v>
      </c>
      <c r="G3300">
        <v>3</v>
      </c>
      <c r="H3300">
        <f t="shared" si="306"/>
        <v>3328.56</v>
      </c>
      <c r="I3300">
        <f t="shared" si="310"/>
        <v>1922.73</v>
      </c>
      <c r="J3300">
        <f t="shared" si="307"/>
        <v>1405.83</v>
      </c>
      <c r="K3300" s="8">
        <f t="shared" si="308"/>
        <v>0.42235381065686062</v>
      </c>
      <c r="L3300" t="str">
        <f t="shared" si="311"/>
        <v>2024-09</v>
      </c>
      <c r="M3300">
        <f t="shared" si="309"/>
        <v>1405.83</v>
      </c>
    </row>
    <row r="3301" spans="1:13" x14ac:dyDescent="0.25">
      <c r="A3301" s="1">
        <v>44982</v>
      </c>
      <c r="B3301" t="s">
        <v>14</v>
      </c>
      <c r="C3301" t="s">
        <v>15</v>
      </c>
      <c r="D3301" t="s">
        <v>18</v>
      </c>
      <c r="E3301">
        <v>240.5</v>
      </c>
      <c r="F3301">
        <v>181.17</v>
      </c>
      <c r="G3301">
        <v>1</v>
      </c>
      <c r="H3301">
        <f t="shared" si="306"/>
        <v>240.5</v>
      </c>
      <c r="I3301">
        <f t="shared" si="310"/>
        <v>181.17</v>
      </c>
      <c r="J3301">
        <f t="shared" si="307"/>
        <v>59.330000000000013</v>
      </c>
      <c r="K3301" s="8">
        <f t="shared" si="308"/>
        <v>0.24669438669438676</v>
      </c>
      <c r="L3301" t="str">
        <f t="shared" si="311"/>
        <v>2023-02</v>
      </c>
      <c r="M3301">
        <f t="shared" si="309"/>
        <v>59.330000000000013</v>
      </c>
    </row>
    <row r="3302" spans="1:13" x14ac:dyDescent="0.25">
      <c r="A3302" s="1">
        <v>45084</v>
      </c>
      <c r="B3302" t="s">
        <v>7</v>
      </c>
      <c r="C3302" t="s">
        <v>8</v>
      </c>
      <c r="D3302" t="s">
        <v>18</v>
      </c>
      <c r="E3302">
        <v>704.33</v>
      </c>
      <c r="F3302">
        <v>616.16</v>
      </c>
      <c r="G3302">
        <v>10</v>
      </c>
      <c r="H3302">
        <f t="shared" si="306"/>
        <v>7043.3</v>
      </c>
      <c r="I3302">
        <f t="shared" si="310"/>
        <v>6161.5999999999995</v>
      </c>
      <c r="J3302">
        <f t="shared" si="307"/>
        <v>881.70000000000073</v>
      </c>
      <c r="K3302" s="8">
        <f t="shared" si="308"/>
        <v>0.12518279783624164</v>
      </c>
      <c r="L3302" t="str">
        <f t="shared" si="311"/>
        <v>2023-06</v>
      </c>
      <c r="M3302">
        <f t="shared" si="309"/>
        <v>881.70000000000073</v>
      </c>
    </row>
    <row r="3303" spans="1:13" x14ac:dyDescent="0.25">
      <c r="A3303" s="1">
        <v>45390</v>
      </c>
      <c r="B3303" t="s">
        <v>12</v>
      </c>
      <c r="C3303" t="s">
        <v>8</v>
      </c>
      <c r="D3303" t="s">
        <v>13</v>
      </c>
      <c r="E3303">
        <v>1965.63</v>
      </c>
      <c r="F3303">
        <v>1296.8399999999999</v>
      </c>
      <c r="G3303">
        <v>4</v>
      </c>
      <c r="H3303">
        <f t="shared" si="306"/>
        <v>7862.52</v>
      </c>
      <c r="I3303">
        <f t="shared" si="310"/>
        <v>5187.3599999999997</v>
      </c>
      <c r="J3303">
        <f t="shared" si="307"/>
        <v>2675.1600000000008</v>
      </c>
      <c r="K3303" s="8">
        <f t="shared" si="308"/>
        <v>0.34024205979762223</v>
      </c>
      <c r="L3303" t="str">
        <f t="shared" si="311"/>
        <v>2024-04</v>
      </c>
      <c r="M3303">
        <f t="shared" si="309"/>
        <v>2675.1600000000008</v>
      </c>
    </row>
    <row r="3304" spans="1:13" x14ac:dyDescent="0.25">
      <c r="A3304" s="1">
        <v>45361</v>
      </c>
      <c r="B3304" t="s">
        <v>22</v>
      </c>
      <c r="C3304" t="s">
        <v>8</v>
      </c>
      <c r="D3304" t="s">
        <v>18</v>
      </c>
      <c r="E3304">
        <v>1908.93</v>
      </c>
      <c r="F3304">
        <v>1092.25</v>
      </c>
      <c r="G3304">
        <v>9</v>
      </c>
      <c r="H3304">
        <f t="shared" si="306"/>
        <v>17180.37</v>
      </c>
      <c r="I3304">
        <f t="shared" si="310"/>
        <v>9830.25</v>
      </c>
      <c r="J3304">
        <f t="shared" si="307"/>
        <v>7350.119999999999</v>
      </c>
      <c r="K3304" s="8">
        <f t="shared" si="308"/>
        <v>0.42782082108825359</v>
      </c>
      <c r="L3304" t="str">
        <f t="shared" si="311"/>
        <v>2024-03</v>
      </c>
      <c r="M3304">
        <f t="shared" si="309"/>
        <v>7350.119999999999</v>
      </c>
    </row>
    <row r="3305" spans="1:13" x14ac:dyDescent="0.25">
      <c r="A3305" s="1">
        <v>45282</v>
      </c>
      <c r="B3305" t="s">
        <v>23</v>
      </c>
      <c r="C3305" t="s">
        <v>11</v>
      </c>
      <c r="D3305" t="s">
        <v>17</v>
      </c>
      <c r="E3305">
        <v>673.65</v>
      </c>
      <c r="F3305">
        <v>445.36</v>
      </c>
      <c r="G3305">
        <v>9</v>
      </c>
      <c r="H3305">
        <f t="shared" si="306"/>
        <v>6062.8499999999995</v>
      </c>
      <c r="I3305">
        <f t="shared" si="310"/>
        <v>4008.2400000000002</v>
      </c>
      <c r="J3305">
        <f t="shared" si="307"/>
        <v>2054.6099999999992</v>
      </c>
      <c r="K3305" s="8">
        <f t="shared" si="308"/>
        <v>0.3388851777629332</v>
      </c>
      <c r="L3305" t="str">
        <f t="shared" si="311"/>
        <v>2023-12</v>
      </c>
      <c r="M3305">
        <f t="shared" si="309"/>
        <v>2054.6099999999992</v>
      </c>
    </row>
    <row r="3306" spans="1:13" x14ac:dyDescent="0.25">
      <c r="A3306" s="1">
        <v>44596</v>
      </c>
      <c r="B3306" t="s">
        <v>23</v>
      </c>
      <c r="C3306" t="s">
        <v>11</v>
      </c>
      <c r="D3306" t="s">
        <v>13</v>
      </c>
      <c r="E3306">
        <v>1296.74</v>
      </c>
      <c r="F3306">
        <v>749.57</v>
      </c>
      <c r="G3306">
        <v>1</v>
      </c>
      <c r="H3306">
        <f t="shared" si="306"/>
        <v>1296.74</v>
      </c>
      <c r="I3306">
        <f t="shared" si="310"/>
        <v>749.57</v>
      </c>
      <c r="J3306">
        <f t="shared" si="307"/>
        <v>547.16999999999996</v>
      </c>
      <c r="K3306" s="8">
        <f t="shared" si="308"/>
        <v>0.42195814118481728</v>
      </c>
      <c r="L3306" t="str">
        <f t="shared" si="311"/>
        <v>2022-02</v>
      </c>
      <c r="M3306">
        <f t="shared" si="309"/>
        <v>547.16999999999996</v>
      </c>
    </row>
    <row r="3307" spans="1:13" x14ac:dyDescent="0.25">
      <c r="A3307" s="1">
        <v>44744</v>
      </c>
      <c r="B3307" t="s">
        <v>10</v>
      </c>
      <c r="C3307" t="s">
        <v>11</v>
      </c>
      <c r="D3307" t="s">
        <v>13</v>
      </c>
      <c r="E3307">
        <v>694.58</v>
      </c>
      <c r="F3307">
        <v>402.08</v>
      </c>
      <c r="G3307">
        <v>9</v>
      </c>
      <c r="H3307">
        <f t="shared" si="306"/>
        <v>6251.22</v>
      </c>
      <c r="I3307">
        <f t="shared" si="310"/>
        <v>3618.72</v>
      </c>
      <c r="J3307">
        <f t="shared" si="307"/>
        <v>2632.5000000000005</v>
      </c>
      <c r="K3307" s="8">
        <f t="shared" si="308"/>
        <v>0.42111779780586833</v>
      </c>
      <c r="L3307" t="str">
        <f t="shared" si="311"/>
        <v>2022-07</v>
      </c>
      <c r="M3307">
        <f t="shared" si="309"/>
        <v>2632.5000000000005</v>
      </c>
    </row>
    <row r="3308" spans="1:13" x14ac:dyDescent="0.25">
      <c r="A3308" s="1">
        <v>44911</v>
      </c>
      <c r="B3308" t="s">
        <v>22</v>
      </c>
      <c r="C3308" t="s">
        <v>8</v>
      </c>
      <c r="D3308" t="s">
        <v>9</v>
      </c>
      <c r="E3308">
        <v>43.35</v>
      </c>
      <c r="F3308">
        <v>26.45</v>
      </c>
      <c r="G3308">
        <v>3</v>
      </c>
      <c r="H3308">
        <f t="shared" si="306"/>
        <v>130.05000000000001</v>
      </c>
      <c r="I3308">
        <f t="shared" si="310"/>
        <v>79.349999999999994</v>
      </c>
      <c r="J3308">
        <f t="shared" si="307"/>
        <v>50.700000000000017</v>
      </c>
      <c r="K3308" s="8">
        <f t="shared" si="308"/>
        <v>0.38985005767012698</v>
      </c>
      <c r="L3308" t="str">
        <f t="shared" si="311"/>
        <v>2022-12</v>
      </c>
      <c r="M3308">
        <f t="shared" si="309"/>
        <v>50.700000000000017</v>
      </c>
    </row>
    <row r="3309" spans="1:13" x14ac:dyDescent="0.25">
      <c r="A3309" s="1">
        <v>45107</v>
      </c>
      <c r="B3309" t="s">
        <v>24</v>
      </c>
      <c r="C3309" t="s">
        <v>20</v>
      </c>
      <c r="D3309" t="s">
        <v>9</v>
      </c>
      <c r="E3309">
        <v>546.29</v>
      </c>
      <c r="F3309">
        <v>365.25</v>
      </c>
      <c r="G3309">
        <v>4</v>
      </c>
      <c r="H3309">
        <f t="shared" si="306"/>
        <v>2185.16</v>
      </c>
      <c r="I3309">
        <f t="shared" si="310"/>
        <v>1461</v>
      </c>
      <c r="J3309">
        <f t="shared" si="307"/>
        <v>724.15999999999985</v>
      </c>
      <c r="K3309" s="8">
        <f t="shared" si="308"/>
        <v>0.33139907375203642</v>
      </c>
      <c r="L3309" t="str">
        <f t="shared" si="311"/>
        <v>2023-06</v>
      </c>
      <c r="M3309">
        <f t="shared" si="309"/>
        <v>724.15999999999985</v>
      </c>
    </row>
    <row r="3310" spans="1:13" x14ac:dyDescent="0.25">
      <c r="A3310" s="1">
        <v>44854</v>
      </c>
      <c r="B3310" t="s">
        <v>10</v>
      </c>
      <c r="C3310" t="s">
        <v>11</v>
      </c>
      <c r="D3310" t="s">
        <v>13</v>
      </c>
      <c r="E3310">
        <v>1008.73</v>
      </c>
      <c r="F3310">
        <v>574.03</v>
      </c>
      <c r="G3310">
        <v>9</v>
      </c>
      <c r="H3310">
        <f t="shared" si="306"/>
        <v>9078.57</v>
      </c>
      <c r="I3310">
        <f t="shared" si="310"/>
        <v>5166.2699999999995</v>
      </c>
      <c r="J3310">
        <f t="shared" si="307"/>
        <v>3912.3</v>
      </c>
      <c r="K3310" s="8">
        <f t="shared" si="308"/>
        <v>0.43093791202799564</v>
      </c>
      <c r="L3310" t="str">
        <f t="shared" si="311"/>
        <v>2022-10</v>
      </c>
      <c r="M3310">
        <f t="shared" si="309"/>
        <v>3912.3</v>
      </c>
    </row>
    <row r="3311" spans="1:13" x14ac:dyDescent="0.25">
      <c r="A3311" s="1">
        <v>45344</v>
      </c>
      <c r="B3311" t="s">
        <v>23</v>
      </c>
      <c r="C3311" t="s">
        <v>11</v>
      </c>
      <c r="D3311" t="s">
        <v>9</v>
      </c>
      <c r="E3311">
        <v>1335.35</v>
      </c>
      <c r="F3311">
        <v>980.85</v>
      </c>
      <c r="G3311">
        <v>7</v>
      </c>
      <c r="H3311">
        <f t="shared" si="306"/>
        <v>9347.4499999999989</v>
      </c>
      <c r="I3311">
        <f t="shared" si="310"/>
        <v>6865.95</v>
      </c>
      <c r="J3311">
        <f t="shared" si="307"/>
        <v>2481.4999999999991</v>
      </c>
      <c r="K3311" s="8">
        <f t="shared" si="308"/>
        <v>0.26547347137454591</v>
      </c>
      <c r="L3311" t="str">
        <f t="shared" si="311"/>
        <v>2024-02</v>
      </c>
      <c r="M3311">
        <f t="shared" si="309"/>
        <v>2481.4999999999991</v>
      </c>
    </row>
    <row r="3312" spans="1:13" x14ac:dyDescent="0.25">
      <c r="A3312" s="1">
        <v>44953</v>
      </c>
      <c r="B3312" t="s">
        <v>22</v>
      </c>
      <c r="C3312" t="s">
        <v>8</v>
      </c>
      <c r="D3312" t="s">
        <v>13</v>
      </c>
      <c r="E3312">
        <v>417.21</v>
      </c>
      <c r="F3312">
        <v>242.68</v>
      </c>
      <c r="G3312">
        <v>10</v>
      </c>
      <c r="H3312">
        <f t="shared" si="306"/>
        <v>4172.0999999999995</v>
      </c>
      <c r="I3312">
        <f t="shared" si="310"/>
        <v>2426.8000000000002</v>
      </c>
      <c r="J3312">
        <f t="shared" si="307"/>
        <v>1745.2999999999993</v>
      </c>
      <c r="K3312" s="8">
        <f t="shared" si="308"/>
        <v>0.41832650224107754</v>
      </c>
      <c r="L3312" t="str">
        <f t="shared" si="311"/>
        <v>2023-01</v>
      </c>
      <c r="M3312">
        <f t="shared" si="309"/>
        <v>1745.2999999999993</v>
      </c>
    </row>
    <row r="3313" spans="1:13" x14ac:dyDescent="0.25">
      <c r="A3313" s="1">
        <v>45522</v>
      </c>
      <c r="B3313" t="s">
        <v>21</v>
      </c>
      <c r="C3313" t="s">
        <v>20</v>
      </c>
      <c r="D3313" t="s">
        <v>9</v>
      </c>
      <c r="E3313">
        <v>1367.02</v>
      </c>
      <c r="F3313">
        <v>780.83</v>
      </c>
      <c r="G3313">
        <v>5</v>
      </c>
      <c r="H3313">
        <f t="shared" si="306"/>
        <v>6835.1</v>
      </c>
      <c r="I3313">
        <f t="shared" si="310"/>
        <v>3904.15</v>
      </c>
      <c r="J3313">
        <f t="shared" si="307"/>
        <v>2930.9500000000003</v>
      </c>
      <c r="K3313" s="8">
        <f t="shared" si="308"/>
        <v>0.42880864947111236</v>
      </c>
      <c r="L3313" t="str">
        <f t="shared" si="311"/>
        <v>2024-08</v>
      </c>
      <c r="M3313">
        <f t="shared" si="309"/>
        <v>2930.9500000000003</v>
      </c>
    </row>
    <row r="3314" spans="1:13" x14ac:dyDescent="0.25">
      <c r="A3314" s="1">
        <v>44853</v>
      </c>
      <c r="B3314" t="s">
        <v>23</v>
      </c>
      <c r="C3314" t="s">
        <v>11</v>
      </c>
      <c r="D3314" t="s">
        <v>17</v>
      </c>
      <c r="E3314">
        <v>1999.67</v>
      </c>
      <c r="F3314">
        <v>1647.64</v>
      </c>
      <c r="G3314">
        <v>2</v>
      </c>
      <c r="H3314">
        <f t="shared" si="306"/>
        <v>3999.34</v>
      </c>
      <c r="I3314">
        <f t="shared" si="310"/>
        <v>3295.28</v>
      </c>
      <c r="J3314">
        <f t="shared" si="307"/>
        <v>704.06</v>
      </c>
      <c r="K3314" s="8">
        <f t="shared" si="308"/>
        <v>0.17604404726779915</v>
      </c>
      <c r="L3314" t="str">
        <f t="shared" si="311"/>
        <v>2022-10</v>
      </c>
      <c r="M3314">
        <f t="shared" si="309"/>
        <v>704.06</v>
      </c>
    </row>
    <row r="3315" spans="1:13" x14ac:dyDescent="0.25">
      <c r="A3315" s="1">
        <v>45094</v>
      </c>
      <c r="B3315" t="s">
        <v>23</v>
      </c>
      <c r="C3315" t="s">
        <v>11</v>
      </c>
      <c r="D3315" t="s">
        <v>13</v>
      </c>
      <c r="E3315">
        <v>730.58</v>
      </c>
      <c r="F3315">
        <v>367.05</v>
      </c>
      <c r="G3315">
        <v>5</v>
      </c>
      <c r="H3315">
        <f t="shared" si="306"/>
        <v>3652.9</v>
      </c>
      <c r="I3315">
        <f t="shared" si="310"/>
        <v>1835.25</v>
      </c>
      <c r="J3315">
        <f t="shared" si="307"/>
        <v>1817.65</v>
      </c>
      <c r="K3315" s="8">
        <f t="shared" si="308"/>
        <v>0.49759095513153934</v>
      </c>
      <c r="L3315" t="str">
        <f t="shared" si="311"/>
        <v>2023-06</v>
      </c>
      <c r="M3315">
        <f t="shared" si="309"/>
        <v>1817.65</v>
      </c>
    </row>
    <row r="3316" spans="1:13" x14ac:dyDescent="0.25">
      <c r="A3316" s="1">
        <v>45180</v>
      </c>
      <c r="B3316" t="s">
        <v>21</v>
      </c>
      <c r="C3316" t="s">
        <v>20</v>
      </c>
      <c r="D3316" t="s">
        <v>9</v>
      </c>
      <c r="E3316">
        <v>1175.2</v>
      </c>
      <c r="F3316">
        <v>623</v>
      </c>
      <c r="G3316">
        <v>6</v>
      </c>
      <c r="H3316">
        <f t="shared" si="306"/>
        <v>7051.2000000000007</v>
      </c>
      <c r="I3316">
        <f t="shared" si="310"/>
        <v>3738</v>
      </c>
      <c r="J3316">
        <f t="shared" si="307"/>
        <v>3313.2000000000007</v>
      </c>
      <c r="K3316" s="8">
        <f t="shared" si="308"/>
        <v>0.46987746766507832</v>
      </c>
      <c r="L3316" t="str">
        <f t="shared" si="311"/>
        <v>2023-09</v>
      </c>
      <c r="M3316">
        <f t="shared" si="309"/>
        <v>3313.2000000000007</v>
      </c>
    </row>
    <row r="3317" spans="1:13" x14ac:dyDescent="0.25">
      <c r="A3317" s="1">
        <v>45159</v>
      </c>
      <c r="B3317" t="s">
        <v>22</v>
      </c>
      <c r="C3317" t="s">
        <v>8</v>
      </c>
      <c r="D3317" t="s">
        <v>9</v>
      </c>
      <c r="E3317">
        <v>393.69</v>
      </c>
      <c r="F3317">
        <v>280.72000000000003</v>
      </c>
      <c r="G3317">
        <v>3</v>
      </c>
      <c r="H3317">
        <f t="shared" si="306"/>
        <v>1181.07</v>
      </c>
      <c r="I3317">
        <f t="shared" si="310"/>
        <v>842.16000000000008</v>
      </c>
      <c r="J3317">
        <f t="shared" si="307"/>
        <v>338.90999999999985</v>
      </c>
      <c r="K3317" s="8">
        <f t="shared" si="308"/>
        <v>0.28695166247555171</v>
      </c>
      <c r="L3317" t="str">
        <f t="shared" si="311"/>
        <v>2023-08</v>
      </c>
      <c r="M3317">
        <f t="shared" si="309"/>
        <v>338.90999999999985</v>
      </c>
    </row>
    <row r="3318" spans="1:13" x14ac:dyDescent="0.25">
      <c r="A3318" s="1">
        <v>44807</v>
      </c>
      <c r="B3318" t="s">
        <v>24</v>
      </c>
      <c r="C3318" t="s">
        <v>20</v>
      </c>
      <c r="D3318" t="s">
        <v>17</v>
      </c>
      <c r="E3318">
        <v>1141.51</v>
      </c>
      <c r="F3318">
        <v>735.05</v>
      </c>
      <c r="G3318">
        <v>10</v>
      </c>
      <c r="H3318">
        <f t="shared" si="306"/>
        <v>11415.1</v>
      </c>
      <c r="I3318">
        <f t="shared" si="310"/>
        <v>7350.5</v>
      </c>
      <c r="J3318">
        <f t="shared" si="307"/>
        <v>4064.6000000000004</v>
      </c>
      <c r="K3318" s="8">
        <f t="shared" si="308"/>
        <v>0.35607222012947765</v>
      </c>
      <c r="L3318" t="str">
        <f t="shared" si="311"/>
        <v>2022-09</v>
      </c>
      <c r="M3318">
        <f t="shared" si="309"/>
        <v>4064.6000000000004</v>
      </c>
    </row>
    <row r="3319" spans="1:13" x14ac:dyDescent="0.25">
      <c r="A3319" s="1">
        <v>44637</v>
      </c>
      <c r="B3319" t="s">
        <v>16</v>
      </c>
      <c r="C3319" t="s">
        <v>15</v>
      </c>
      <c r="D3319" t="s">
        <v>13</v>
      </c>
      <c r="E3319">
        <v>1834.94</v>
      </c>
      <c r="F3319">
        <v>1082.29</v>
      </c>
      <c r="G3319">
        <v>5</v>
      </c>
      <c r="H3319">
        <f t="shared" si="306"/>
        <v>9174.7000000000007</v>
      </c>
      <c r="I3319">
        <f t="shared" si="310"/>
        <v>5411.45</v>
      </c>
      <c r="J3319">
        <f t="shared" si="307"/>
        <v>3763.2500000000009</v>
      </c>
      <c r="K3319" s="8">
        <f t="shared" si="308"/>
        <v>0.41017689951715047</v>
      </c>
      <c r="L3319" t="str">
        <f t="shared" si="311"/>
        <v>2022-03</v>
      </c>
      <c r="M3319">
        <f t="shared" si="309"/>
        <v>3763.2500000000009</v>
      </c>
    </row>
    <row r="3320" spans="1:13" x14ac:dyDescent="0.25">
      <c r="A3320" s="1">
        <v>45439</v>
      </c>
      <c r="B3320" t="s">
        <v>22</v>
      </c>
      <c r="C3320" t="s">
        <v>8</v>
      </c>
      <c r="D3320" t="s">
        <v>18</v>
      </c>
      <c r="E3320">
        <v>31.51</v>
      </c>
      <c r="F3320">
        <v>28.35</v>
      </c>
      <c r="G3320">
        <v>7</v>
      </c>
      <c r="H3320">
        <f t="shared" si="306"/>
        <v>220.57000000000002</v>
      </c>
      <c r="I3320">
        <f t="shared" si="310"/>
        <v>198.45000000000002</v>
      </c>
      <c r="J3320">
        <f t="shared" si="307"/>
        <v>22.120000000000005</v>
      </c>
      <c r="K3320" s="8">
        <f t="shared" si="308"/>
        <v>0.1002856236115519</v>
      </c>
      <c r="L3320" t="str">
        <f t="shared" si="311"/>
        <v>2024-05</v>
      </c>
      <c r="M3320">
        <f t="shared" si="309"/>
        <v>22.120000000000005</v>
      </c>
    </row>
    <row r="3321" spans="1:13" x14ac:dyDescent="0.25">
      <c r="A3321" s="1">
        <v>45306</v>
      </c>
      <c r="B3321" t="s">
        <v>7</v>
      </c>
      <c r="C3321" t="s">
        <v>8</v>
      </c>
      <c r="D3321" t="s">
        <v>9</v>
      </c>
      <c r="E3321">
        <v>1383.5</v>
      </c>
      <c r="F3321">
        <v>766.77</v>
      </c>
      <c r="G3321">
        <v>1</v>
      </c>
      <c r="H3321">
        <f t="shared" si="306"/>
        <v>1383.5</v>
      </c>
      <c r="I3321">
        <f t="shared" si="310"/>
        <v>766.77</v>
      </c>
      <c r="J3321">
        <f t="shared" si="307"/>
        <v>616.73</v>
      </c>
      <c r="K3321" s="8">
        <f t="shared" si="308"/>
        <v>0.44577520780628843</v>
      </c>
      <c r="L3321" t="str">
        <f t="shared" si="311"/>
        <v>2024-01</v>
      </c>
      <c r="M3321">
        <f t="shared" si="309"/>
        <v>616.73</v>
      </c>
    </row>
    <row r="3322" spans="1:13" x14ac:dyDescent="0.25">
      <c r="A3322" s="1">
        <v>45327</v>
      </c>
      <c r="B3322" t="s">
        <v>24</v>
      </c>
      <c r="C3322" t="s">
        <v>20</v>
      </c>
      <c r="D3322" t="s">
        <v>17</v>
      </c>
      <c r="E3322">
        <v>373.63</v>
      </c>
      <c r="F3322">
        <v>304.39999999999998</v>
      </c>
      <c r="G3322">
        <v>10</v>
      </c>
      <c r="H3322">
        <f t="shared" si="306"/>
        <v>3736.3</v>
      </c>
      <c r="I3322">
        <f t="shared" si="310"/>
        <v>3044</v>
      </c>
      <c r="J3322">
        <f t="shared" si="307"/>
        <v>692.30000000000018</v>
      </c>
      <c r="K3322" s="8">
        <f t="shared" si="308"/>
        <v>0.18529026041806068</v>
      </c>
      <c r="L3322" t="str">
        <f t="shared" si="311"/>
        <v>2024-02</v>
      </c>
      <c r="M3322">
        <f t="shared" si="309"/>
        <v>692.30000000000018</v>
      </c>
    </row>
    <row r="3323" spans="1:13" x14ac:dyDescent="0.25">
      <c r="A3323" s="1">
        <v>45183</v>
      </c>
      <c r="B3323" t="s">
        <v>7</v>
      </c>
      <c r="C3323" t="s">
        <v>8</v>
      </c>
      <c r="D3323" t="s">
        <v>9</v>
      </c>
      <c r="E3323">
        <v>610.92999999999995</v>
      </c>
      <c r="F3323">
        <v>366.93</v>
      </c>
      <c r="G3323">
        <v>10</v>
      </c>
      <c r="H3323">
        <f t="shared" si="306"/>
        <v>6109.2999999999993</v>
      </c>
      <c r="I3323">
        <f t="shared" si="310"/>
        <v>3669.3</v>
      </c>
      <c r="J3323">
        <f t="shared" si="307"/>
        <v>2439.9999999999991</v>
      </c>
      <c r="K3323" s="8">
        <f t="shared" si="308"/>
        <v>0.39939109226916331</v>
      </c>
      <c r="L3323" t="str">
        <f t="shared" si="311"/>
        <v>2023-09</v>
      </c>
      <c r="M3323">
        <f t="shared" si="309"/>
        <v>2439.9999999999991</v>
      </c>
    </row>
    <row r="3324" spans="1:13" x14ac:dyDescent="0.25">
      <c r="A3324" s="1">
        <v>45352</v>
      </c>
      <c r="B3324" t="s">
        <v>16</v>
      </c>
      <c r="C3324" t="s">
        <v>15</v>
      </c>
      <c r="D3324" t="s">
        <v>9</v>
      </c>
      <c r="E3324">
        <v>595.88</v>
      </c>
      <c r="F3324">
        <v>486.43</v>
      </c>
      <c r="G3324">
        <v>6</v>
      </c>
      <c r="H3324">
        <f t="shared" si="306"/>
        <v>3575.2799999999997</v>
      </c>
      <c r="I3324">
        <f t="shared" si="310"/>
        <v>2918.58</v>
      </c>
      <c r="J3324">
        <f t="shared" si="307"/>
        <v>656.69999999999982</v>
      </c>
      <c r="K3324" s="8">
        <f t="shared" si="308"/>
        <v>0.18367792172920719</v>
      </c>
      <c r="L3324" t="str">
        <f t="shared" si="311"/>
        <v>2024-03</v>
      </c>
      <c r="M3324">
        <f t="shared" si="309"/>
        <v>656.69999999999982</v>
      </c>
    </row>
    <row r="3325" spans="1:13" x14ac:dyDescent="0.25">
      <c r="A3325" s="1">
        <v>45000</v>
      </c>
      <c r="B3325" t="s">
        <v>7</v>
      </c>
      <c r="C3325" t="s">
        <v>8</v>
      </c>
      <c r="D3325" t="s">
        <v>13</v>
      </c>
      <c r="E3325">
        <v>1415.4</v>
      </c>
      <c r="F3325">
        <v>1190.54</v>
      </c>
      <c r="G3325">
        <v>1</v>
      </c>
      <c r="H3325">
        <f t="shared" si="306"/>
        <v>1415.4</v>
      </c>
      <c r="I3325">
        <f t="shared" si="310"/>
        <v>1190.54</v>
      </c>
      <c r="J3325">
        <f t="shared" si="307"/>
        <v>224.86000000000013</v>
      </c>
      <c r="K3325" s="8">
        <f t="shared" si="308"/>
        <v>0.15886675144835391</v>
      </c>
      <c r="L3325" t="str">
        <f t="shared" si="311"/>
        <v>2023-03</v>
      </c>
      <c r="M3325">
        <f t="shared" si="309"/>
        <v>224.86000000000013</v>
      </c>
    </row>
    <row r="3326" spans="1:13" x14ac:dyDescent="0.25">
      <c r="A3326" s="1">
        <v>44906</v>
      </c>
      <c r="B3326" t="s">
        <v>24</v>
      </c>
      <c r="C3326" t="s">
        <v>20</v>
      </c>
      <c r="D3326" t="s">
        <v>17</v>
      </c>
      <c r="E3326">
        <v>1928.01</v>
      </c>
      <c r="F3326">
        <v>1480.33</v>
      </c>
      <c r="G3326">
        <v>9</v>
      </c>
      <c r="H3326">
        <f t="shared" si="306"/>
        <v>17352.09</v>
      </c>
      <c r="I3326">
        <f t="shared" si="310"/>
        <v>13322.97</v>
      </c>
      <c r="J3326">
        <f t="shared" si="307"/>
        <v>4029.1200000000008</v>
      </c>
      <c r="K3326" s="8">
        <f t="shared" si="308"/>
        <v>0.23219796577818586</v>
      </c>
      <c r="L3326" t="str">
        <f t="shared" si="311"/>
        <v>2022-12</v>
      </c>
      <c r="M3326">
        <f t="shared" si="309"/>
        <v>4029.1200000000008</v>
      </c>
    </row>
    <row r="3327" spans="1:13" x14ac:dyDescent="0.25">
      <c r="A3327" s="1">
        <v>44769</v>
      </c>
      <c r="B3327" t="s">
        <v>22</v>
      </c>
      <c r="C3327" t="s">
        <v>8</v>
      </c>
      <c r="D3327" t="s">
        <v>17</v>
      </c>
      <c r="E3327">
        <v>699.35</v>
      </c>
      <c r="F3327">
        <v>363.34</v>
      </c>
      <c r="G3327">
        <v>9</v>
      </c>
      <c r="H3327">
        <f t="shared" si="306"/>
        <v>6294.1500000000005</v>
      </c>
      <c r="I3327">
        <f t="shared" si="310"/>
        <v>3270.06</v>
      </c>
      <c r="J3327">
        <f t="shared" si="307"/>
        <v>3024.0900000000006</v>
      </c>
      <c r="K3327" s="8">
        <f t="shared" si="308"/>
        <v>0.48046042753985851</v>
      </c>
      <c r="L3327" t="str">
        <f t="shared" si="311"/>
        <v>2022-07</v>
      </c>
      <c r="M3327">
        <f t="shared" si="309"/>
        <v>3024.0900000000006</v>
      </c>
    </row>
    <row r="3328" spans="1:13" x14ac:dyDescent="0.25">
      <c r="A3328" s="1">
        <v>44576</v>
      </c>
      <c r="B3328" t="s">
        <v>7</v>
      </c>
      <c r="C3328" t="s">
        <v>8</v>
      </c>
      <c r="D3328" t="s">
        <v>17</v>
      </c>
      <c r="E3328">
        <v>1855.01</v>
      </c>
      <c r="F3328">
        <v>1449.01</v>
      </c>
      <c r="G3328">
        <v>9</v>
      </c>
      <c r="H3328">
        <f t="shared" si="306"/>
        <v>16695.09</v>
      </c>
      <c r="I3328">
        <f t="shared" si="310"/>
        <v>13041.09</v>
      </c>
      <c r="J3328">
        <f t="shared" si="307"/>
        <v>3654</v>
      </c>
      <c r="K3328" s="8">
        <f t="shared" si="308"/>
        <v>0.21886674465366762</v>
      </c>
      <c r="L3328" t="str">
        <f t="shared" si="311"/>
        <v>2022-01</v>
      </c>
      <c r="M3328">
        <f t="shared" si="309"/>
        <v>3654</v>
      </c>
    </row>
    <row r="3329" spans="1:13" x14ac:dyDescent="0.25">
      <c r="A3329" s="1">
        <v>44931</v>
      </c>
      <c r="B3329" t="s">
        <v>19</v>
      </c>
      <c r="C3329" t="s">
        <v>20</v>
      </c>
      <c r="D3329" t="s">
        <v>17</v>
      </c>
      <c r="E3329">
        <v>166.15</v>
      </c>
      <c r="F3329">
        <v>107.16</v>
      </c>
      <c r="G3329">
        <v>5</v>
      </c>
      <c r="H3329">
        <f t="shared" si="306"/>
        <v>830.75</v>
      </c>
      <c r="I3329">
        <f t="shared" si="310"/>
        <v>535.79999999999995</v>
      </c>
      <c r="J3329">
        <f t="shared" si="307"/>
        <v>294.95000000000005</v>
      </c>
      <c r="K3329" s="8">
        <f t="shared" si="308"/>
        <v>0.35504062594041536</v>
      </c>
      <c r="L3329" t="str">
        <f t="shared" si="311"/>
        <v>2023-01</v>
      </c>
      <c r="M3329">
        <f t="shared" si="309"/>
        <v>294.95000000000005</v>
      </c>
    </row>
    <row r="3330" spans="1:13" x14ac:dyDescent="0.25">
      <c r="A3330" s="1">
        <v>45008</v>
      </c>
      <c r="B3330" t="s">
        <v>14</v>
      </c>
      <c r="C3330" t="s">
        <v>15</v>
      </c>
      <c r="D3330" t="s">
        <v>13</v>
      </c>
      <c r="E3330">
        <v>1365.96</v>
      </c>
      <c r="F3330">
        <v>891.59</v>
      </c>
      <c r="G3330">
        <v>5</v>
      </c>
      <c r="H3330">
        <f t="shared" si="306"/>
        <v>6829.8</v>
      </c>
      <c r="I3330">
        <f t="shared" si="310"/>
        <v>4457.95</v>
      </c>
      <c r="J3330">
        <f t="shared" si="307"/>
        <v>2371.8500000000004</v>
      </c>
      <c r="K3330" s="8">
        <f t="shared" si="308"/>
        <v>0.34727956894784623</v>
      </c>
      <c r="L3330" t="str">
        <f t="shared" si="311"/>
        <v>2023-03</v>
      </c>
      <c r="M3330">
        <f t="shared" si="309"/>
        <v>2371.8500000000004</v>
      </c>
    </row>
    <row r="3331" spans="1:13" x14ac:dyDescent="0.25">
      <c r="A3331" s="1">
        <v>45493</v>
      </c>
      <c r="B3331" t="s">
        <v>19</v>
      </c>
      <c r="C3331" t="s">
        <v>20</v>
      </c>
      <c r="D3331" t="s">
        <v>13</v>
      </c>
      <c r="E3331">
        <v>1582.86</v>
      </c>
      <c r="F3331">
        <v>947.26</v>
      </c>
      <c r="G3331">
        <v>2</v>
      </c>
      <c r="H3331">
        <f t="shared" ref="H3331:H3394" si="312">E3331*G3331</f>
        <v>3165.72</v>
      </c>
      <c r="I3331">
        <f t="shared" si="310"/>
        <v>1894.52</v>
      </c>
      <c r="J3331">
        <f t="shared" ref="J3331:J3394" si="313">H3331-I3331</f>
        <v>1271.1999999999998</v>
      </c>
      <c r="K3331" s="8">
        <f t="shared" ref="K3331:K3394" si="314">(H3331-I3331)/H3331</f>
        <v>0.40155162174797515</v>
      </c>
      <c r="L3331" t="str">
        <f t="shared" si="311"/>
        <v>2024-07</v>
      </c>
      <c r="M3331">
        <f t="shared" ref="M3331:M3394" si="315">H3331-I3331</f>
        <v>1271.1999999999998</v>
      </c>
    </row>
    <row r="3332" spans="1:13" x14ac:dyDescent="0.25">
      <c r="A3332" s="1">
        <v>45274</v>
      </c>
      <c r="B3332" t="s">
        <v>25</v>
      </c>
      <c r="C3332" t="s">
        <v>15</v>
      </c>
      <c r="D3332" t="s">
        <v>18</v>
      </c>
      <c r="E3332">
        <v>350.74</v>
      </c>
      <c r="F3332">
        <v>292.39</v>
      </c>
      <c r="G3332">
        <v>8</v>
      </c>
      <c r="H3332">
        <f t="shared" si="312"/>
        <v>2805.92</v>
      </c>
      <c r="I3332">
        <f t="shared" ref="I3332:I3395" si="316">F3332*G3332</f>
        <v>2339.12</v>
      </c>
      <c r="J3332">
        <f t="shared" si="313"/>
        <v>466.80000000000018</v>
      </c>
      <c r="K3332" s="8">
        <f t="shared" si="314"/>
        <v>0.16636254775617274</v>
      </c>
      <c r="L3332" t="str">
        <f t="shared" ref="L3332:L3395" si="317">TEXT(A3332,"rrrr-mm")</f>
        <v>2023-12</v>
      </c>
      <c r="M3332">
        <f t="shared" si="315"/>
        <v>466.80000000000018</v>
      </c>
    </row>
    <row r="3333" spans="1:13" x14ac:dyDescent="0.25">
      <c r="A3333" s="1">
        <v>45581</v>
      </c>
      <c r="B3333" t="s">
        <v>21</v>
      </c>
      <c r="C3333" t="s">
        <v>20</v>
      </c>
      <c r="D3333" t="s">
        <v>13</v>
      </c>
      <c r="E3333">
        <v>1578.28</v>
      </c>
      <c r="F3333">
        <v>793.29</v>
      </c>
      <c r="G3333">
        <v>4</v>
      </c>
      <c r="H3333">
        <f t="shared" si="312"/>
        <v>6313.12</v>
      </c>
      <c r="I3333">
        <f t="shared" si="316"/>
        <v>3173.16</v>
      </c>
      <c r="J3333">
        <f t="shared" si="313"/>
        <v>3139.96</v>
      </c>
      <c r="K3333" s="8">
        <f t="shared" si="314"/>
        <v>0.49737055528803509</v>
      </c>
      <c r="L3333" t="str">
        <f t="shared" si="317"/>
        <v>2024-10</v>
      </c>
      <c r="M3333">
        <f t="shared" si="315"/>
        <v>3139.96</v>
      </c>
    </row>
    <row r="3334" spans="1:13" x14ac:dyDescent="0.25">
      <c r="A3334" s="1">
        <v>45131</v>
      </c>
      <c r="B3334" t="s">
        <v>19</v>
      </c>
      <c r="C3334" t="s">
        <v>20</v>
      </c>
      <c r="D3334" t="s">
        <v>17</v>
      </c>
      <c r="E3334">
        <v>1874.79</v>
      </c>
      <c r="F3334">
        <v>939.96</v>
      </c>
      <c r="G3334">
        <v>8</v>
      </c>
      <c r="H3334">
        <f t="shared" si="312"/>
        <v>14998.32</v>
      </c>
      <c r="I3334">
        <f t="shared" si="316"/>
        <v>7519.68</v>
      </c>
      <c r="J3334">
        <f t="shared" si="313"/>
        <v>7478.6399999999994</v>
      </c>
      <c r="K3334" s="8">
        <f t="shared" si="314"/>
        <v>0.49863184676683786</v>
      </c>
      <c r="L3334" t="str">
        <f t="shared" si="317"/>
        <v>2023-07</v>
      </c>
      <c r="M3334">
        <f t="shared" si="315"/>
        <v>7478.6399999999994</v>
      </c>
    </row>
    <row r="3335" spans="1:13" x14ac:dyDescent="0.25">
      <c r="A3335" s="1">
        <v>45349</v>
      </c>
      <c r="B3335" t="s">
        <v>12</v>
      </c>
      <c r="C3335" t="s">
        <v>8</v>
      </c>
      <c r="D3335" t="s">
        <v>17</v>
      </c>
      <c r="E3335">
        <v>733.83</v>
      </c>
      <c r="F3335">
        <v>523.24</v>
      </c>
      <c r="G3335">
        <v>4</v>
      </c>
      <c r="H3335">
        <f t="shared" si="312"/>
        <v>2935.32</v>
      </c>
      <c r="I3335">
        <f t="shared" si="316"/>
        <v>2092.96</v>
      </c>
      <c r="J3335">
        <f t="shared" si="313"/>
        <v>842.36000000000013</v>
      </c>
      <c r="K3335" s="8">
        <f t="shared" si="314"/>
        <v>0.28697382227491386</v>
      </c>
      <c r="L3335" t="str">
        <f t="shared" si="317"/>
        <v>2024-02</v>
      </c>
      <c r="M3335">
        <f t="shared" si="315"/>
        <v>842.36000000000013</v>
      </c>
    </row>
    <row r="3336" spans="1:13" x14ac:dyDescent="0.25">
      <c r="A3336" s="1">
        <v>44790</v>
      </c>
      <c r="B3336" t="s">
        <v>12</v>
      </c>
      <c r="C3336" t="s">
        <v>8</v>
      </c>
      <c r="D3336" t="s">
        <v>9</v>
      </c>
      <c r="E3336">
        <v>1207.54</v>
      </c>
      <c r="F3336">
        <v>797.45</v>
      </c>
      <c r="G3336">
        <v>2</v>
      </c>
      <c r="H3336">
        <f t="shared" si="312"/>
        <v>2415.08</v>
      </c>
      <c r="I3336">
        <f t="shared" si="316"/>
        <v>1594.9</v>
      </c>
      <c r="J3336">
        <f t="shared" si="313"/>
        <v>820.17999999999984</v>
      </c>
      <c r="K3336" s="8">
        <f t="shared" si="314"/>
        <v>0.33960779767129862</v>
      </c>
      <c r="L3336" t="str">
        <f t="shared" si="317"/>
        <v>2022-08</v>
      </c>
      <c r="M3336">
        <f t="shared" si="315"/>
        <v>820.17999999999984</v>
      </c>
    </row>
    <row r="3337" spans="1:13" x14ac:dyDescent="0.25">
      <c r="A3337" s="1">
        <v>44603</v>
      </c>
      <c r="B3337" t="s">
        <v>7</v>
      </c>
      <c r="C3337" t="s">
        <v>8</v>
      </c>
      <c r="D3337" t="s">
        <v>18</v>
      </c>
      <c r="E3337">
        <v>1386.41</v>
      </c>
      <c r="F3337">
        <v>746.43</v>
      </c>
      <c r="G3337">
        <v>8</v>
      </c>
      <c r="H3337">
        <f t="shared" si="312"/>
        <v>11091.28</v>
      </c>
      <c r="I3337">
        <f t="shared" si="316"/>
        <v>5971.44</v>
      </c>
      <c r="J3337">
        <f t="shared" si="313"/>
        <v>5119.8400000000011</v>
      </c>
      <c r="K3337" s="8">
        <f t="shared" si="314"/>
        <v>0.46160948060097667</v>
      </c>
      <c r="L3337" t="str">
        <f t="shared" si="317"/>
        <v>2022-02</v>
      </c>
      <c r="M3337">
        <f t="shared" si="315"/>
        <v>5119.8400000000011</v>
      </c>
    </row>
    <row r="3338" spans="1:13" x14ac:dyDescent="0.25">
      <c r="A3338" s="1">
        <v>44585</v>
      </c>
      <c r="B3338" t="s">
        <v>25</v>
      </c>
      <c r="C3338" t="s">
        <v>15</v>
      </c>
      <c r="D3338" t="s">
        <v>18</v>
      </c>
      <c r="E3338">
        <v>1550.72</v>
      </c>
      <c r="F3338">
        <v>994.66</v>
      </c>
      <c r="G3338">
        <v>4</v>
      </c>
      <c r="H3338">
        <f t="shared" si="312"/>
        <v>6202.88</v>
      </c>
      <c r="I3338">
        <f t="shared" si="316"/>
        <v>3978.64</v>
      </c>
      <c r="J3338">
        <f t="shared" si="313"/>
        <v>2224.2400000000002</v>
      </c>
      <c r="K3338" s="8">
        <f t="shared" si="314"/>
        <v>0.35858182005777967</v>
      </c>
      <c r="L3338" t="str">
        <f t="shared" si="317"/>
        <v>2022-01</v>
      </c>
      <c r="M3338">
        <f t="shared" si="315"/>
        <v>2224.2400000000002</v>
      </c>
    </row>
    <row r="3339" spans="1:13" x14ac:dyDescent="0.25">
      <c r="A3339" s="1">
        <v>44633</v>
      </c>
      <c r="B3339" t="s">
        <v>25</v>
      </c>
      <c r="C3339" t="s">
        <v>15</v>
      </c>
      <c r="D3339" t="s">
        <v>9</v>
      </c>
      <c r="E3339">
        <v>1965.51</v>
      </c>
      <c r="F3339">
        <v>1088.8699999999999</v>
      </c>
      <c r="G3339">
        <v>5</v>
      </c>
      <c r="H3339">
        <f t="shared" si="312"/>
        <v>9827.5499999999993</v>
      </c>
      <c r="I3339">
        <f t="shared" si="316"/>
        <v>5444.3499999999995</v>
      </c>
      <c r="J3339">
        <f t="shared" si="313"/>
        <v>4383.2</v>
      </c>
      <c r="K3339" s="8">
        <f t="shared" si="314"/>
        <v>0.44601146776154793</v>
      </c>
      <c r="L3339" t="str">
        <f t="shared" si="317"/>
        <v>2022-03</v>
      </c>
      <c r="M3339">
        <f t="shared" si="315"/>
        <v>4383.2</v>
      </c>
    </row>
    <row r="3340" spans="1:13" x14ac:dyDescent="0.25">
      <c r="A3340" s="1">
        <v>44833</v>
      </c>
      <c r="B3340" t="s">
        <v>14</v>
      </c>
      <c r="C3340" t="s">
        <v>15</v>
      </c>
      <c r="D3340" t="s">
        <v>13</v>
      </c>
      <c r="E3340">
        <v>304.12</v>
      </c>
      <c r="F3340">
        <v>267.55</v>
      </c>
      <c r="G3340">
        <v>8</v>
      </c>
      <c r="H3340">
        <f t="shared" si="312"/>
        <v>2432.96</v>
      </c>
      <c r="I3340">
        <f t="shared" si="316"/>
        <v>2140.4</v>
      </c>
      <c r="J3340">
        <f t="shared" si="313"/>
        <v>292.55999999999995</v>
      </c>
      <c r="K3340" s="8">
        <f t="shared" si="314"/>
        <v>0.12024858608444033</v>
      </c>
      <c r="L3340" t="str">
        <f t="shared" si="317"/>
        <v>2022-09</v>
      </c>
      <c r="M3340">
        <f t="shared" si="315"/>
        <v>292.55999999999995</v>
      </c>
    </row>
    <row r="3341" spans="1:13" x14ac:dyDescent="0.25">
      <c r="A3341" s="1">
        <v>45469</v>
      </c>
      <c r="B3341" t="s">
        <v>10</v>
      </c>
      <c r="C3341" t="s">
        <v>11</v>
      </c>
      <c r="D3341" t="s">
        <v>13</v>
      </c>
      <c r="E3341">
        <v>1177.8599999999999</v>
      </c>
      <c r="F3341">
        <v>726.69</v>
      </c>
      <c r="G3341">
        <v>1</v>
      </c>
      <c r="H3341">
        <f t="shared" si="312"/>
        <v>1177.8599999999999</v>
      </c>
      <c r="I3341">
        <f t="shared" si="316"/>
        <v>726.69</v>
      </c>
      <c r="J3341">
        <f t="shared" si="313"/>
        <v>451.16999999999985</v>
      </c>
      <c r="K3341" s="8">
        <f t="shared" si="314"/>
        <v>0.38304212724772035</v>
      </c>
      <c r="L3341" t="str">
        <f t="shared" si="317"/>
        <v>2024-06</v>
      </c>
      <c r="M3341">
        <f t="shared" si="315"/>
        <v>451.16999999999985</v>
      </c>
    </row>
    <row r="3342" spans="1:13" x14ac:dyDescent="0.25">
      <c r="A3342" s="1">
        <v>44630</v>
      </c>
      <c r="B3342" t="s">
        <v>23</v>
      </c>
      <c r="C3342" t="s">
        <v>11</v>
      </c>
      <c r="D3342" t="s">
        <v>18</v>
      </c>
      <c r="E3342">
        <v>1994.68</v>
      </c>
      <c r="F3342">
        <v>1616.44</v>
      </c>
      <c r="G3342">
        <v>2</v>
      </c>
      <c r="H3342">
        <f t="shared" si="312"/>
        <v>3989.36</v>
      </c>
      <c r="I3342">
        <f t="shared" si="316"/>
        <v>3232.88</v>
      </c>
      <c r="J3342">
        <f t="shared" si="313"/>
        <v>756.48</v>
      </c>
      <c r="K3342" s="8">
        <f t="shared" si="314"/>
        <v>0.18962440090641106</v>
      </c>
      <c r="L3342" t="str">
        <f t="shared" si="317"/>
        <v>2022-03</v>
      </c>
      <c r="M3342">
        <f t="shared" si="315"/>
        <v>756.48</v>
      </c>
    </row>
    <row r="3343" spans="1:13" x14ac:dyDescent="0.25">
      <c r="A3343" s="1">
        <v>45642</v>
      </c>
      <c r="B3343" t="s">
        <v>23</v>
      </c>
      <c r="C3343" t="s">
        <v>11</v>
      </c>
      <c r="D3343" t="s">
        <v>17</v>
      </c>
      <c r="E3343">
        <v>1099.1600000000001</v>
      </c>
      <c r="F3343">
        <v>756.14</v>
      </c>
      <c r="G3343">
        <v>7</v>
      </c>
      <c r="H3343">
        <f t="shared" si="312"/>
        <v>7694.1200000000008</v>
      </c>
      <c r="I3343">
        <f t="shared" si="316"/>
        <v>5292.98</v>
      </c>
      <c r="J3343">
        <f t="shared" si="313"/>
        <v>2401.1400000000012</v>
      </c>
      <c r="K3343" s="8">
        <f t="shared" si="314"/>
        <v>0.31207467520652149</v>
      </c>
      <c r="L3343" t="str">
        <f t="shared" si="317"/>
        <v>2024-12</v>
      </c>
      <c r="M3343">
        <f t="shared" si="315"/>
        <v>2401.1400000000012</v>
      </c>
    </row>
    <row r="3344" spans="1:13" x14ac:dyDescent="0.25">
      <c r="A3344" s="1">
        <v>45375</v>
      </c>
      <c r="B3344" t="s">
        <v>22</v>
      </c>
      <c r="C3344" t="s">
        <v>8</v>
      </c>
      <c r="D3344" t="s">
        <v>9</v>
      </c>
      <c r="E3344">
        <v>401.16</v>
      </c>
      <c r="F3344">
        <v>324.55</v>
      </c>
      <c r="G3344">
        <v>2</v>
      </c>
      <c r="H3344">
        <f t="shared" si="312"/>
        <v>802.32</v>
      </c>
      <c r="I3344">
        <f t="shared" si="316"/>
        <v>649.1</v>
      </c>
      <c r="J3344">
        <f t="shared" si="313"/>
        <v>153.22000000000003</v>
      </c>
      <c r="K3344" s="8">
        <f t="shared" si="314"/>
        <v>0.19097118356765383</v>
      </c>
      <c r="L3344" t="str">
        <f t="shared" si="317"/>
        <v>2024-03</v>
      </c>
      <c r="M3344">
        <f t="shared" si="315"/>
        <v>153.22000000000003</v>
      </c>
    </row>
    <row r="3345" spans="1:13" x14ac:dyDescent="0.25">
      <c r="A3345" s="1">
        <v>45202</v>
      </c>
      <c r="B3345" t="s">
        <v>10</v>
      </c>
      <c r="C3345" t="s">
        <v>11</v>
      </c>
      <c r="D3345" t="s">
        <v>18</v>
      </c>
      <c r="E3345">
        <v>482.58</v>
      </c>
      <c r="F3345">
        <v>402.03</v>
      </c>
      <c r="G3345">
        <v>8</v>
      </c>
      <c r="H3345">
        <f t="shared" si="312"/>
        <v>3860.64</v>
      </c>
      <c r="I3345">
        <f t="shared" si="316"/>
        <v>3216.24</v>
      </c>
      <c r="J3345">
        <f t="shared" si="313"/>
        <v>644.40000000000009</v>
      </c>
      <c r="K3345" s="8">
        <f t="shared" si="314"/>
        <v>0.16691533010070872</v>
      </c>
      <c r="L3345" t="str">
        <f t="shared" si="317"/>
        <v>2023-10</v>
      </c>
      <c r="M3345">
        <f t="shared" si="315"/>
        <v>644.40000000000009</v>
      </c>
    </row>
    <row r="3346" spans="1:13" x14ac:dyDescent="0.25">
      <c r="A3346" s="1">
        <v>44808</v>
      </c>
      <c r="B3346" t="s">
        <v>25</v>
      </c>
      <c r="C3346" t="s">
        <v>15</v>
      </c>
      <c r="D3346" t="s">
        <v>9</v>
      </c>
      <c r="E3346">
        <v>1223.9100000000001</v>
      </c>
      <c r="F3346">
        <v>960.26</v>
      </c>
      <c r="G3346">
        <v>10</v>
      </c>
      <c r="H3346">
        <f t="shared" si="312"/>
        <v>12239.1</v>
      </c>
      <c r="I3346">
        <f t="shared" si="316"/>
        <v>9602.6</v>
      </c>
      <c r="J3346">
        <f t="shared" si="313"/>
        <v>2636.5</v>
      </c>
      <c r="K3346" s="8">
        <f t="shared" si="314"/>
        <v>0.21541616622137247</v>
      </c>
      <c r="L3346" t="str">
        <f t="shared" si="317"/>
        <v>2022-09</v>
      </c>
      <c r="M3346">
        <f t="shared" si="315"/>
        <v>2636.5</v>
      </c>
    </row>
    <row r="3347" spans="1:13" x14ac:dyDescent="0.25">
      <c r="A3347" s="1">
        <v>44706</v>
      </c>
      <c r="B3347" t="s">
        <v>12</v>
      </c>
      <c r="C3347" t="s">
        <v>8</v>
      </c>
      <c r="D3347" t="s">
        <v>9</v>
      </c>
      <c r="E3347">
        <v>1508.99</v>
      </c>
      <c r="F3347">
        <v>895.34</v>
      </c>
      <c r="G3347">
        <v>1</v>
      </c>
      <c r="H3347">
        <f t="shared" si="312"/>
        <v>1508.99</v>
      </c>
      <c r="I3347">
        <f t="shared" si="316"/>
        <v>895.34</v>
      </c>
      <c r="J3347">
        <f t="shared" si="313"/>
        <v>613.65</v>
      </c>
      <c r="K3347" s="8">
        <f t="shared" si="314"/>
        <v>0.40666273467683683</v>
      </c>
      <c r="L3347" t="str">
        <f t="shared" si="317"/>
        <v>2022-05</v>
      </c>
      <c r="M3347">
        <f t="shared" si="315"/>
        <v>613.65</v>
      </c>
    </row>
    <row r="3348" spans="1:13" x14ac:dyDescent="0.25">
      <c r="A3348" s="1">
        <v>44681</v>
      </c>
      <c r="B3348" t="s">
        <v>24</v>
      </c>
      <c r="C3348" t="s">
        <v>20</v>
      </c>
      <c r="D3348" t="s">
        <v>18</v>
      </c>
      <c r="E3348">
        <v>266.33999999999997</v>
      </c>
      <c r="F3348">
        <v>160.16</v>
      </c>
      <c r="G3348">
        <v>6</v>
      </c>
      <c r="H3348">
        <f t="shared" si="312"/>
        <v>1598.04</v>
      </c>
      <c r="I3348">
        <f t="shared" si="316"/>
        <v>960.96</v>
      </c>
      <c r="J3348">
        <f t="shared" si="313"/>
        <v>637.07999999999993</v>
      </c>
      <c r="K3348" s="8">
        <f t="shared" si="314"/>
        <v>0.39866336261920848</v>
      </c>
      <c r="L3348" t="str">
        <f t="shared" si="317"/>
        <v>2022-04</v>
      </c>
      <c r="M3348">
        <f t="shared" si="315"/>
        <v>637.07999999999993</v>
      </c>
    </row>
    <row r="3349" spans="1:13" x14ac:dyDescent="0.25">
      <c r="A3349" s="1">
        <v>45619</v>
      </c>
      <c r="B3349" t="s">
        <v>25</v>
      </c>
      <c r="C3349" t="s">
        <v>15</v>
      </c>
      <c r="D3349" t="s">
        <v>18</v>
      </c>
      <c r="E3349">
        <v>336.03</v>
      </c>
      <c r="F3349">
        <v>180.07</v>
      </c>
      <c r="G3349">
        <v>9</v>
      </c>
      <c r="H3349">
        <f t="shared" si="312"/>
        <v>3024.2699999999995</v>
      </c>
      <c r="I3349">
        <f t="shared" si="316"/>
        <v>1620.6299999999999</v>
      </c>
      <c r="J3349">
        <f t="shared" si="313"/>
        <v>1403.6399999999996</v>
      </c>
      <c r="K3349" s="8">
        <f t="shared" si="314"/>
        <v>0.46412522691426356</v>
      </c>
      <c r="L3349" t="str">
        <f t="shared" si="317"/>
        <v>2024-11</v>
      </c>
      <c r="M3349">
        <f t="shared" si="315"/>
        <v>1403.6399999999996</v>
      </c>
    </row>
    <row r="3350" spans="1:13" x14ac:dyDescent="0.25">
      <c r="A3350" s="1">
        <v>45382</v>
      </c>
      <c r="B3350" t="s">
        <v>16</v>
      </c>
      <c r="C3350" t="s">
        <v>15</v>
      </c>
      <c r="D3350" t="s">
        <v>9</v>
      </c>
      <c r="E3350">
        <v>24.46</v>
      </c>
      <c r="F3350">
        <v>15.9</v>
      </c>
      <c r="G3350">
        <v>1</v>
      </c>
      <c r="H3350">
        <f t="shared" si="312"/>
        <v>24.46</v>
      </c>
      <c r="I3350">
        <f t="shared" si="316"/>
        <v>15.9</v>
      </c>
      <c r="J3350">
        <f t="shared" si="313"/>
        <v>8.56</v>
      </c>
      <c r="K3350" s="8">
        <f t="shared" si="314"/>
        <v>0.34995911692559284</v>
      </c>
      <c r="L3350" t="str">
        <f t="shared" si="317"/>
        <v>2024-03</v>
      </c>
      <c r="M3350">
        <f t="shared" si="315"/>
        <v>8.56</v>
      </c>
    </row>
    <row r="3351" spans="1:13" x14ac:dyDescent="0.25">
      <c r="A3351" s="1">
        <v>45629</v>
      </c>
      <c r="B3351" t="s">
        <v>25</v>
      </c>
      <c r="C3351" t="s">
        <v>15</v>
      </c>
      <c r="D3351" t="s">
        <v>9</v>
      </c>
      <c r="E3351">
        <v>946.23</v>
      </c>
      <c r="F3351">
        <v>542.46</v>
      </c>
      <c r="G3351">
        <v>4</v>
      </c>
      <c r="H3351">
        <f t="shared" si="312"/>
        <v>3784.92</v>
      </c>
      <c r="I3351">
        <f t="shared" si="316"/>
        <v>2169.84</v>
      </c>
      <c r="J3351">
        <f t="shared" si="313"/>
        <v>1615.08</v>
      </c>
      <c r="K3351" s="8">
        <f t="shared" si="314"/>
        <v>0.42671443517960744</v>
      </c>
      <c r="L3351" t="str">
        <f t="shared" si="317"/>
        <v>2024-12</v>
      </c>
      <c r="M3351">
        <f t="shared" si="315"/>
        <v>1615.08</v>
      </c>
    </row>
    <row r="3352" spans="1:13" x14ac:dyDescent="0.25">
      <c r="A3352" s="1">
        <v>45296</v>
      </c>
      <c r="B3352" t="s">
        <v>10</v>
      </c>
      <c r="C3352" t="s">
        <v>11</v>
      </c>
      <c r="D3352" t="s">
        <v>13</v>
      </c>
      <c r="E3352">
        <v>926.49</v>
      </c>
      <c r="F3352">
        <v>518.42999999999995</v>
      </c>
      <c r="G3352">
        <v>7</v>
      </c>
      <c r="H3352">
        <f t="shared" si="312"/>
        <v>6485.43</v>
      </c>
      <c r="I3352">
        <f t="shared" si="316"/>
        <v>3629.0099999999998</v>
      </c>
      <c r="J3352">
        <f t="shared" si="313"/>
        <v>2856.4200000000005</v>
      </c>
      <c r="K3352" s="8">
        <f t="shared" si="314"/>
        <v>0.44043648609267239</v>
      </c>
      <c r="L3352" t="str">
        <f t="shared" si="317"/>
        <v>2024-01</v>
      </c>
      <c r="M3352">
        <f t="shared" si="315"/>
        <v>2856.4200000000005</v>
      </c>
    </row>
    <row r="3353" spans="1:13" x14ac:dyDescent="0.25">
      <c r="A3353" s="1">
        <v>44662</v>
      </c>
      <c r="B3353" t="s">
        <v>14</v>
      </c>
      <c r="C3353" t="s">
        <v>15</v>
      </c>
      <c r="D3353" t="s">
        <v>17</v>
      </c>
      <c r="E3353">
        <v>491.95</v>
      </c>
      <c r="F3353">
        <v>393.46</v>
      </c>
      <c r="G3353">
        <v>5</v>
      </c>
      <c r="H3353">
        <f t="shared" si="312"/>
        <v>2459.75</v>
      </c>
      <c r="I3353">
        <f t="shared" si="316"/>
        <v>1967.3</v>
      </c>
      <c r="J3353">
        <f t="shared" si="313"/>
        <v>492.45000000000005</v>
      </c>
      <c r="K3353" s="8">
        <f t="shared" si="314"/>
        <v>0.20020327269031407</v>
      </c>
      <c r="L3353" t="str">
        <f t="shared" si="317"/>
        <v>2022-04</v>
      </c>
      <c r="M3353">
        <f t="shared" si="315"/>
        <v>492.45000000000005</v>
      </c>
    </row>
    <row r="3354" spans="1:13" x14ac:dyDescent="0.25">
      <c r="A3354" s="1">
        <v>44596</v>
      </c>
      <c r="B3354" t="s">
        <v>21</v>
      </c>
      <c r="C3354" t="s">
        <v>20</v>
      </c>
      <c r="D3354" t="s">
        <v>18</v>
      </c>
      <c r="E3354">
        <v>1749.09</v>
      </c>
      <c r="F3354">
        <v>954.14</v>
      </c>
      <c r="G3354">
        <v>3</v>
      </c>
      <c r="H3354">
        <f t="shared" si="312"/>
        <v>5247.2699999999995</v>
      </c>
      <c r="I3354">
        <f t="shared" si="316"/>
        <v>2862.42</v>
      </c>
      <c r="J3354">
        <f t="shared" si="313"/>
        <v>2384.8499999999995</v>
      </c>
      <c r="K3354" s="8">
        <f t="shared" si="314"/>
        <v>0.45449347946646534</v>
      </c>
      <c r="L3354" t="str">
        <f t="shared" si="317"/>
        <v>2022-02</v>
      </c>
      <c r="M3354">
        <f t="shared" si="315"/>
        <v>2384.8499999999995</v>
      </c>
    </row>
    <row r="3355" spans="1:13" x14ac:dyDescent="0.25">
      <c r="A3355" s="1">
        <v>45119</v>
      </c>
      <c r="B3355" t="s">
        <v>14</v>
      </c>
      <c r="C3355" t="s">
        <v>15</v>
      </c>
      <c r="D3355" t="s">
        <v>17</v>
      </c>
      <c r="E3355">
        <v>688.14</v>
      </c>
      <c r="F3355">
        <v>540.64</v>
      </c>
      <c r="G3355">
        <v>2</v>
      </c>
      <c r="H3355">
        <f t="shared" si="312"/>
        <v>1376.28</v>
      </c>
      <c r="I3355">
        <f t="shared" si="316"/>
        <v>1081.28</v>
      </c>
      <c r="J3355">
        <f t="shared" si="313"/>
        <v>295</v>
      </c>
      <c r="K3355" s="8">
        <f t="shared" si="314"/>
        <v>0.21434591798180602</v>
      </c>
      <c r="L3355" t="str">
        <f t="shared" si="317"/>
        <v>2023-07</v>
      </c>
      <c r="M3355">
        <f t="shared" si="315"/>
        <v>295</v>
      </c>
    </row>
    <row r="3356" spans="1:13" x14ac:dyDescent="0.25">
      <c r="A3356" s="1">
        <v>44958</v>
      </c>
      <c r="B3356" t="s">
        <v>21</v>
      </c>
      <c r="C3356" t="s">
        <v>20</v>
      </c>
      <c r="D3356" t="s">
        <v>17</v>
      </c>
      <c r="E3356">
        <v>1333.17</v>
      </c>
      <c r="F3356">
        <v>976.95</v>
      </c>
      <c r="G3356">
        <v>2</v>
      </c>
      <c r="H3356">
        <f t="shared" si="312"/>
        <v>2666.34</v>
      </c>
      <c r="I3356">
        <f t="shared" si="316"/>
        <v>1953.9</v>
      </c>
      <c r="J3356">
        <f t="shared" si="313"/>
        <v>712.44</v>
      </c>
      <c r="K3356" s="8">
        <f t="shared" si="314"/>
        <v>0.26719773172213596</v>
      </c>
      <c r="L3356" t="str">
        <f t="shared" si="317"/>
        <v>2023-02</v>
      </c>
      <c r="M3356">
        <f t="shared" si="315"/>
        <v>712.44</v>
      </c>
    </row>
    <row r="3357" spans="1:13" x14ac:dyDescent="0.25">
      <c r="A3357" s="1">
        <v>45304</v>
      </c>
      <c r="B3357" t="s">
        <v>10</v>
      </c>
      <c r="C3357" t="s">
        <v>11</v>
      </c>
      <c r="D3357" t="s">
        <v>18</v>
      </c>
      <c r="E3357">
        <v>1823.72</v>
      </c>
      <c r="F3357">
        <v>1151.83</v>
      </c>
      <c r="G3357">
        <v>4</v>
      </c>
      <c r="H3357">
        <f t="shared" si="312"/>
        <v>7294.88</v>
      </c>
      <c r="I3357">
        <f t="shared" si="316"/>
        <v>4607.32</v>
      </c>
      <c r="J3357">
        <f t="shared" si="313"/>
        <v>2687.5600000000004</v>
      </c>
      <c r="K3357" s="8">
        <f t="shared" si="314"/>
        <v>0.36841730090145419</v>
      </c>
      <c r="L3357" t="str">
        <f t="shared" si="317"/>
        <v>2024-01</v>
      </c>
      <c r="M3357">
        <f t="shared" si="315"/>
        <v>2687.5600000000004</v>
      </c>
    </row>
    <row r="3358" spans="1:13" x14ac:dyDescent="0.25">
      <c r="A3358" s="1">
        <v>45644</v>
      </c>
      <c r="B3358" t="s">
        <v>16</v>
      </c>
      <c r="C3358" t="s">
        <v>15</v>
      </c>
      <c r="D3358" t="s">
        <v>17</v>
      </c>
      <c r="E3358">
        <v>991.44</v>
      </c>
      <c r="F3358">
        <v>530.16</v>
      </c>
      <c r="G3358">
        <v>7</v>
      </c>
      <c r="H3358">
        <f t="shared" si="312"/>
        <v>6940.08</v>
      </c>
      <c r="I3358">
        <f t="shared" si="316"/>
        <v>3711.12</v>
      </c>
      <c r="J3358">
        <f t="shared" si="313"/>
        <v>3228.96</v>
      </c>
      <c r="K3358" s="8">
        <f t="shared" si="314"/>
        <v>0.46526264826918423</v>
      </c>
      <c r="L3358" t="str">
        <f t="shared" si="317"/>
        <v>2024-12</v>
      </c>
      <c r="M3358">
        <f t="shared" si="315"/>
        <v>3228.96</v>
      </c>
    </row>
    <row r="3359" spans="1:13" x14ac:dyDescent="0.25">
      <c r="A3359" s="1">
        <v>45019</v>
      </c>
      <c r="B3359" t="s">
        <v>24</v>
      </c>
      <c r="C3359" t="s">
        <v>20</v>
      </c>
      <c r="D3359" t="s">
        <v>13</v>
      </c>
      <c r="E3359">
        <v>1795.01</v>
      </c>
      <c r="F3359">
        <v>1004.49</v>
      </c>
      <c r="G3359">
        <v>10</v>
      </c>
      <c r="H3359">
        <f t="shared" si="312"/>
        <v>17950.099999999999</v>
      </c>
      <c r="I3359">
        <f t="shared" si="316"/>
        <v>10044.9</v>
      </c>
      <c r="J3359">
        <f t="shared" si="313"/>
        <v>7905.1999999999989</v>
      </c>
      <c r="K3359" s="8">
        <f t="shared" si="314"/>
        <v>0.44039866073169504</v>
      </c>
      <c r="L3359" t="str">
        <f t="shared" si="317"/>
        <v>2023-04</v>
      </c>
      <c r="M3359">
        <f t="shared" si="315"/>
        <v>7905.1999999999989</v>
      </c>
    </row>
    <row r="3360" spans="1:13" x14ac:dyDescent="0.25">
      <c r="A3360" s="1">
        <v>44752</v>
      </c>
      <c r="B3360" t="s">
        <v>10</v>
      </c>
      <c r="C3360" t="s">
        <v>11</v>
      </c>
      <c r="D3360" t="s">
        <v>18</v>
      </c>
      <c r="E3360">
        <v>1377.45</v>
      </c>
      <c r="F3360">
        <v>934.45</v>
      </c>
      <c r="G3360">
        <v>10</v>
      </c>
      <c r="H3360">
        <f t="shared" si="312"/>
        <v>13774.5</v>
      </c>
      <c r="I3360">
        <f t="shared" si="316"/>
        <v>9344.5</v>
      </c>
      <c r="J3360">
        <f t="shared" si="313"/>
        <v>4430</v>
      </c>
      <c r="K3360" s="8">
        <f t="shared" si="314"/>
        <v>0.32160876982830594</v>
      </c>
      <c r="L3360" t="str">
        <f t="shared" si="317"/>
        <v>2022-07</v>
      </c>
      <c r="M3360">
        <f t="shared" si="315"/>
        <v>4430</v>
      </c>
    </row>
    <row r="3361" spans="1:13" x14ac:dyDescent="0.25">
      <c r="A3361" s="1">
        <v>45634</v>
      </c>
      <c r="B3361" t="s">
        <v>16</v>
      </c>
      <c r="C3361" t="s">
        <v>15</v>
      </c>
      <c r="D3361" t="s">
        <v>18</v>
      </c>
      <c r="E3361">
        <v>902.54</v>
      </c>
      <c r="F3361">
        <v>775.43</v>
      </c>
      <c r="G3361">
        <v>9</v>
      </c>
      <c r="H3361">
        <f t="shared" si="312"/>
        <v>8122.86</v>
      </c>
      <c r="I3361">
        <f t="shared" si="316"/>
        <v>6978.87</v>
      </c>
      <c r="J3361">
        <f t="shared" si="313"/>
        <v>1143.9899999999998</v>
      </c>
      <c r="K3361" s="8">
        <f t="shared" si="314"/>
        <v>0.14083586323043851</v>
      </c>
      <c r="L3361" t="str">
        <f t="shared" si="317"/>
        <v>2024-12</v>
      </c>
      <c r="M3361">
        <f t="shared" si="315"/>
        <v>1143.9899999999998</v>
      </c>
    </row>
    <row r="3362" spans="1:13" x14ac:dyDescent="0.25">
      <c r="A3362" s="1">
        <v>45200</v>
      </c>
      <c r="B3362" t="s">
        <v>10</v>
      </c>
      <c r="C3362" t="s">
        <v>11</v>
      </c>
      <c r="D3362" t="s">
        <v>9</v>
      </c>
      <c r="E3362">
        <v>129.05000000000001</v>
      </c>
      <c r="F3362">
        <v>81.55</v>
      </c>
      <c r="G3362">
        <v>5</v>
      </c>
      <c r="H3362">
        <f t="shared" si="312"/>
        <v>645.25</v>
      </c>
      <c r="I3362">
        <f t="shared" si="316"/>
        <v>407.75</v>
      </c>
      <c r="J3362">
        <f t="shared" si="313"/>
        <v>237.5</v>
      </c>
      <c r="K3362" s="8">
        <f t="shared" si="314"/>
        <v>0.36807438977140644</v>
      </c>
      <c r="L3362" t="str">
        <f t="shared" si="317"/>
        <v>2023-10</v>
      </c>
      <c r="M3362">
        <f t="shared" si="315"/>
        <v>237.5</v>
      </c>
    </row>
    <row r="3363" spans="1:13" x14ac:dyDescent="0.25">
      <c r="A3363" s="1">
        <v>45146</v>
      </c>
      <c r="B3363" t="s">
        <v>21</v>
      </c>
      <c r="C3363" t="s">
        <v>20</v>
      </c>
      <c r="D3363" t="s">
        <v>13</v>
      </c>
      <c r="E3363">
        <v>773.09</v>
      </c>
      <c r="F3363">
        <v>671.43</v>
      </c>
      <c r="G3363">
        <v>10</v>
      </c>
      <c r="H3363">
        <f t="shared" si="312"/>
        <v>7730.9000000000005</v>
      </c>
      <c r="I3363">
        <f t="shared" si="316"/>
        <v>6714.2999999999993</v>
      </c>
      <c r="J3363">
        <f t="shared" si="313"/>
        <v>1016.6000000000013</v>
      </c>
      <c r="K3363" s="8">
        <f t="shared" si="314"/>
        <v>0.13149827316353868</v>
      </c>
      <c r="L3363" t="str">
        <f t="shared" si="317"/>
        <v>2023-08</v>
      </c>
      <c r="M3363">
        <f t="shared" si="315"/>
        <v>1016.6000000000013</v>
      </c>
    </row>
    <row r="3364" spans="1:13" x14ac:dyDescent="0.25">
      <c r="A3364" s="1">
        <v>44822</v>
      </c>
      <c r="B3364" t="s">
        <v>10</v>
      </c>
      <c r="C3364" t="s">
        <v>11</v>
      </c>
      <c r="D3364" t="s">
        <v>17</v>
      </c>
      <c r="E3364">
        <v>867.3</v>
      </c>
      <c r="F3364">
        <v>602.72</v>
      </c>
      <c r="G3364">
        <v>8</v>
      </c>
      <c r="H3364">
        <f t="shared" si="312"/>
        <v>6938.4</v>
      </c>
      <c r="I3364">
        <f t="shared" si="316"/>
        <v>4821.76</v>
      </c>
      <c r="J3364">
        <f t="shared" si="313"/>
        <v>2116.6399999999994</v>
      </c>
      <c r="K3364" s="8">
        <f t="shared" si="314"/>
        <v>0.30506168569122555</v>
      </c>
      <c r="L3364" t="str">
        <f t="shared" si="317"/>
        <v>2022-09</v>
      </c>
      <c r="M3364">
        <f t="shared" si="315"/>
        <v>2116.6399999999994</v>
      </c>
    </row>
    <row r="3365" spans="1:13" x14ac:dyDescent="0.25">
      <c r="A3365" s="1">
        <v>45299</v>
      </c>
      <c r="B3365" t="s">
        <v>25</v>
      </c>
      <c r="C3365" t="s">
        <v>15</v>
      </c>
      <c r="D3365" t="s">
        <v>9</v>
      </c>
      <c r="E3365">
        <v>455.27</v>
      </c>
      <c r="F3365">
        <v>350.54</v>
      </c>
      <c r="G3365">
        <v>9</v>
      </c>
      <c r="H3365">
        <f t="shared" si="312"/>
        <v>4097.43</v>
      </c>
      <c r="I3365">
        <f t="shared" si="316"/>
        <v>3154.86</v>
      </c>
      <c r="J3365">
        <f t="shared" si="313"/>
        <v>942.57000000000016</v>
      </c>
      <c r="K3365" s="8">
        <f t="shared" si="314"/>
        <v>0.23003931732817889</v>
      </c>
      <c r="L3365" t="str">
        <f t="shared" si="317"/>
        <v>2024-01</v>
      </c>
      <c r="M3365">
        <f t="shared" si="315"/>
        <v>942.57000000000016</v>
      </c>
    </row>
    <row r="3366" spans="1:13" x14ac:dyDescent="0.25">
      <c r="A3366" s="1">
        <v>44824</v>
      </c>
      <c r="B3366" t="s">
        <v>25</v>
      </c>
      <c r="C3366" t="s">
        <v>15</v>
      </c>
      <c r="D3366" t="s">
        <v>18</v>
      </c>
      <c r="E3366">
        <v>1711.86</v>
      </c>
      <c r="F3366">
        <v>1378.88</v>
      </c>
      <c r="G3366">
        <v>2</v>
      </c>
      <c r="H3366">
        <f t="shared" si="312"/>
        <v>3423.72</v>
      </c>
      <c r="I3366">
        <f t="shared" si="316"/>
        <v>2757.76</v>
      </c>
      <c r="J3366">
        <f t="shared" si="313"/>
        <v>665.95999999999958</v>
      </c>
      <c r="K3366" s="8">
        <f t="shared" si="314"/>
        <v>0.19451357003493266</v>
      </c>
      <c r="L3366" t="str">
        <f t="shared" si="317"/>
        <v>2022-09</v>
      </c>
      <c r="M3366">
        <f t="shared" si="315"/>
        <v>665.95999999999958</v>
      </c>
    </row>
    <row r="3367" spans="1:13" x14ac:dyDescent="0.25">
      <c r="A3367" s="1">
        <v>45646</v>
      </c>
      <c r="B3367" t="s">
        <v>24</v>
      </c>
      <c r="C3367" t="s">
        <v>20</v>
      </c>
      <c r="D3367" t="s">
        <v>17</v>
      </c>
      <c r="E3367">
        <v>523.17999999999995</v>
      </c>
      <c r="F3367">
        <v>307.19</v>
      </c>
      <c r="G3367">
        <v>8</v>
      </c>
      <c r="H3367">
        <f t="shared" si="312"/>
        <v>4185.4399999999996</v>
      </c>
      <c r="I3367">
        <f t="shared" si="316"/>
        <v>2457.52</v>
      </c>
      <c r="J3367">
        <f t="shared" si="313"/>
        <v>1727.9199999999996</v>
      </c>
      <c r="K3367" s="8">
        <f t="shared" si="314"/>
        <v>0.41284070491991282</v>
      </c>
      <c r="L3367" t="str">
        <f t="shared" si="317"/>
        <v>2024-12</v>
      </c>
      <c r="M3367">
        <f t="shared" si="315"/>
        <v>1727.9199999999996</v>
      </c>
    </row>
    <row r="3368" spans="1:13" x14ac:dyDescent="0.25">
      <c r="A3368" s="1">
        <v>44797</v>
      </c>
      <c r="B3368" t="s">
        <v>14</v>
      </c>
      <c r="C3368" t="s">
        <v>15</v>
      </c>
      <c r="D3368" t="s">
        <v>9</v>
      </c>
      <c r="E3368">
        <v>919.72</v>
      </c>
      <c r="F3368">
        <v>787.05</v>
      </c>
      <c r="G3368">
        <v>2</v>
      </c>
      <c r="H3368">
        <f t="shared" si="312"/>
        <v>1839.44</v>
      </c>
      <c r="I3368">
        <f t="shared" si="316"/>
        <v>1574.1</v>
      </c>
      <c r="J3368">
        <f t="shared" si="313"/>
        <v>265.34000000000015</v>
      </c>
      <c r="K3368" s="8">
        <f t="shared" si="314"/>
        <v>0.14425042404209984</v>
      </c>
      <c r="L3368" t="str">
        <f t="shared" si="317"/>
        <v>2022-08</v>
      </c>
      <c r="M3368">
        <f t="shared" si="315"/>
        <v>265.34000000000015</v>
      </c>
    </row>
    <row r="3369" spans="1:13" x14ac:dyDescent="0.25">
      <c r="A3369" s="1">
        <v>45331</v>
      </c>
      <c r="B3369" t="s">
        <v>12</v>
      </c>
      <c r="C3369" t="s">
        <v>8</v>
      </c>
      <c r="D3369" t="s">
        <v>18</v>
      </c>
      <c r="E3369">
        <v>777.64</v>
      </c>
      <c r="F3369">
        <v>697.98</v>
      </c>
      <c r="G3369">
        <v>6</v>
      </c>
      <c r="H3369">
        <f t="shared" si="312"/>
        <v>4665.84</v>
      </c>
      <c r="I3369">
        <f t="shared" si="316"/>
        <v>4187.88</v>
      </c>
      <c r="J3369">
        <f t="shared" si="313"/>
        <v>477.96000000000004</v>
      </c>
      <c r="K3369" s="8">
        <f t="shared" si="314"/>
        <v>0.10243814618589579</v>
      </c>
      <c r="L3369" t="str">
        <f t="shared" si="317"/>
        <v>2024-02</v>
      </c>
      <c r="M3369">
        <f t="shared" si="315"/>
        <v>477.96000000000004</v>
      </c>
    </row>
    <row r="3370" spans="1:13" x14ac:dyDescent="0.25">
      <c r="A3370" s="1">
        <v>45543</v>
      </c>
      <c r="B3370" t="s">
        <v>23</v>
      </c>
      <c r="C3370" t="s">
        <v>11</v>
      </c>
      <c r="D3370" t="s">
        <v>13</v>
      </c>
      <c r="E3370">
        <v>1955.35</v>
      </c>
      <c r="F3370">
        <v>1138.71</v>
      </c>
      <c r="G3370">
        <v>6</v>
      </c>
      <c r="H3370">
        <f t="shared" si="312"/>
        <v>11732.099999999999</v>
      </c>
      <c r="I3370">
        <f t="shared" si="316"/>
        <v>6832.26</v>
      </c>
      <c r="J3370">
        <f t="shared" si="313"/>
        <v>4899.8399999999983</v>
      </c>
      <c r="K3370" s="8">
        <f t="shared" si="314"/>
        <v>0.41764390006904123</v>
      </c>
      <c r="L3370" t="str">
        <f t="shared" si="317"/>
        <v>2024-09</v>
      </c>
      <c r="M3370">
        <f t="shared" si="315"/>
        <v>4899.8399999999983</v>
      </c>
    </row>
    <row r="3371" spans="1:13" x14ac:dyDescent="0.25">
      <c r="A3371" s="1">
        <v>44705</v>
      </c>
      <c r="B3371" t="s">
        <v>25</v>
      </c>
      <c r="C3371" t="s">
        <v>15</v>
      </c>
      <c r="D3371" t="s">
        <v>13</v>
      </c>
      <c r="E3371">
        <v>1959.78</v>
      </c>
      <c r="F3371">
        <v>1017.1</v>
      </c>
      <c r="G3371">
        <v>6</v>
      </c>
      <c r="H3371">
        <f t="shared" si="312"/>
        <v>11758.68</v>
      </c>
      <c r="I3371">
        <f t="shared" si="316"/>
        <v>6102.6</v>
      </c>
      <c r="J3371">
        <f t="shared" si="313"/>
        <v>5656.08</v>
      </c>
      <c r="K3371" s="8">
        <f t="shared" si="314"/>
        <v>0.48101317494820844</v>
      </c>
      <c r="L3371" t="str">
        <f t="shared" si="317"/>
        <v>2022-05</v>
      </c>
      <c r="M3371">
        <f t="shared" si="315"/>
        <v>5656.08</v>
      </c>
    </row>
    <row r="3372" spans="1:13" x14ac:dyDescent="0.25">
      <c r="A3372" s="1">
        <v>44623</v>
      </c>
      <c r="B3372" t="s">
        <v>19</v>
      </c>
      <c r="C3372" t="s">
        <v>20</v>
      </c>
      <c r="D3372" t="s">
        <v>17</v>
      </c>
      <c r="E3372">
        <v>1767.23</v>
      </c>
      <c r="F3372">
        <v>1052.8599999999999</v>
      </c>
      <c r="G3372">
        <v>2</v>
      </c>
      <c r="H3372">
        <f t="shared" si="312"/>
        <v>3534.46</v>
      </c>
      <c r="I3372">
        <f t="shared" si="316"/>
        <v>2105.7199999999998</v>
      </c>
      <c r="J3372">
        <f t="shared" si="313"/>
        <v>1428.7400000000002</v>
      </c>
      <c r="K3372" s="8">
        <f t="shared" si="314"/>
        <v>0.40423148090514538</v>
      </c>
      <c r="L3372" t="str">
        <f t="shared" si="317"/>
        <v>2022-03</v>
      </c>
      <c r="M3372">
        <f t="shared" si="315"/>
        <v>1428.7400000000002</v>
      </c>
    </row>
    <row r="3373" spans="1:13" x14ac:dyDescent="0.25">
      <c r="A3373" s="1">
        <v>45246</v>
      </c>
      <c r="B3373" t="s">
        <v>12</v>
      </c>
      <c r="C3373" t="s">
        <v>8</v>
      </c>
      <c r="D3373" t="s">
        <v>13</v>
      </c>
      <c r="E3373">
        <v>896.5</v>
      </c>
      <c r="F3373">
        <v>724.4</v>
      </c>
      <c r="G3373">
        <v>1</v>
      </c>
      <c r="H3373">
        <f t="shared" si="312"/>
        <v>896.5</v>
      </c>
      <c r="I3373">
        <f t="shared" si="316"/>
        <v>724.4</v>
      </c>
      <c r="J3373">
        <f t="shared" si="313"/>
        <v>172.10000000000002</v>
      </c>
      <c r="K3373" s="8">
        <f t="shared" si="314"/>
        <v>0.19196876742889016</v>
      </c>
      <c r="L3373" t="str">
        <f t="shared" si="317"/>
        <v>2023-11</v>
      </c>
      <c r="M3373">
        <f t="shared" si="315"/>
        <v>172.10000000000002</v>
      </c>
    </row>
    <row r="3374" spans="1:13" x14ac:dyDescent="0.25">
      <c r="A3374" s="1">
        <v>45150</v>
      </c>
      <c r="B3374" t="s">
        <v>21</v>
      </c>
      <c r="C3374" t="s">
        <v>20</v>
      </c>
      <c r="D3374" t="s">
        <v>17</v>
      </c>
      <c r="E3374">
        <v>1520.92</v>
      </c>
      <c r="F3374">
        <v>1246.3</v>
      </c>
      <c r="G3374">
        <v>8</v>
      </c>
      <c r="H3374">
        <f t="shared" si="312"/>
        <v>12167.36</v>
      </c>
      <c r="I3374">
        <f t="shared" si="316"/>
        <v>9970.4</v>
      </c>
      <c r="J3374">
        <f t="shared" si="313"/>
        <v>2196.9600000000009</v>
      </c>
      <c r="K3374" s="8">
        <f t="shared" si="314"/>
        <v>0.18056176524735035</v>
      </c>
      <c r="L3374" t="str">
        <f t="shared" si="317"/>
        <v>2023-08</v>
      </c>
      <c r="M3374">
        <f t="shared" si="315"/>
        <v>2196.9600000000009</v>
      </c>
    </row>
    <row r="3375" spans="1:13" x14ac:dyDescent="0.25">
      <c r="A3375" s="1">
        <v>45456</v>
      </c>
      <c r="B3375" t="s">
        <v>23</v>
      </c>
      <c r="C3375" t="s">
        <v>11</v>
      </c>
      <c r="D3375" t="s">
        <v>17</v>
      </c>
      <c r="E3375">
        <v>266.85000000000002</v>
      </c>
      <c r="F3375">
        <v>133.61000000000001</v>
      </c>
      <c r="G3375">
        <v>6</v>
      </c>
      <c r="H3375">
        <f t="shared" si="312"/>
        <v>1601.1000000000001</v>
      </c>
      <c r="I3375">
        <f t="shared" si="316"/>
        <v>801.66000000000008</v>
      </c>
      <c r="J3375">
        <f t="shared" si="313"/>
        <v>799.44</v>
      </c>
      <c r="K3375" s="8">
        <f t="shared" si="314"/>
        <v>0.49930672662544501</v>
      </c>
      <c r="L3375" t="str">
        <f t="shared" si="317"/>
        <v>2024-06</v>
      </c>
      <c r="M3375">
        <f t="shared" si="315"/>
        <v>799.44</v>
      </c>
    </row>
    <row r="3376" spans="1:13" x14ac:dyDescent="0.25">
      <c r="A3376" s="1">
        <v>45303</v>
      </c>
      <c r="B3376" t="s">
        <v>25</v>
      </c>
      <c r="C3376" t="s">
        <v>15</v>
      </c>
      <c r="D3376" t="s">
        <v>18</v>
      </c>
      <c r="E3376">
        <v>1315.88</v>
      </c>
      <c r="F3376">
        <v>664.9</v>
      </c>
      <c r="G3376">
        <v>4</v>
      </c>
      <c r="H3376">
        <f t="shared" si="312"/>
        <v>5263.52</v>
      </c>
      <c r="I3376">
        <f t="shared" si="316"/>
        <v>2659.6</v>
      </c>
      <c r="J3376">
        <f t="shared" si="313"/>
        <v>2603.9200000000005</v>
      </c>
      <c r="K3376" s="8">
        <f t="shared" si="314"/>
        <v>0.4947107638994438</v>
      </c>
      <c r="L3376" t="str">
        <f t="shared" si="317"/>
        <v>2024-01</v>
      </c>
      <c r="M3376">
        <f t="shared" si="315"/>
        <v>2603.9200000000005</v>
      </c>
    </row>
    <row r="3377" spans="1:13" x14ac:dyDescent="0.25">
      <c r="A3377" s="1">
        <v>44798</v>
      </c>
      <c r="B3377" t="s">
        <v>21</v>
      </c>
      <c r="C3377" t="s">
        <v>20</v>
      </c>
      <c r="D3377" t="s">
        <v>18</v>
      </c>
      <c r="E3377">
        <v>238.74</v>
      </c>
      <c r="F3377">
        <v>163.86</v>
      </c>
      <c r="G3377">
        <v>9</v>
      </c>
      <c r="H3377">
        <f t="shared" si="312"/>
        <v>2148.66</v>
      </c>
      <c r="I3377">
        <f t="shared" si="316"/>
        <v>1474.7400000000002</v>
      </c>
      <c r="J3377">
        <f t="shared" si="313"/>
        <v>673.91999999999962</v>
      </c>
      <c r="K3377" s="8">
        <f t="shared" si="314"/>
        <v>0.31364664488564953</v>
      </c>
      <c r="L3377" t="str">
        <f t="shared" si="317"/>
        <v>2022-08</v>
      </c>
      <c r="M3377">
        <f t="shared" si="315"/>
        <v>673.91999999999962</v>
      </c>
    </row>
    <row r="3378" spans="1:13" x14ac:dyDescent="0.25">
      <c r="A3378" s="1">
        <v>44766</v>
      </c>
      <c r="B3378" t="s">
        <v>23</v>
      </c>
      <c r="C3378" t="s">
        <v>11</v>
      </c>
      <c r="D3378" t="s">
        <v>9</v>
      </c>
      <c r="E3378">
        <v>1976.33</v>
      </c>
      <c r="F3378">
        <v>1690.17</v>
      </c>
      <c r="G3378">
        <v>7</v>
      </c>
      <c r="H3378">
        <f t="shared" si="312"/>
        <v>13834.31</v>
      </c>
      <c r="I3378">
        <f t="shared" si="316"/>
        <v>11831.19</v>
      </c>
      <c r="J3378">
        <f t="shared" si="313"/>
        <v>2003.119999999999</v>
      </c>
      <c r="K3378" s="8">
        <f t="shared" si="314"/>
        <v>0.14479363264232181</v>
      </c>
      <c r="L3378" t="str">
        <f t="shared" si="317"/>
        <v>2022-07</v>
      </c>
      <c r="M3378">
        <f t="shared" si="315"/>
        <v>2003.119999999999</v>
      </c>
    </row>
    <row r="3379" spans="1:13" x14ac:dyDescent="0.25">
      <c r="A3379" s="1">
        <v>44790</v>
      </c>
      <c r="B3379" t="s">
        <v>21</v>
      </c>
      <c r="C3379" t="s">
        <v>20</v>
      </c>
      <c r="D3379" t="s">
        <v>17</v>
      </c>
      <c r="E3379">
        <v>1309.8499999999999</v>
      </c>
      <c r="F3379">
        <v>967.49</v>
      </c>
      <c r="G3379">
        <v>2</v>
      </c>
      <c r="H3379">
        <f t="shared" si="312"/>
        <v>2619.6999999999998</v>
      </c>
      <c r="I3379">
        <f t="shared" si="316"/>
        <v>1934.98</v>
      </c>
      <c r="J3379">
        <f t="shared" si="313"/>
        <v>684.7199999999998</v>
      </c>
      <c r="K3379" s="8">
        <f t="shared" si="314"/>
        <v>0.26137343970683663</v>
      </c>
      <c r="L3379" t="str">
        <f t="shared" si="317"/>
        <v>2022-08</v>
      </c>
      <c r="M3379">
        <f t="shared" si="315"/>
        <v>684.7199999999998</v>
      </c>
    </row>
    <row r="3380" spans="1:13" x14ac:dyDescent="0.25">
      <c r="A3380" s="1">
        <v>44946</v>
      </c>
      <c r="B3380" t="s">
        <v>24</v>
      </c>
      <c r="C3380" t="s">
        <v>20</v>
      </c>
      <c r="D3380" t="s">
        <v>9</v>
      </c>
      <c r="E3380">
        <v>869.01</v>
      </c>
      <c r="F3380">
        <v>525</v>
      </c>
      <c r="G3380">
        <v>5</v>
      </c>
      <c r="H3380">
        <f t="shared" si="312"/>
        <v>4345.05</v>
      </c>
      <c r="I3380">
        <f t="shared" si="316"/>
        <v>2625</v>
      </c>
      <c r="J3380">
        <f t="shared" si="313"/>
        <v>1720.0500000000002</v>
      </c>
      <c r="K3380" s="8">
        <f t="shared" si="314"/>
        <v>0.39586425932958197</v>
      </c>
      <c r="L3380" t="str">
        <f t="shared" si="317"/>
        <v>2023-01</v>
      </c>
      <c r="M3380">
        <f t="shared" si="315"/>
        <v>1720.0500000000002</v>
      </c>
    </row>
    <row r="3381" spans="1:13" x14ac:dyDescent="0.25">
      <c r="A3381" s="1">
        <v>44622</v>
      </c>
      <c r="B3381" t="s">
        <v>24</v>
      </c>
      <c r="C3381" t="s">
        <v>20</v>
      </c>
      <c r="D3381" t="s">
        <v>18</v>
      </c>
      <c r="E3381">
        <v>578.70000000000005</v>
      </c>
      <c r="F3381">
        <v>397.26</v>
      </c>
      <c r="G3381">
        <v>3</v>
      </c>
      <c r="H3381">
        <f t="shared" si="312"/>
        <v>1736.1000000000001</v>
      </c>
      <c r="I3381">
        <f t="shared" si="316"/>
        <v>1191.78</v>
      </c>
      <c r="J3381">
        <f t="shared" si="313"/>
        <v>544.32000000000016</v>
      </c>
      <c r="K3381" s="8">
        <f t="shared" si="314"/>
        <v>0.31353032659409025</v>
      </c>
      <c r="L3381" t="str">
        <f t="shared" si="317"/>
        <v>2022-03</v>
      </c>
      <c r="M3381">
        <f t="shared" si="315"/>
        <v>544.32000000000016</v>
      </c>
    </row>
    <row r="3382" spans="1:13" x14ac:dyDescent="0.25">
      <c r="A3382" s="1">
        <v>44575</v>
      </c>
      <c r="B3382" t="s">
        <v>21</v>
      </c>
      <c r="C3382" t="s">
        <v>20</v>
      </c>
      <c r="D3382" t="s">
        <v>17</v>
      </c>
      <c r="E3382">
        <v>1407.34</v>
      </c>
      <c r="F3382">
        <v>1233.74</v>
      </c>
      <c r="G3382">
        <v>3</v>
      </c>
      <c r="H3382">
        <f t="shared" si="312"/>
        <v>4222.0199999999995</v>
      </c>
      <c r="I3382">
        <f t="shared" si="316"/>
        <v>3701.2200000000003</v>
      </c>
      <c r="J3382">
        <f t="shared" si="313"/>
        <v>520.79999999999927</v>
      </c>
      <c r="K3382" s="8">
        <f t="shared" si="314"/>
        <v>0.12335327639376396</v>
      </c>
      <c r="L3382" t="str">
        <f t="shared" si="317"/>
        <v>2022-01</v>
      </c>
      <c r="M3382">
        <f t="shared" si="315"/>
        <v>520.79999999999927</v>
      </c>
    </row>
    <row r="3383" spans="1:13" x14ac:dyDescent="0.25">
      <c r="A3383" s="1">
        <v>45090</v>
      </c>
      <c r="B3383" t="s">
        <v>24</v>
      </c>
      <c r="C3383" t="s">
        <v>20</v>
      </c>
      <c r="D3383" t="s">
        <v>9</v>
      </c>
      <c r="E3383">
        <v>202.06</v>
      </c>
      <c r="F3383">
        <v>139.31</v>
      </c>
      <c r="G3383">
        <v>10</v>
      </c>
      <c r="H3383">
        <f t="shared" si="312"/>
        <v>2020.6</v>
      </c>
      <c r="I3383">
        <f t="shared" si="316"/>
        <v>1393.1</v>
      </c>
      <c r="J3383">
        <f t="shared" si="313"/>
        <v>627.5</v>
      </c>
      <c r="K3383" s="8">
        <f t="shared" si="314"/>
        <v>0.31055132138968622</v>
      </c>
      <c r="L3383" t="str">
        <f t="shared" si="317"/>
        <v>2023-06</v>
      </c>
      <c r="M3383">
        <f t="shared" si="315"/>
        <v>627.5</v>
      </c>
    </row>
    <row r="3384" spans="1:13" x14ac:dyDescent="0.25">
      <c r="A3384" s="1">
        <v>45266</v>
      </c>
      <c r="B3384" t="s">
        <v>25</v>
      </c>
      <c r="C3384" t="s">
        <v>15</v>
      </c>
      <c r="D3384" t="s">
        <v>13</v>
      </c>
      <c r="E3384">
        <v>976.38</v>
      </c>
      <c r="F3384">
        <v>488.66</v>
      </c>
      <c r="G3384">
        <v>10</v>
      </c>
      <c r="H3384">
        <f t="shared" si="312"/>
        <v>9763.7999999999993</v>
      </c>
      <c r="I3384">
        <f t="shared" si="316"/>
        <v>4886.6000000000004</v>
      </c>
      <c r="J3384">
        <f t="shared" si="313"/>
        <v>4877.1999999999989</v>
      </c>
      <c r="K3384" s="8">
        <f t="shared" si="314"/>
        <v>0.49951863004158209</v>
      </c>
      <c r="L3384" t="str">
        <f t="shared" si="317"/>
        <v>2023-12</v>
      </c>
      <c r="M3384">
        <f t="shared" si="315"/>
        <v>4877.1999999999989</v>
      </c>
    </row>
    <row r="3385" spans="1:13" x14ac:dyDescent="0.25">
      <c r="A3385" s="1">
        <v>44818</v>
      </c>
      <c r="B3385" t="s">
        <v>12</v>
      </c>
      <c r="C3385" t="s">
        <v>8</v>
      </c>
      <c r="D3385" t="s">
        <v>9</v>
      </c>
      <c r="E3385">
        <v>1573.03</v>
      </c>
      <c r="F3385">
        <v>1196.8900000000001</v>
      </c>
      <c r="G3385">
        <v>4</v>
      </c>
      <c r="H3385">
        <f t="shared" si="312"/>
        <v>6292.12</v>
      </c>
      <c r="I3385">
        <f t="shared" si="316"/>
        <v>4787.5600000000004</v>
      </c>
      <c r="J3385">
        <f t="shared" si="313"/>
        <v>1504.5599999999995</v>
      </c>
      <c r="K3385" s="8">
        <f t="shared" si="314"/>
        <v>0.23911813506417542</v>
      </c>
      <c r="L3385" t="str">
        <f t="shared" si="317"/>
        <v>2022-09</v>
      </c>
      <c r="M3385">
        <f t="shared" si="315"/>
        <v>1504.5599999999995</v>
      </c>
    </row>
    <row r="3386" spans="1:13" x14ac:dyDescent="0.25">
      <c r="A3386" s="1">
        <v>44657</v>
      </c>
      <c r="B3386" t="s">
        <v>21</v>
      </c>
      <c r="C3386" t="s">
        <v>20</v>
      </c>
      <c r="D3386" t="s">
        <v>17</v>
      </c>
      <c r="E3386">
        <v>416.51</v>
      </c>
      <c r="F3386">
        <v>305.35000000000002</v>
      </c>
      <c r="G3386">
        <v>4</v>
      </c>
      <c r="H3386">
        <f t="shared" si="312"/>
        <v>1666.04</v>
      </c>
      <c r="I3386">
        <f t="shared" si="316"/>
        <v>1221.4000000000001</v>
      </c>
      <c r="J3386">
        <f t="shared" si="313"/>
        <v>444.63999999999987</v>
      </c>
      <c r="K3386" s="8">
        <f t="shared" si="314"/>
        <v>0.26688434851504156</v>
      </c>
      <c r="L3386" t="str">
        <f t="shared" si="317"/>
        <v>2022-04</v>
      </c>
      <c r="M3386">
        <f t="shared" si="315"/>
        <v>444.63999999999987</v>
      </c>
    </row>
    <row r="3387" spans="1:13" x14ac:dyDescent="0.25">
      <c r="A3387" s="1">
        <v>44572</v>
      </c>
      <c r="B3387" t="s">
        <v>23</v>
      </c>
      <c r="C3387" t="s">
        <v>11</v>
      </c>
      <c r="D3387" t="s">
        <v>13</v>
      </c>
      <c r="E3387">
        <v>1697.16</v>
      </c>
      <c r="F3387">
        <v>1245.1600000000001</v>
      </c>
      <c r="G3387">
        <v>2</v>
      </c>
      <c r="H3387">
        <f t="shared" si="312"/>
        <v>3394.32</v>
      </c>
      <c r="I3387">
        <f t="shared" si="316"/>
        <v>2490.3200000000002</v>
      </c>
      <c r="J3387">
        <f t="shared" si="313"/>
        <v>904</v>
      </c>
      <c r="K3387" s="8">
        <f t="shared" si="314"/>
        <v>0.2663272761554597</v>
      </c>
      <c r="L3387" t="str">
        <f t="shared" si="317"/>
        <v>2022-01</v>
      </c>
      <c r="M3387">
        <f t="shared" si="315"/>
        <v>904</v>
      </c>
    </row>
    <row r="3388" spans="1:13" x14ac:dyDescent="0.25">
      <c r="A3388" s="1">
        <v>45236</v>
      </c>
      <c r="B3388" t="s">
        <v>7</v>
      </c>
      <c r="C3388" t="s">
        <v>8</v>
      </c>
      <c r="D3388" t="s">
        <v>13</v>
      </c>
      <c r="E3388">
        <v>442.08</v>
      </c>
      <c r="F3388">
        <v>385.79</v>
      </c>
      <c r="G3388">
        <v>7</v>
      </c>
      <c r="H3388">
        <f t="shared" si="312"/>
        <v>3094.56</v>
      </c>
      <c r="I3388">
        <f t="shared" si="316"/>
        <v>2700.53</v>
      </c>
      <c r="J3388">
        <f t="shared" si="313"/>
        <v>394.02999999999975</v>
      </c>
      <c r="K3388" s="8">
        <f t="shared" si="314"/>
        <v>0.12732989504162134</v>
      </c>
      <c r="L3388" t="str">
        <f t="shared" si="317"/>
        <v>2023-11</v>
      </c>
      <c r="M3388">
        <f t="shared" si="315"/>
        <v>394.02999999999975</v>
      </c>
    </row>
    <row r="3389" spans="1:13" x14ac:dyDescent="0.25">
      <c r="A3389" s="1">
        <v>45257</v>
      </c>
      <c r="B3389" t="s">
        <v>24</v>
      </c>
      <c r="C3389" t="s">
        <v>20</v>
      </c>
      <c r="D3389" t="s">
        <v>18</v>
      </c>
      <c r="E3389">
        <v>87.13</v>
      </c>
      <c r="F3389">
        <v>61.43</v>
      </c>
      <c r="G3389">
        <v>9</v>
      </c>
      <c r="H3389">
        <f t="shared" si="312"/>
        <v>784.17</v>
      </c>
      <c r="I3389">
        <f t="shared" si="316"/>
        <v>552.87</v>
      </c>
      <c r="J3389">
        <f t="shared" si="313"/>
        <v>231.29999999999995</v>
      </c>
      <c r="K3389" s="8">
        <f t="shared" si="314"/>
        <v>0.29496155170434979</v>
      </c>
      <c r="L3389" t="str">
        <f t="shared" si="317"/>
        <v>2023-11</v>
      </c>
      <c r="M3389">
        <f t="shared" si="315"/>
        <v>231.29999999999995</v>
      </c>
    </row>
    <row r="3390" spans="1:13" x14ac:dyDescent="0.25">
      <c r="A3390" s="1">
        <v>44741</v>
      </c>
      <c r="B3390" t="s">
        <v>22</v>
      </c>
      <c r="C3390" t="s">
        <v>8</v>
      </c>
      <c r="D3390" t="s">
        <v>18</v>
      </c>
      <c r="E3390">
        <v>1111.21</v>
      </c>
      <c r="F3390">
        <v>960.41</v>
      </c>
      <c r="G3390">
        <v>9</v>
      </c>
      <c r="H3390">
        <f t="shared" si="312"/>
        <v>10000.89</v>
      </c>
      <c r="I3390">
        <f t="shared" si="316"/>
        <v>8643.69</v>
      </c>
      <c r="J3390">
        <f t="shared" si="313"/>
        <v>1357.1999999999989</v>
      </c>
      <c r="K3390" s="8">
        <f t="shared" si="314"/>
        <v>0.13570792199494236</v>
      </c>
      <c r="L3390" t="str">
        <f t="shared" si="317"/>
        <v>2022-06</v>
      </c>
      <c r="M3390">
        <f t="shared" si="315"/>
        <v>1357.1999999999989</v>
      </c>
    </row>
    <row r="3391" spans="1:13" x14ac:dyDescent="0.25">
      <c r="A3391" s="1">
        <v>45469</v>
      </c>
      <c r="B3391" t="s">
        <v>25</v>
      </c>
      <c r="C3391" t="s">
        <v>15</v>
      </c>
      <c r="D3391" t="s">
        <v>13</v>
      </c>
      <c r="E3391">
        <v>1307.27</v>
      </c>
      <c r="F3391">
        <v>840.33</v>
      </c>
      <c r="G3391">
        <v>4</v>
      </c>
      <c r="H3391">
        <f t="shared" si="312"/>
        <v>5229.08</v>
      </c>
      <c r="I3391">
        <f t="shared" si="316"/>
        <v>3361.32</v>
      </c>
      <c r="J3391">
        <f t="shared" si="313"/>
        <v>1867.7599999999998</v>
      </c>
      <c r="K3391" s="8">
        <f t="shared" si="314"/>
        <v>0.3571871151330635</v>
      </c>
      <c r="L3391" t="str">
        <f t="shared" si="317"/>
        <v>2024-06</v>
      </c>
      <c r="M3391">
        <f t="shared" si="315"/>
        <v>1867.7599999999998</v>
      </c>
    </row>
    <row r="3392" spans="1:13" x14ac:dyDescent="0.25">
      <c r="A3392" s="1">
        <v>45289</v>
      </c>
      <c r="B3392" t="s">
        <v>23</v>
      </c>
      <c r="C3392" t="s">
        <v>11</v>
      </c>
      <c r="D3392" t="s">
        <v>17</v>
      </c>
      <c r="E3392">
        <v>387.49</v>
      </c>
      <c r="F3392">
        <v>193.83</v>
      </c>
      <c r="G3392">
        <v>8</v>
      </c>
      <c r="H3392">
        <f t="shared" si="312"/>
        <v>3099.92</v>
      </c>
      <c r="I3392">
        <f t="shared" si="316"/>
        <v>1550.64</v>
      </c>
      <c r="J3392">
        <f t="shared" si="313"/>
        <v>1549.28</v>
      </c>
      <c r="K3392" s="8">
        <f t="shared" si="314"/>
        <v>0.49978063950037416</v>
      </c>
      <c r="L3392" t="str">
        <f t="shared" si="317"/>
        <v>2023-12</v>
      </c>
      <c r="M3392">
        <f t="shared" si="315"/>
        <v>1549.28</v>
      </c>
    </row>
    <row r="3393" spans="1:13" x14ac:dyDescent="0.25">
      <c r="A3393" s="1">
        <v>45251</v>
      </c>
      <c r="B3393" t="s">
        <v>19</v>
      </c>
      <c r="C3393" t="s">
        <v>20</v>
      </c>
      <c r="D3393" t="s">
        <v>18</v>
      </c>
      <c r="E3393">
        <v>203.36</v>
      </c>
      <c r="F3393">
        <v>150.72999999999999</v>
      </c>
      <c r="G3393">
        <v>10</v>
      </c>
      <c r="H3393">
        <f t="shared" si="312"/>
        <v>2033.6000000000001</v>
      </c>
      <c r="I3393">
        <f t="shared" si="316"/>
        <v>1507.3</v>
      </c>
      <c r="J3393">
        <f t="shared" si="313"/>
        <v>526.30000000000018</v>
      </c>
      <c r="K3393" s="8">
        <f t="shared" si="314"/>
        <v>0.2588021243115658</v>
      </c>
      <c r="L3393" t="str">
        <f t="shared" si="317"/>
        <v>2023-11</v>
      </c>
      <c r="M3393">
        <f t="shared" si="315"/>
        <v>526.30000000000018</v>
      </c>
    </row>
    <row r="3394" spans="1:13" x14ac:dyDescent="0.25">
      <c r="A3394" s="1">
        <v>45507</v>
      </c>
      <c r="B3394" t="s">
        <v>25</v>
      </c>
      <c r="C3394" t="s">
        <v>15</v>
      </c>
      <c r="D3394" t="s">
        <v>13</v>
      </c>
      <c r="E3394">
        <v>752.93</v>
      </c>
      <c r="F3394">
        <v>455.82</v>
      </c>
      <c r="G3394">
        <v>10</v>
      </c>
      <c r="H3394">
        <f t="shared" si="312"/>
        <v>7529.2999999999993</v>
      </c>
      <c r="I3394">
        <f t="shared" si="316"/>
        <v>4558.2</v>
      </c>
      <c r="J3394">
        <f t="shared" si="313"/>
        <v>2971.0999999999995</v>
      </c>
      <c r="K3394" s="8">
        <f t="shared" si="314"/>
        <v>0.39460507616909934</v>
      </c>
      <c r="L3394" t="str">
        <f t="shared" si="317"/>
        <v>2024-08</v>
      </c>
      <c r="M3394">
        <f t="shared" si="315"/>
        <v>2971.0999999999995</v>
      </c>
    </row>
    <row r="3395" spans="1:13" x14ac:dyDescent="0.25">
      <c r="A3395" s="1">
        <v>45296</v>
      </c>
      <c r="B3395" t="s">
        <v>10</v>
      </c>
      <c r="C3395" t="s">
        <v>11</v>
      </c>
      <c r="D3395" t="s">
        <v>18</v>
      </c>
      <c r="E3395">
        <v>1377.96</v>
      </c>
      <c r="F3395">
        <v>960.88</v>
      </c>
      <c r="G3395">
        <v>8</v>
      </c>
      <c r="H3395">
        <f t="shared" ref="H3395:H3458" si="318">E3395*G3395</f>
        <v>11023.68</v>
      </c>
      <c r="I3395">
        <f t="shared" si="316"/>
        <v>7687.04</v>
      </c>
      <c r="J3395">
        <f t="shared" ref="J3395:J3458" si="319">H3395-I3395</f>
        <v>3336.6400000000003</v>
      </c>
      <c r="K3395" s="8">
        <f t="shared" ref="K3395:K3458" si="320">(H3395-I3395)/H3395</f>
        <v>0.30267932305727308</v>
      </c>
      <c r="L3395" t="str">
        <f t="shared" si="317"/>
        <v>2024-01</v>
      </c>
      <c r="M3395">
        <f t="shared" ref="M3395:M3458" si="321">H3395-I3395</f>
        <v>3336.6400000000003</v>
      </c>
    </row>
    <row r="3396" spans="1:13" x14ac:dyDescent="0.25">
      <c r="A3396" s="1">
        <v>44895</v>
      </c>
      <c r="B3396" t="s">
        <v>24</v>
      </c>
      <c r="C3396" t="s">
        <v>20</v>
      </c>
      <c r="D3396" t="s">
        <v>13</v>
      </c>
      <c r="E3396">
        <v>1608.28</v>
      </c>
      <c r="F3396">
        <v>983.83</v>
      </c>
      <c r="G3396">
        <v>8</v>
      </c>
      <c r="H3396">
        <f t="shared" si="318"/>
        <v>12866.24</v>
      </c>
      <c r="I3396">
        <f t="shared" ref="I3396:I3459" si="322">F3396*G3396</f>
        <v>7870.64</v>
      </c>
      <c r="J3396">
        <f t="shared" si="319"/>
        <v>4995.5999999999995</v>
      </c>
      <c r="K3396" s="8">
        <f t="shared" si="320"/>
        <v>0.38827194269654536</v>
      </c>
      <c r="L3396" t="str">
        <f t="shared" ref="L3396:L3459" si="323">TEXT(A3396,"rrrr-mm")</f>
        <v>2022-11</v>
      </c>
      <c r="M3396">
        <f t="shared" si="321"/>
        <v>4995.5999999999995</v>
      </c>
    </row>
    <row r="3397" spans="1:13" x14ac:dyDescent="0.25">
      <c r="A3397" s="1">
        <v>44864</v>
      </c>
      <c r="B3397" t="s">
        <v>14</v>
      </c>
      <c r="C3397" t="s">
        <v>15</v>
      </c>
      <c r="D3397" t="s">
        <v>9</v>
      </c>
      <c r="E3397">
        <v>646.63</v>
      </c>
      <c r="F3397">
        <v>369.33</v>
      </c>
      <c r="G3397">
        <v>2</v>
      </c>
      <c r="H3397">
        <f t="shared" si="318"/>
        <v>1293.26</v>
      </c>
      <c r="I3397">
        <f t="shared" si="322"/>
        <v>738.66</v>
      </c>
      <c r="J3397">
        <f t="shared" si="319"/>
        <v>554.6</v>
      </c>
      <c r="K3397" s="8">
        <f t="shared" si="320"/>
        <v>0.42883874858883753</v>
      </c>
      <c r="L3397" t="str">
        <f t="shared" si="323"/>
        <v>2022-10</v>
      </c>
      <c r="M3397">
        <f t="shared" si="321"/>
        <v>554.6</v>
      </c>
    </row>
    <row r="3398" spans="1:13" x14ac:dyDescent="0.25">
      <c r="A3398" s="1">
        <v>44913</v>
      </c>
      <c r="B3398" t="s">
        <v>24</v>
      </c>
      <c r="C3398" t="s">
        <v>20</v>
      </c>
      <c r="D3398" t="s">
        <v>17</v>
      </c>
      <c r="E3398">
        <v>1201.48</v>
      </c>
      <c r="F3398">
        <v>749.99</v>
      </c>
      <c r="G3398">
        <v>1</v>
      </c>
      <c r="H3398">
        <f t="shared" si="318"/>
        <v>1201.48</v>
      </c>
      <c r="I3398">
        <f t="shared" si="322"/>
        <v>749.99</v>
      </c>
      <c r="J3398">
        <f t="shared" si="319"/>
        <v>451.49</v>
      </c>
      <c r="K3398" s="8">
        <f t="shared" si="320"/>
        <v>0.37577820687818358</v>
      </c>
      <c r="L3398" t="str">
        <f t="shared" si="323"/>
        <v>2022-12</v>
      </c>
      <c r="M3398">
        <f t="shared" si="321"/>
        <v>451.49</v>
      </c>
    </row>
    <row r="3399" spans="1:13" x14ac:dyDescent="0.25">
      <c r="A3399" s="1">
        <v>45558</v>
      </c>
      <c r="B3399" t="s">
        <v>12</v>
      </c>
      <c r="C3399" t="s">
        <v>8</v>
      </c>
      <c r="D3399" t="s">
        <v>17</v>
      </c>
      <c r="E3399">
        <v>621.66</v>
      </c>
      <c r="F3399">
        <v>418.72</v>
      </c>
      <c r="G3399">
        <v>9</v>
      </c>
      <c r="H3399">
        <f t="shared" si="318"/>
        <v>5594.94</v>
      </c>
      <c r="I3399">
        <f t="shared" si="322"/>
        <v>3768.4800000000005</v>
      </c>
      <c r="J3399">
        <f t="shared" si="319"/>
        <v>1826.4599999999991</v>
      </c>
      <c r="K3399" s="8">
        <f t="shared" si="320"/>
        <v>0.32644854100312054</v>
      </c>
      <c r="L3399" t="str">
        <f t="shared" si="323"/>
        <v>2024-09</v>
      </c>
      <c r="M3399">
        <f t="shared" si="321"/>
        <v>1826.4599999999991</v>
      </c>
    </row>
    <row r="3400" spans="1:13" x14ac:dyDescent="0.25">
      <c r="A3400" s="1">
        <v>45205</v>
      </c>
      <c r="B3400" t="s">
        <v>7</v>
      </c>
      <c r="C3400" t="s">
        <v>8</v>
      </c>
      <c r="D3400" t="s">
        <v>18</v>
      </c>
      <c r="E3400">
        <v>1158.27</v>
      </c>
      <c r="F3400">
        <v>819.36</v>
      </c>
      <c r="G3400">
        <v>1</v>
      </c>
      <c r="H3400">
        <f t="shared" si="318"/>
        <v>1158.27</v>
      </c>
      <c r="I3400">
        <f t="shared" si="322"/>
        <v>819.36</v>
      </c>
      <c r="J3400">
        <f t="shared" si="319"/>
        <v>338.90999999999997</v>
      </c>
      <c r="K3400" s="8">
        <f t="shared" si="320"/>
        <v>0.29260017094459839</v>
      </c>
      <c r="L3400" t="str">
        <f t="shared" si="323"/>
        <v>2023-10</v>
      </c>
      <c r="M3400">
        <f t="shared" si="321"/>
        <v>338.90999999999997</v>
      </c>
    </row>
    <row r="3401" spans="1:13" x14ac:dyDescent="0.25">
      <c r="A3401" s="1">
        <v>45024</v>
      </c>
      <c r="B3401" t="s">
        <v>7</v>
      </c>
      <c r="C3401" t="s">
        <v>8</v>
      </c>
      <c r="D3401" t="s">
        <v>13</v>
      </c>
      <c r="E3401">
        <v>40.1</v>
      </c>
      <c r="F3401">
        <v>22.64</v>
      </c>
      <c r="G3401">
        <v>4</v>
      </c>
      <c r="H3401">
        <f t="shared" si="318"/>
        <v>160.4</v>
      </c>
      <c r="I3401">
        <f t="shared" si="322"/>
        <v>90.56</v>
      </c>
      <c r="J3401">
        <f t="shared" si="319"/>
        <v>69.84</v>
      </c>
      <c r="K3401" s="8">
        <f t="shared" si="320"/>
        <v>0.43541147132169578</v>
      </c>
      <c r="L3401" t="str">
        <f t="shared" si="323"/>
        <v>2023-04</v>
      </c>
      <c r="M3401">
        <f t="shared" si="321"/>
        <v>69.84</v>
      </c>
    </row>
    <row r="3402" spans="1:13" x14ac:dyDescent="0.25">
      <c r="A3402" s="1">
        <v>44835</v>
      </c>
      <c r="B3402" t="s">
        <v>12</v>
      </c>
      <c r="C3402" t="s">
        <v>8</v>
      </c>
      <c r="D3402" t="s">
        <v>9</v>
      </c>
      <c r="E3402">
        <v>1690.25</v>
      </c>
      <c r="F3402">
        <v>934.91</v>
      </c>
      <c r="G3402">
        <v>7</v>
      </c>
      <c r="H3402">
        <f t="shared" si="318"/>
        <v>11831.75</v>
      </c>
      <c r="I3402">
        <f t="shared" si="322"/>
        <v>6544.37</v>
      </c>
      <c r="J3402">
        <f t="shared" si="319"/>
        <v>5287.38</v>
      </c>
      <c r="K3402" s="8">
        <f t="shared" si="320"/>
        <v>0.44688063895873392</v>
      </c>
      <c r="L3402" t="str">
        <f t="shared" si="323"/>
        <v>2022-10</v>
      </c>
      <c r="M3402">
        <f t="shared" si="321"/>
        <v>5287.38</v>
      </c>
    </row>
    <row r="3403" spans="1:13" x14ac:dyDescent="0.25">
      <c r="A3403" s="1">
        <v>44598</v>
      </c>
      <c r="B3403" t="s">
        <v>24</v>
      </c>
      <c r="C3403" t="s">
        <v>20</v>
      </c>
      <c r="D3403" t="s">
        <v>17</v>
      </c>
      <c r="E3403">
        <v>1316.07</v>
      </c>
      <c r="F3403">
        <v>1020.72</v>
      </c>
      <c r="G3403">
        <v>4</v>
      </c>
      <c r="H3403">
        <f t="shared" si="318"/>
        <v>5264.28</v>
      </c>
      <c r="I3403">
        <f t="shared" si="322"/>
        <v>4082.88</v>
      </c>
      <c r="J3403">
        <f t="shared" si="319"/>
        <v>1181.3999999999996</v>
      </c>
      <c r="K3403" s="8">
        <f t="shared" si="320"/>
        <v>0.22441815404955659</v>
      </c>
      <c r="L3403" t="str">
        <f t="shared" si="323"/>
        <v>2022-02</v>
      </c>
      <c r="M3403">
        <f t="shared" si="321"/>
        <v>1181.3999999999996</v>
      </c>
    </row>
    <row r="3404" spans="1:13" x14ac:dyDescent="0.25">
      <c r="A3404" s="1">
        <v>45527</v>
      </c>
      <c r="B3404" t="s">
        <v>22</v>
      </c>
      <c r="C3404" t="s">
        <v>8</v>
      </c>
      <c r="D3404" t="s">
        <v>9</v>
      </c>
      <c r="E3404">
        <v>151.63</v>
      </c>
      <c r="F3404">
        <v>103.66</v>
      </c>
      <c r="G3404">
        <v>7</v>
      </c>
      <c r="H3404">
        <f t="shared" si="318"/>
        <v>1061.4099999999999</v>
      </c>
      <c r="I3404">
        <f t="shared" si="322"/>
        <v>725.62</v>
      </c>
      <c r="J3404">
        <f t="shared" si="319"/>
        <v>335.78999999999985</v>
      </c>
      <c r="K3404" s="8">
        <f t="shared" si="320"/>
        <v>0.31636219745432953</v>
      </c>
      <c r="L3404" t="str">
        <f t="shared" si="323"/>
        <v>2024-08</v>
      </c>
      <c r="M3404">
        <f t="shared" si="321"/>
        <v>335.78999999999985</v>
      </c>
    </row>
    <row r="3405" spans="1:13" x14ac:dyDescent="0.25">
      <c r="A3405" s="1">
        <v>45198</v>
      </c>
      <c r="B3405" t="s">
        <v>16</v>
      </c>
      <c r="C3405" t="s">
        <v>15</v>
      </c>
      <c r="D3405" t="s">
        <v>9</v>
      </c>
      <c r="E3405">
        <v>310.07</v>
      </c>
      <c r="F3405">
        <v>181.69</v>
      </c>
      <c r="G3405">
        <v>6</v>
      </c>
      <c r="H3405">
        <f t="shared" si="318"/>
        <v>1860.42</v>
      </c>
      <c r="I3405">
        <f t="shared" si="322"/>
        <v>1090.1399999999999</v>
      </c>
      <c r="J3405">
        <f t="shared" si="319"/>
        <v>770.2800000000002</v>
      </c>
      <c r="K3405" s="8">
        <f t="shared" si="320"/>
        <v>0.41403554036185386</v>
      </c>
      <c r="L3405" t="str">
        <f t="shared" si="323"/>
        <v>2023-09</v>
      </c>
      <c r="M3405">
        <f t="shared" si="321"/>
        <v>770.2800000000002</v>
      </c>
    </row>
    <row r="3406" spans="1:13" x14ac:dyDescent="0.25">
      <c r="A3406" s="1">
        <v>45300</v>
      </c>
      <c r="B3406" t="s">
        <v>22</v>
      </c>
      <c r="C3406" t="s">
        <v>8</v>
      </c>
      <c r="D3406" t="s">
        <v>18</v>
      </c>
      <c r="E3406">
        <v>45.53</v>
      </c>
      <c r="F3406">
        <v>27.5</v>
      </c>
      <c r="G3406">
        <v>5</v>
      </c>
      <c r="H3406">
        <f t="shared" si="318"/>
        <v>227.65</v>
      </c>
      <c r="I3406">
        <f t="shared" si="322"/>
        <v>137.5</v>
      </c>
      <c r="J3406">
        <f t="shared" si="319"/>
        <v>90.15</v>
      </c>
      <c r="K3406" s="8">
        <f t="shared" si="320"/>
        <v>0.39600263562486276</v>
      </c>
      <c r="L3406" t="str">
        <f t="shared" si="323"/>
        <v>2024-01</v>
      </c>
      <c r="M3406">
        <f t="shared" si="321"/>
        <v>90.15</v>
      </c>
    </row>
    <row r="3407" spans="1:13" x14ac:dyDescent="0.25">
      <c r="A3407" s="1">
        <v>45074</v>
      </c>
      <c r="B3407" t="s">
        <v>14</v>
      </c>
      <c r="C3407" t="s">
        <v>15</v>
      </c>
      <c r="D3407" t="s">
        <v>18</v>
      </c>
      <c r="E3407">
        <v>627.03</v>
      </c>
      <c r="F3407">
        <v>368.55</v>
      </c>
      <c r="G3407">
        <v>9</v>
      </c>
      <c r="H3407">
        <f t="shared" si="318"/>
        <v>5643.2699999999995</v>
      </c>
      <c r="I3407">
        <f t="shared" si="322"/>
        <v>3316.9500000000003</v>
      </c>
      <c r="J3407">
        <f t="shared" si="319"/>
        <v>2326.3199999999993</v>
      </c>
      <c r="K3407" s="8">
        <f t="shared" si="320"/>
        <v>0.41222907994832775</v>
      </c>
      <c r="L3407" t="str">
        <f t="shared" si="323"/>
        <v>2023-05</v>
      </c>
      <c r="M3407">
        <f t="shared" si="321"/>
        <v>2326.3199999999993</v>
      </c>
    </row>
    <row r="3408" spans="1:13" x14ac:dyDescent="0.25">
      <c r="A3408" s="1">
        <v>44904</v>
      </c>
      <c r="B3408" t="s">
        <v>12</v>
      </c>
      <c r="C3408" t="s">
        <v>8</v>
      </c>
      <c r="D3408" t="s">
        <v>17</v>
      </c>
      <c r="E3408">
        <v>565.84</v>
      </c>
      <c r="F3408">
        <v>383.49</v>
      </c>
      <c r="G3408">
        <v>7</v>
      </c>
      <c r="H3408">
        <f t="shared" si="318"/>
        <v>3960.88</v>
      </c>
      <c r="I3408">
        <f t="shared" si="322"/>
        <v>2684.4300000000003</v>
      </c>
      <c r="J3408">
        <f t="shared" si="319"/>
        <v>1276.4499999999998</v>
      </c>
      <c r="K3408" s="8">
        <f t="shared" si="320"/>
        <v>0.32226424430934536</v>
      </c>
      <c r="L3408" t="str">
        <f t="shared" si="323"/>
        <v>2022-12</v>
      </c>
      <c r="M3408">
        <f t="shared" si="321"/>
        <v>1276.4499999999998</v>
      </c>
    </row>
    <row r="3409" spans="1:13" x14ac:dyDescent="0.25">
      <c r="A3409" s="1">
        <v>45099</v>
      </c>
      <c r="B3409" t="s">
        <v>7</v>
      </c>
      <c r="C3409" t="s">
        <v>8</v>
      </c>
      <c r="D3409" t="s">
        <v>18</v>
      </c>
      <c r="E3409">
        <v>1237.76</v>
      </c>
      <c r="F3409">
        <v>980.08</v>
      </c>
      <c r="G3409">
        <v>8</v>
      </c>
      <c r="H3409">
        <f t="shared" si="318"/>
        <v>9902.08</v>
      </c>
      <c r="I3409">
        <f t="shared" si="322"/>
        <v>7840.64</v>
      </c>
      <c r="J3409">
        <f t="shared" si="319"/>
        <v>2061.4399999999996</v>
      </c>
      <c r="K3409" s="8">
        <f t="shared" si="320"/>
        <v>0.20818252326783865</v>
      </c>
      <c r="L3409" t="str">
        <f t="shared" si="323"/>
        <v>2023-06</v>
      </c>
      <c r="M3409">
        <f t="shared" si="321"/>
        <v>2061.4399999999996</v>
      </c>
    </row>
    <row r="3410" spans="1:13" x14ac:dyDescent="0.25">
      <c r="A3410" s="1">
        <v>44882</v>
      </c>
      <c r="B3410" t="s">
        <v>16</v>
      </c>
      <c r="C3410" t="s">
        <v>15</v>
      </c>
      <c r="D3410" t="s">
        <v>13</v>
      </c>
      <c r="E3410">
        <v>1271.3399999999999</v>
      </c>
      <c r="F3410">
        <v>735.23</v>
      </c>
      <c r="G3410">
        <v>9</v>
      </c>
      <c r="H3410">
        <f t="shared" si="318"/>
        <v>11442.06</v>
      </c>
      <c r="I3410">
        <f t="shared" si="322"/>
        <v>6617.07</v>
      </c>
      <c r="J3410">
        <f t="shared" si="319"/>
        <v>4824.99</v>
      </c>
      <c r="K3410" s="8">
        <f t="shared" si="320"/>
        <v>0.42168892664432805</v>
      </c>
      <c r="L3410" t="str">
        <f t="shared" si="323"/>
        <v>2022-11</v>
      </c>
      <c r="M3410">
        <f t="shared" si="321"/>
        <v>4824.99</v>
      </c>
    </row>
    <row r="3411" spans="1:13" x14ac:dyDescent="0.25">
      <c r="A3411" s="1">
        <v>44756</v>
      </c>
      <c r="B3411" t="s">
        <v>16</v>
      </c>
      <c r="C3411" t="s">
        <v>15</v>
      </c>
      <c r="D3411" t="s">
        <v>18</v>
      </c>
      <c r="E3411">
        <v>498.74</v>
      </c>
      <c r="F3411">
        <v>443.93</v>
      </c>
      <c r="G3411">
        <v>10</v>
      </c>
      <c r="H3411">
        <f t="shared" si="318"/>
        <v>4987.3999999999996</v>
      </c>
      <c r="I3411">
        <f t="shared" si="322"/>
        <v>4439.3</v>
      </c>
      <c r="J3411">
        <f t="shared" si="319"/>
        <v>548.09999999999945</v>
      </c>
      <c r="K3411" s="8">
        <f t="shared" si="320"/>
        <v>0.10989694028952951</v>
      </c>
      <c r="L3411" t="str">
        <f t="shared" si="323"/>
        <v>2022-07</v>
      </c>
      <c r="M3411">
        <f t="shared" si="321"/>
        <v>548.09999999999945</v>
      </c>
    </row>
    <row r="3412" spans="1:13" x14ac:dyDescent="0.25">
      <c r="A3412" s="1">
        <v>44594</v>
      </c>
      <c r="B3412" t="s">
        <v>22</v>
      </c>
      <c r="C3412" t="s">
        <v>8</v>
      </c>
      <c r="D3412" t="s">
        <v>18</v>
      </c>
      <c r="E3412">
        <v>1171.3399999999999</v>
      </c>
      <c r="F3412">
        <v>921.5</v>
      </c>
      <c r="G3412">
        <v>8</v>
      </c>
      <c r="H3412">
        <f t="shared" si="318"/>
        <v>9370.7199999999993</v>
      </c>
      <c r="I3412">
        <f t="shared" si="322"/>
        <v>7372</v>
      </c>
      <c r="J3412">
        <f t="shared" si="319"/>
        <v>1998.7199999999993</v>
      </c>
      <c r="K3412" s="8">
        <f t="shared" si="320"/>
        <v>0.21329417590110467</v>
      </c>
      <c r="L3412" t="str">
        <f t="shared" si="323"/>
        <v>2022-02</v>
      </c>
      <c r="M3412">
        <f t="shared" si="321"/>
        <v>1998.7199999999993</v>
      </c>
    </row>
    <row r="3413" spans="1:13" x14ac:dyDescent="0.25">
      <c r="A3413" s="1">
        <v>45162</v>
      </c>
      <c r="B3413" t="s">
        <v>19</v>
      </c>
      <c r="C3413" t="s">
        <v>20</v>
      </c>
      <c r="D3413" t="s">
        <v>13</v>
      </c>
      <c r="E3413">
        <v>951.63</v>
      </c>
      <c r="F3413">
        <v>579.41</v>
      </c>
      <c r="G3413">
        <v>3</v>
      </c>
      <c r="H3413">
        <f t="shared" si="318"/>
        <v>2854.89</v>
      </c>
      <c r="I3413">
        <f t="shared" si="322"/>
        <v>1738.23</v>
      </c>
      <c r="J3413">
        <f t="shared" si="319"/>
        <v>1116.6599999999999</v>
      </c>
      <c r="K3413" s="8">
        <f t="shared" si="320"/>
        <v>0.39113941342748754</v>
      </c>
      <c r="L3413" t="str">
        <f t="shared" si="323"/>
        <v>2023-08</v>
      </c>
      <c r="M3413">
        <f t="shared" si="321"/>
        <v>1116.6599999999999</v>
      </c>
    </row>
    <row r="3414" spans="1:13" x14ac:dyDescent="0.25">
      <c r="A3414" s="1">
        <v>45432</v>
      </c>
      <c r="B3414" t="s">
        <v>7</v>
      </c>
      <c r="C3414" t="s">
        <v>8</v>
      </c>
      <c r="D3414" t="s">
        <v>18</v>
      </c>
      <c r="E3414">
        <v>135.72999999999999</v>
      </c>
      <c r="F3414">
        <v>84.8</v>
      </c>
      <c r="G3414">
        <v>1</v>
      </c>
      <c r="H3414">
        <f t="shared" si="318"/>
        <v>135.72999999999999</v>
      </c>
      <c r="I3414">
        <f t="shared" si="322"/>
        <v>84.8</v>
      </c>
      <c r="J3414">
        <f t="shared" si="319"/>
        <v>50.929999999999993</v>
      </c>
      <c r="K3414" s="8">
        <f t="shared" si="320"/>
        <v>0.37523023649893167</v>
      </c>
      <c r="L3414" t="str">
        <f t="shared" si="323"/>
        <v>2024-05</v>
      </c>
      <c r="M3414">
        <f t="shared" si="321"/>
        <v>50.929999999999993</v>
      </c>
    </row>
    <row r="3415" spans="1:13" x14ac:dyDescent="0.25">
      <c r="A3415" s="1">
        <v>44673</v>
      </c>
      <c r="B3415" t="s">
        <v>12</v>
      </c>
      <c r="C3415" t="s">
        <v>8</v>
      </c>
      <c r="D3415" t="s">
        <v>18</v>
      </c>
      <c r="E3415">
        <v>1633.7</v>
      </c>
      <c r="F3415">
        <v>988.43</v>
      </c>
      <c r="G3415">
        <v>8</v>
      </c>
      <c r="H3415">
        <f t="shared" si="318"/>
        <v>13069.6</v>
      </c>
      <c r="I3415">
        <f t="shared" si="322"/>
        <v>7907.44</v>
      </c>
      <c r="J3415">
        <f t="shared" si="319"/>
        <v>5162.1600000000008</v>
      </c>
      <c r="K3415" s="8">
        <f t="shared" si="320"/>
        <v>0.39497459753932795</v>
      </c>
      <c r="L3415" t="str">
        <f t="shared" si="323"/>
        <v>2022-04</v>
      </c>
      <c r="M3415">
        <f t="shared" si="321"/>
        <v>5162.1600000000008</v>
      </c>
    </row>
    <row r="3416" spans="1:13" x14ac:dyDescent="0.25">
      <c r="A3416" s="1">
        <v>44737</v>
      </c>
      <c r="B3416" t="s">
        <v>23</v>
      </c>
      <c r="C3416" t="s">
        <v>11</v>
      </c>
      <c r="D3416" t="s">
        <v>18</v>
      </c>
      <c r="E3416">
        <v>1905.88</v>
      </c>
      <c r="F3416">
        <v>1662.4</v>
      </c>
      <c r="G3416">
        <v>9</v>
      </c>
      <c r="H3416">
        <f t="shared" si="318"/>
        <v>17152.920000000002</v>
      </c>
      <c r="I3416">
        <f t="shared" si="322"/>
        <v>14961.6</v>
      </c>
      <c r="J3416">
        <f t="shared" si="319"/>
        <v>2191.3200000000015</v>
      </c>
      <c r="K3416" s="8">
        <f t="shared" si="320"/>
        <v>0.12775200957038227</v>
      </c>
      <c r="L3416" t="str">
        <f t="shared" si="323"/>
        <v>2022-06</v>
      </c>
      <c r="M3416">
        <f t="shared" si="321"/>
        <v>2191.3200000000015</v>
      </c>
    </row>
    <row r="3417" spans="1:13" x14ac:dyDescent="0.25">
      <c r="A3417" s="1">
        <v>45046</v>
      </c>
      <c r="B3417" t="s">
        <v>12</v>
      </c>
      <c r="C3417" t="s">
        <v>8</v>
      </c>
      <c r="D3417" t="s">
        <v>18</v>
      </c>
      <c r="E3417">
        <v>411.21</v>
      </c>
      <c r="F3417">
        <v>211.15</v>
      </c>
      <c r="G3417">
        <v>2</v>
      </c>
      <c r="H3417">
        <f t="shared" si="318"/>
        <v>822.42</v>
      </c>
      <c r="I3417">
        <f t="shared" si="322"/>
        <v>422.3</v>
      </c>
      <c r="J3417">
        <f t="shared" si="319"/>
        <v>400.11999999999995</v>
      </c>
      <c r="K3417" s="8">
        <f t="shared" si="320"/>
        <v>0.48651540575375107</v>
      </c>
      <c r="L3417" t="str">
        <f t="shared" si="323"/>
        <v>2023-04</v>
      </c>
      <c r="M3417">
        <f t="shared" si="321"/>
        <v>400.11999999999995</v>
      </c>
    </row>
    <row r="3418" spans="1:13" x14ac:dyDescent="0.25">
      <c r="A3418" s="1">
        <v>45642</v>
      </c>
      <c r="B3418" t="s">
        <v>25</v>
      </c>
      <c r="C3418" t="s">
        <v>15</v>
      </c>
      <c r="D3418" t="s">
        <v>9</v>
      </c>
      <c r="E3418">
        <v>349.7</v>
      </c>
      <c r="F3418">
        <v>280.64</v>
      </c>
      <c r="G3418">
        <v>10</v>
      </c>
      <c r="H3418">
        <f t="shared" si="318"/>
        <v>3497</v>
      </c>
      <c r="I3418">
        <f t="shared" si="322"/>
        <v>2806.3999999999996</v>
      </c>
      <c r="J3418">
        <f t="shared" si="319"/>
        <v>690.60000000000036</v>
      </c>
      <c r="K3418" s="8">
        <f t="shared" si="320"/>
        <v>0.19748355733485856</v>
      </c>
      <c r="L3418" t="str">
        <f t="shared" si="323"/>
        <v>2024-12</v>
      </c>
      <c r="M3418">
        <f t="shared" si="321"/>
        <v>690.60000000000036</v>
      </c>
    </row>
    <row r="3419" spans="1:13" x14ac:dyDescent="0.25">
      <c r="A3419" s="1">
        <v>44585</v>
      </c>
      <c r="B3419" t="s">
        <v>12</v>
      </c>
      <c r="C3419" t="s">
        <v>8</v>
      </c>
      <c r="D3419" t="s">
        <v>13</v>
      </c>
      <c r="E3419">
        <v>760.28</v>
      </c>
      <c r="F3419">
        <v>467.63</v>
      </c>
      <c r="G3419">
        <v>10</v>
      </c>
      <c r="H3419">
        <f t="shared" si="318"/>
        <v>7602.7999999999993</v>
      </c>
      <c r="I3419">
        <f t="shared" si="322"/>
        <v>4676.3</v>
      </c>
      <c r="J3419">
        <f t="shared" si="319"/>
        <v>2926.4999999999991</v>
      </c>
      <c r="K3419" s="8">
        <f t="shared" si="320"/>
        <v>0.3849239753774924</v>
      </c>
      <c r="L3419" t="str">
        <f t="shared" si="323"/>
        <v>2022-01</v>
      </c>
      <c r="M3419">
        <f t="shared" si="321"/>
        <v>2926.4999999999991</v>
      </c>
    </row>
    <row r="3420" spans="1:13" x14ac:dyDescent="0.25">
      <c r="A3420" s="1">
        <v>45295</v>
      </c>
      <c r="B3420" t="s">
        <v>12</v>
      </c>
      <c r="C3420" t="s">
        <v>8</v>
      </c>
      <c r="D3420" t="s">
        <v>9</v>
      </c>
      <c r="E3420">
        <v>1169.6300000000001</v>
      </c>
      <c r="F3420">
        <v>788.84</v>
      </c>
      <c r="G3420">
        <v>8</v>
      </c>
      <c r="H3420">
        <f t="shared" si="318"/>
        <v>9357.0400000000009</v>
      </c>
      <c r="I3420">
        <f t="shared" si="322"/>
        <v>6310.72</v>
      </c>
      <c r="J3420">
        <f t="shared" si="319"/>
        <v>3046.3200000000006</v>
      </c>
      <c r="K3420" s="8">
        <f t="shared" si="320"/>
        <v>0.32556449475475152</v>
      </c>
      <c r="L3420" t="str">
        <f t="shared" si="323"/>
        <v>2024-01</v>
      </c>
      <c r="M3420">
        <f t="shared" si="321"/>
        <v>3046.3200000000006</v>
      </c>
    </row>
    <row r="3421" spans="1:13" x14ac:dyDescent="0.25">
      <c r="A3421" s="1">
        <v>44999</v>
      </c>
      <c r="B3421" t="s">
        <v>21</v>
      </c>
      <c r="C3421" t="s">
        <v>20</v>
      </c>
      <c r="D3421" t="s">
        <v>9</v>
      </c>
      <c r="E3421">
        <v>1018.57</v>
      </c>
      <c r="F3421">
        <v>544.52</v>
      </c>
      <c r="G3421">
        <v>10</v>
      </c>
      <c r="H3421">
        <f t="shared" si="318"/>
        <v>10185.700000000001</v>
      </c>
      <c r="I3421">
        <f t="shared" si="322"/>
        <v>5445.2</v>
      </c>
      <c r="J3421">
        <f t="shared" si="319"/>
        <v>4740.5000000000009</v>
      </c>
      <c r="K3421" s="8">
        <f t="shared" si="320"/>
        <v>0.46540738486309241</v>
      </c>
      <c r="L3421" t="str">
        <f t="shared" si="323"/>
        <v>2023-03</v>
      </c>
      <c r="M3421">
        <f t="shared" si="321"/>
        <v>4740.5000000000009</v>
      </c>
    </row>
    <row r="3422" spans="1:13" x14ac:dyDescent="0.25">
      <c r="A3422" s="1">
        <v>44573</v>
      </c>
      <c r="B3422" t="s">
        <v>19</v>
      </c>
      <c r="C3422" t="s">
        <v>20</v>
      </c>
      <c r="D3422" t="s">
        <v>17</v>
      </c>
      <c r="E3422">
        <v>1896.87</v>
      </c>
      <c r="F3422">
        <v>1118.52</v>
      </c>
      <c r="G3422">
        <v>5</v>
      </c>
      <c r="H3422">
        <f t="shared" si="318"/>
        <v>9484.3499999999985</v>
      </c>
      <c r="I3422">
        <f t="shared" si="322"/>
        <v>5592.6</v>
      </c>
      <c r="J3422">
        <f t="shared" si="319"/>
        <v>3891.7499999999982</v>
      </c>
      <c r="K3422" s="8">
        <f t="shared" si="320"/>
        <v>0.41033386578943193</v>
      </c>
      <c r="L3422" t="str">
        <f t="shared" si="323"/>
        <v>2022-01</v>
      </c>
      <c r="M3422">
        <f t="shared" si="321"/>
        <v>3891.7499999999982</v>
      </c>
    </row>
    <row r="3423" spans="1:13" x14ac:dyDescent="0.25">
      <c r="A3423" s="1">
        <v>44684</v>
      </c>
      <c r="B3423" t="s">
        <v>12</v>
      </c>
      <c r="C3423" t="s">
        <v>8</v>
      </c>
      <c r="D3423" t="s">
        <v>9</v>
      </c>
      <c r="E3423">
        <v>1957.25</v>
      </c>
      <c r="F3423">
        <v>1119.1099999999999</v>
      </c>
      <c r="G3423">
        <v>1</v>
      </c>
      <c r="H3423">
        <f t="shared" si="318"/>
        <v>1957.25</v>
      </c>
      <c r="I3423">
        <f t="shared" si="322"/>
        <v>1119.1099999999999</v>
      </c>
      <c r="J3423">
        <f t="shared" si="319"/>
        <v>838.1400000000001</v>
      </c>
      <c r="K3423" s="8">
        <f t="shared" si="320"/>
        <v>0.42822327244858865</v>
      </c>
      <c r="L3423" t="str">
        <f t="shared" si="323"/>
        <v>2022-05</v>
      </c>
      <c r="M3423">
        <f t="shared" si="321"/>
        <v>838.1400000000001</v>
      </c>
    </row>
    <row r="3424" spans="1:13" x14ac:dyDescent="0.25">
      <c r="A3424" s="1">
        <v>45467</v>
      </c>
      <c r="B3424" t="s">
        <v>7</v>
      </c>
      <c r="C3424" t="s">
        <v>8</v>
      </c>
      <c r="D3424" t="s">
        <v>9</v>
      </c>
      <c r="E3424">
        <v>1683.18</v>
      </c>
      <c r="F3424">
        <v>1499.25</v>
      </c>
      <c r="G3424">
        <v>10</v>
      </c>
      <c r="H3424">
        <f t="shared" si="318"/>
        <v>16831.8</v>
      </c>
      <c r="I3424">
        <f t="shared" si="322"/>
        <v>14992.5</v>
      </c>
      <c r="J3424">
        <f t="shared" si="319"/>
        <v>1839.2999999999993</v>
      </c>
      <c r="K3424" s="8">
        <f t="shared" si="320"/>
        <v>0.10927530032438594</v>
      </c>
      <c r="L3424" t="str">
        <f t="shared" si="323"/>
        <v>2024-06</v>
      </c>
      <c r="M3424">
        <f t="shared" si="321"/>
        <v>1839.2999999999993</v>
      </c>
    </row>
    <row r="3425" spans="1:13" x14ac:dyDescent="0.25">
      <c r="A3425" s="1">
        <v>45656</v>
      </c>
      <c r="B3425" t="s">
        <v>22</v>
      </c>
      <c r="C3425" t="s">
        <v>8</v>
      </c>
      <c r="D3425" t="s">
        <v>13</v>
      </c>
      <c r="E3425">
        <v>881.3</v>
      </c>
      <c r="F3425">
        <v>646.49</v>
      </c>
      <c r="G3425">
        <v>3</v>
      </c>
      <c r="H3425">
        <f t="shared" si="318"/>
        <v>2643.8999999999996</v>
      </c>
      <c r="I3425">
        <f t="shared" si="322"/>
        <v>1939.47</v>
      </c>
      <c r="J3425">
        <f t="shared" si="319"/>
        <v>704.42999999999961</v>
      </c>
      <c r="K3425" s="8">
        <f t="shared" si="320"/>
        <v>0.26643594689662986</v>
      </c>
      <c r="L3425" t="str">
        <f t="shared" si="323"/>
        <v>2024-12</v>
      </c>
      <c r="M3425">
        <f t="shared" si="321"/>
        <v>704.42999999999961</v>
      </c>
    </row>
    <row r="3426" spans="1:13" x14ac:dyDescent="0.25">
      <c r="A3426" s="1">
        <v>45146</v>
      </c>
      <c r="B3426" t="s">
        <v>7</v>
      </c>
      <c r="C3426" t="s">
        <v>8</v>
      </c>
      <c r="D3426" t="s">
        <v>18</v>
      </c>
      <c r="E3426">
        <v>1635.07</v>
      </c>
      <c r="F3426">
        <v>1387.46</v>
      </c>
      <c r="G3426">
        <v>2</v>
      </c>
      <c r="H3426">
        <f t="shared" si="318"/>
        <v>3270.14</v>
      </c>
      <c r="I3426">
        <f t="shared" si="322"/>
        <v>2774.92</v>
      </c>
      <c r="J3426">
        <f t="shared" si="319"/>
        <v>495.2199999999998</v>
      </c>
      <c r="K3426" s="8">
        <f t="shared" si="320"/>
        <v>0.15143694153767112</v>
      </c>
      <c r="L3426" t="str">
        <f t="shared" si="323"/>
        <v>2023-08</v>
      </c>
      <c r="M3426">
        <f t="shared" si="321"/>
        <v>495.2199999999998</v>
      </c>
    </row>
    <row r="3427" spans="1:13" x14ac:dyDescent="0.25">
      <c r="A3427" s="1">
        <v>45217</v>
      </c>
      <c r="B3427" t="s">
        <v>22</v>
      </c>
      <c r="C3427" t="s">
        <v>8</v>
      </c>
      <c r="D3427" t="s">
        <v>17</v>
      </c>
      <c r="E3427">
        <v>1260.72</v>
      </c>
      <c r="F3427">
        <v>937.99</v>
      </c>
      <c r="G3427">
        <v>9</v>
      </c>
      <c r="H3427">
        <f t="shared" si="318"/>
        <v>11346.48</v>
      </c>
      <c r="I3427">
        <f t="shared" si="322"/>
        <v>8441.91</v>
      </c>
      <c r="J3427">
        <f t="shared" si="319"/>
        <v>2904.5699999999997</v>
      </c>
      <c r="K3427" s="8">
        <f t="shared" si="320"/>
        <v>0.25598864141125705</v>
      </c>
      <c r="L3427" t="str">
        <f t="shared" si="323"/>
        <v>2023-10</v>
      </c>
      <c r="M3427">
        <f t="shared" si="321"/>
        <v>2904.5699999999997</v>
      </c>
    </row>
    <row r="3428" spans="1:13" x14ac:dyDescent="0.25">
      <c r="A3428" s="1">
        <v>44573</v>
      </c>
      <c r="B3428" t="s">
        <v>24</v>
      </c>
      <c r="C3428" t="s">
        <v>20</v>
      </c>
      <c r="D3428" t="s">
        <v>13</v>
      </c>
      <c r="E3428">
        <v>286.52999999999997</v>
      </c>
      <c r="F3428">
        <v>227.95</v>
      </c>
      <c r="G3428">
        <v>7</v>
      </c>
      <c r="H3428">
        <f t="shared" si="318"/>
        <v>2005.7099999999998</v>
      </c>
      <c r="I3428">
        <f t="shared" si="322"/>
        <v>1595.6499999999999</v>
      </c>
      <c r="J3428">
        <f t="shared" si="319"/>
        <v>410.05999999999995</v>
      </c>
      <c r="K3428" s="8">
        <f t="shared" si="320"/>
        <v>0.2044463057969497</v>
      </c>
      <c r="L3428" t="str">
        <f t="shared" si="323"/>
        <v>2022-01</v>
      </c>
      <c r="M3428">
        <f t="shared" si="321"/>
        <v>410.05999999999995</v>
      </c>
    </row>
    <row r="3429" spans="1:13" x14ac:dyDescent="0.25">
      <c r="A3429" s="1">
        <v>44861</v>
      </c>
      <c r="B3429" t="s">
        <v>23</v>
      </c>
      <c r="C3429" t="s">
        <v>11</v>
      </c>
      <c r="D3429" t="s">
        <v>13</v>
      </c>
      <c r="E3429">
        <v>315.41000000000003</v>
      </c>
      <c r="F3429">
        <v>277.52999999999997</v>
      </c>
      <c r="G3429">
        <v>10</v>
      </c>
      <c r="H3429">
        <f t="shared" si="318"/>
        <v>3154.1000000000004</v>
      </c>
      <c r="I3429">
        <f t="shared" si="322"/>
        <v>2775.2999999999997</v>
      </c>
      <c r="J3429">
        <f t="shared" si="319"/>
        <v>378.80000000000064</v>
      </c>
      <c r="K3429" s="8">
        <f t="shared" si="320"/>
        <v>0.12009765067689693</v>
      </c>
      <c r="L3429" t="str">
        <f t="shared" si="323"/>
        <v>2022-10</v>
      </c>
      <c r="M3429">
        <f t="shared" si="321"/>
        <v>378.80000000000064</v>
      </c>
    </row>
    <row r="3430" spans="1:13" x14ac:dyDescent="0.25">
      <c r="A3430" s="1">
        <v>45599</v>
      </c>
      <c r="B3430" t="s">
        <v>22</v>
      </c>
      <c r="C3430" t="s">
        <v>8</v>
      </c>
      <c r="D3430" t="s">
        <v>18</v>
      </c>
      <c r="E3430">
        <v>1303.8399999999999</v>
      </c>
      <c r="F3430">
        <v>897.47</v>
      </c>
      <c r="G3430">
        <v>7</v>
      </c>
      <c r="H3430">
        <f t="shared" si="318"/>
        <v>9126.8799999999992</v>
      </c>
      <c r="I3430">
        <f t="shared" si="322"/>
        <v>6282.29</v>
      </c>
      <c r="J3430">
        <f t="shared" si="319"/>
        <v>2844.5899999999992</v>
      </c>
      <c r="K3430" s="8">
        <f t="shared" si="320"/>
        <v>0.31167167750644248</v>
      </c>
      <c r="L3430" t="str">
        <f t="shared" si="323"/>
        <v>2024-11</v>
      </c>
      <c r="M3430">
        <f t="shared" si="321"/>
        <v>2844.5899999999992</v>
      </c>
    </row>
    <row r="3431" spans="1:13" x14ac:dyDescent="0.25">
      <c r="A3431" s="1">
        <v>44729</v>
      </c>
      <c r="B3431" t="s">
        <v>7</v>
      </c>
      <c r="C3431" t="s">
        <v>8</v>
      </c>
      <c r="D3431" t="s">
        <v>17</v>
      </c>
      <c r="E3431">
        <v>1749.78</v>
      </c>
      <c r="F3431">
        <v>1245.3599999999999</v>
      </c>
      <c r="G3431">
        <v>9</v>
      </c>
      <c r="H3431">
        <f t="shared" si="318"/>
        <v>15748.02</v>
      </c>
      <c r="I3431">
        <f t="shared" si="322"/>
        <v>11208.24</v>
      </c>
      <c r="J3431">
        <f t="shared" si="319"/>
        <v>4539.7800000000007</v>
      </c>
      <c r="K3431" s="8">
        <f t="shared" si="320"/>
        <v>0.28827624044165556</v>
      </c>
      <c r="L3431" t="str">
        <f t="shared" si="323"/>
        <v>2022-06</v>
      </c>
      <c r="M3431">
        <f t="shared" si="321"/>
        <v>4539.7800000000007</v>
      </c>
    </row>
    <row r="3432" spans="1:13" x14ac:dyDescent="0.25">
      <c r="A3432" s="1">
        <v>45556</v>
      </c>
      <c r="B3432" t="s">
        <v>7</v>
      </c>
      <c r="C3432" t="s">
        <v>8</v>
      </c>
      <c r="D3432" t="s">
        <v>13</v>
      </c>
      <c r="E3432">
        <v>1202.27</v>
      </c>
      <c r="F3432">
        <v>827.82</v>
      </c>
      <c r="G3432">
        <v>2</v>
      </c>
      <c r="H3432">
        <f t="shared" si="318"/>
        <v>2404.54</v>
      </c>
      <c r="I3432">
        <f t="shared" si="322"/>
        <v>1655.64</v>
      </c>
      <c r="J3432">
        <f t="shared" si="319"/>
        <v>748.89999999999986</v>
      </c>
      <c r="K3432" s="8">
        <f t="shared" si="320"/>
        <v>0.31145250234972172</v>
      </c>
      <c r="L3432" t="str">
        <f t="shared" si="323"/>
        <v>2024-09</v>
      </c>
      <c r="M3432">
        <f t="shared" si="321"/>
        <v>748.89999999999986</v>
      </c>
    </row>
    <row r="3433" spans="1:13" x14ac:dyDescent="0.25">
      <c r="A3433" s="1">
        <v>45253</v>
      </c>
      <c r="B3433" t="s">
        <v>19</v>
      </c>
      <c r="C3433" t="s">
        <v>20</v>
      </c>
      <c r="D3433" t="s">
        <v>13</v>
      </c>
      <c r="E3433">
        <v>672.32</v>
      </c>
      <c r="F3433">
        <v>520.79999999999995</v>
      </c>
      <c r="G3433">
        <v>1</v>
      </c>
      <c r="H3433">
        <f t="shared" si="318"/>
        <v>672.32</v>
      </c>
      <c r="I3433">
        <f t="shared" si="322"/>
        <v>520.79999999999995</v>
      </c>
      <c r="J3433">
        <f t="shared" si="319"/>
        <v>151.5200000000001</v>
      </c>
      <c r="K3433" s="8">
        <f t="shared" si="320"/>
        <v>0.22536887196573072</v>
      </c>
      <c r="L3433" t="str">
        <f t="shared" si="323"/>
        <v>2023-11</v>
      </c>
      <c r="M3433">
        <f t="shared" si="321"/>
        <v>151.5200000000001</v>
      </c>
    </row>
    <row r="3434" spans="1:13" x14ac:dyDescent="0.25">
      <c r="A3434" s="1">
        <v>45590</v>
      </c>
      <c r="B3434" t="s">
        <v>7</v>
      </c>
      <c r="C3434" t="s">
        <v>8</v>
      </c>
      <c r="D3434" t="s">
        <v>18</v>
      </c>
      <c r="E3434">
        <v>1713.49</v>
      </c>
      <c r="F3434">
        <v>1007.64</v>
      </c>
      <c r="G3434">
        <v>1</v>
      </c>
      <c r="H3434">
        <f t="shared" si="318"/>
        <v>1713.49</v>
      </c>
      <c r="I3434">
        <f t="shared" si="322"/>
        <v>1007.64</v>
      </c>
      <c r="J3434">
        <f t="shared" si="319"/>
        <v>705.85</v>
      </c>
      <c r="K3434" s="8">
        <f t="shared" si="320"/>
        <v>0.41193704077642707</v>
      </c>
      <c r="L3434" t="str">
        <f t="shared" si="323"/>
        <v>2024-10</v>
      </c>
      <c r="M3434">
        <f t="shared" si="321"/>
        <v>705.85</v>
      </c>
    </row>
    <row r="3435" spans="1:13" x14ac:dyDescent="0.25">
      <c r="A3435" s="1">
        <v>45020</v>
      </c>
      <c r="B3435" t="s">
        <v>24</v>
      </c>
      <c r="C3435" t="s">
        <v>20</v>
      </c>
      <c r="D3435" t="s">
        <v>18</v>
      </c>
      <c r="E3435">
        <v>244.5</v>
      </c>
      <c r="F3435">
        <v>202.11</v>
      </c>
      <c r="G3435">
        <v>5</v>
      </c>
      <c r="H3435">
        <f t="shared" si="318"/>
        <v>1222.5</v>
      </c>
      <c r="I3435">
        <f t="shared" si="322"/>
        <v>1010.5500000000001</v>
      </c>
      <c r="J3435">
        <f t="shared" si="319"/>
        <v>211.94999999999993</v>
      </c>
      <c r="K3435" s="8">
        <f t="shared" si="320"/>
        <v>0.17337423312883429</v>
      </c>
      <c r="L3435" t="str">
        <f t="shared" si="323"/>
        <v>2023-04</v>
      </c>
      <c r="M3435">
        <f t="shared" si="321"/>
        <v>211.94999999999993</v>
      </c>
    </row>
    <row r="3436" spans="1:13" x14ac:dyDescent="0.25">
      <c r="A3436" s="1">
        <v>44915</v>
      </c>
      <c r="B3436" t="s">
        <v>21</v>
      </c>
      <c r="C3436" t="s">
        <v>20</v>
      </c>
      <c r="D3436" t="s">
        <v>9</v>
      </c>
      <c r="E3436">
        <v>1624.39</v>
      </c>
      <c r="F3436">
        <v>1379.84</v>
      </c>
      <c r="G3436">
        <v>4</v>
      </c>
      <c r="H3436">
        <f t="shared" si="318"/>
        <v>6497.56</v>
      </c>
      <c r="I3436">
        <f t="shared" si="322"/>
        <v>5519.36</v>
      </c>
      <c r="J3436">
        <f t="shared" si="319"/>
        <v>978.20000000000073</v>
      </c>
      <c r="K3436" s="8">
        <f t="shared" si="320"/>
        <v>0.15054882140372705</v>
      </c>
      <c r="L3436" t="str">
        <f t="shared" si="323"/>
        <v>2022-12</v>
      </c>
      <c r="M3436">
        <f t="shared" si="321"/>
        <v>978.20000000000073</v>
      </c>
    </row>
    <row r="3437" spans="1:13" x14ac:dyDescent="0.25">
      <c r="A3437" s="1">
        <v>44826</v>
      </c>
      <c r="B3437" t="s">
        <v>24</v>
      </c>
      <c r="C3437" t="s">
        <v>20</v>
      </c>
      <c r="D3437" t="s">
        <v>17</v>
      </c>
      <c r="E3437">
        <v>1836.03</v>
      </c>
      <c r="F3437">
        <v>1408.99</v>
      </c>
      <c r="G3437">
        <v>6</v>
      </c>
      <c r="H3437">
        <f t="shared" si="318"/>
        <v>11016.18</v>
      </c>
      <c r="I3437">
        <f t="shared" si="322"/>
        <v>8453.94</v>
      </c>
      <c r="J3437">
        <f t="shared" si="319"/>
        <v>2562.2399999999998</v>
      </c>
      <c r="K3437" s="8">
        <f t="shared" si="320"/>
        <v>0.23258879212213304</v>
      </c>
      <c r="L3437" t="str">
        <f t="shared" si="323"/>
        <v>2022-09</v>
      </c>
      <c r="M3437">
        <f t="shared" si="321"/>
        <v>2562.2399999999998</v>
      </c>
    </row>
    <row r="3438" spans="1:13" x14ac:dyDescent="0.25">
      <c r="A3438" s="1">
        <v>45540</v>
      </c>
      <c r="B3438" t="s">
        <v>24</v>
      </c>
      <c r="C3438" t="s">
        <v>20</v>
      </c>
      <c r="D3438" t="s">
        <v>9</v>
      </c>
      <c r="E3438">
        <v>1611.5</v>
      </c>
      <c r="F3438">
        <v>1308.56</v>
      </c>
      <c r="G3438">
        <v>3</v>
      </c>
      <c r="H3438">
        <f t="shared" si="318"/>
        <v>4834.5</v>
      </c>
      <c r="I3438">
        <f t="shared" si="322"/>
        <v>3925.68</v>
      </c>
      <c r="J3438">
        <f t="shared" si="319"/>
        <v>908.82000000000016</v>
      </c>
      <c r="K3438" s="8">
        <f t="shared" si="320"/>
        <v>0.18798634812286694</v>
      </c>
      <c r="L3438" t="str">
        <f t="shared" si="323"/>
        <v>2024-09</v>
      </c>
      <c r="M3438">
        <f t="shared" si="321"/>
        <v>908.82000000000016</v>
      </c>
    </row>
    <row r="3439" spans="1:13" x14ac:dyDescent="0.25">
      <c r="A3439" s="1">
        <v>45429</v>
      </c>
      <c r="B3439" t="s">
        <v>16</v>
      </c>
      <c r="C3439" t="s">
        <v>15</v>
      </c>
      <c r="D3439" t="s">
        <v>18</v>
      </c>
      <c r="E3439">
        <v>1226.18</v>
      </c>
      <c r="F3439">
        <v>824.68</v>
      </c>
      <c r="G3439">
        <v>3</v>
      </c>
      <c r="H3439">
        <f t="shared" si="318"/>
        <v>3678.54</v>
      </c>
      <c r="I3439">
        <f t="shared" si="322"/>
        <v>2474.04</v>
      </c>
      <c r="J3439">
        <f t="shared" si="319"/>
        <v>1204.5</v>
      </c>
      <c r="K3439" s="8">
        <f t="shared" si="320"/>
        <v>0.3274396907468724</v>
      </c>
      <c r="L3439" t="str">
        <f t="shared" si="323"/>
        <v>2024-05</v>
      </c>
      <c r="M3439">
        <f t="shared" si="321"/>
        <v>1204.5</v>
      </c>
    </row>
    <row r="3440" spans="1:13" x14ac:dyDescent="0.25">
      <c r="A3440" s="1">
        <v>44942</v>
      </c>
      <c r="B3440" t="s">
        <v>22</v>
      </c>
      <c r="C3440" t="s">
        <v>8</v>
      </c>
      <c r="D3440" t="s">
        <v>9</v>
      </c>
      <c r="E3440">
        <v>1751.59</v>
      </c>
      <c r="F3440">
        <v>1309.05</v>
      </c>
      <c r="G3440">
        <v>5</v>
      </c>
      <c r="H3440">
        <f t="shared" si="318"/>
        <v>8757.9499999999989</v>
      </c>
      <c r="I3440">
        <f t="shared" si="322"/>
        <v>6545.25</v>
      </c>
      <c r="J3440">
        <f t="shared" si="319"/>
        <v>2212.6999999999989</v>
      </c>
      <c r="K3440" s="8">
        <f t="shared" si="320"/>
        <v>0.25265044902060402</v>
      </c>
      <c r="L3440" t="str">
        <f t="shared" si="323"/>
        <v>2023-01</v>
      </c>
      <c r="M3440">
        <f t="shared" si="321"/>
        <v>2212.6999999999989</v>
      </c>
    </row>
    <row r="3441" spans="1:13" x14ac:dyDescent="0.25">
      <c r="A3441" s="1">
        <v>45385</v>
      </c>
      <c r="B3441" t="s">
        <v>23</v>
      </c>
      <c r="C3441" t="s">
        <v>11</v>
      </c>
      <c r="D3441" t="s">
        <v>9</v>
      </c>
      <c r="E3441">
        <v>467.31</v>
      </c>
      <c r="F3441">
        <v>310.63</v>
      </c>
      <c r="G3441">
        <v>8</v>
      </c>
      <c r="H3441">
        <f t="shared" si="318"/>
        <v>3738.48</v>
      </c>
      <c r="I3441">
        <f t="shared" si="322"/>
        <v>2485.04</v>
      </c>
      <c r="J3441">
        <f t="shared" si="319"/>
        <v>1253.44</v>
      </c>
      <c r="K3441" s="8">
        <f t="shared" si="320"/>
        <v>0.33528064881984121</v>
      </c>
      <c r="L3441" t="str">
        <f t="shared" si="323"/>
        <v>2024-04</v>
      </c>
      <c r="M3441">
        <f t="shared" si="321"/>
        <v>1253.44</v>
      </c>
    </row>
    <row r="3442" spans="1:13" x14ac:dyDescent="0.25">
      <c r="A3442" s="1">
        <v>45431</v>
      </c>
      <c r="B3442" t="s">
        <v>16</v>
      </c>
      <c r="C3442" t="s">
        <v>15</v>
      </c>
      <c r="D3442" t="s">
        <v>13</v>
      </c>
      <c r="E3442">
        <v>1140.32</v>
      </c>
      <c r="F3442">
        <v>982.66</v>
      </c>
      <c r="G3442">
        <v>4</v>
      </c>
      <c r="H3442">
        <f t="shared" si="318"/>
        <v>4561.28</v>
      </c>
      <c r="I3442">
        <f t="shared" si="322"/>
        <v>3930.64</v>
      </c>
      <c r="J3442">
        <f t="shared" si="319"/>
        <v>630.63999999999987</v>
      </c>
      <c r="K3442" s="8">
        <f t="shared" si="320"/>
        <v>0.1382594359478041</v>
      </c>
      <c r="L3442" t="str">
        <f t="shared" si="323"/>
        <v>2024-05</v>
      </c>
      <c r="M3442">
        <f t="shared" si="321"/>
        <v>630.63999999999987</v>
      </c>
    </row>
    <row r="3443" spans="1:13" x14ac:dyDescent="0.25">
      <c r="A3443" s="1">
        <v>44925</v>
      </c>
      <c r="B3443" t="s">
        <v>14</v>
      </c>
      <c r="C3443" t="s">
        <v>15</v>
      </c>
      <c r="D3443" t="s">
        <v>9</v>
      </c>
      <c r="E3443">
        <v>1578.32</v>
      </c>
      <c r="F3443">
        <v>1127.92</v>
      </c>
      <c r="G3443">
        <v>6</v>
      </c>
      <c r="H3443">
        <f t="shared" si="318"/>
        <v>9469.92</v>
      </c>
      <c r="I3443">
        <f t="shared" si="322"/>
        <v>6767.52</v>
      </c>
      <c r="J3443">
        <f t="shared" si="319"/>
        <v>2702.3999999999996</v>
      </c>
      <c r="K3443" s="8">
        <f t="shared" si="320"/>
        <v>0.28536671904303307</v>
      </c>
      <c r="L3443" t="str">
        <f t="shared" si="323"/>
        <v>2022-12</v>
      </c>
      <c r="M3443">
        <f t="shared" si="321"/>
        <v>2702.3999999999996</v>
      </c>
    </row>
    <row r="3444" spans="1:13" x14ac:dyDescent="0.25">
      <c r="A3444" s="1">
        <v>44720</v>
      </c>
      <c r="B3444" t="s">
        <v>7</v>
      </c>
      <c r="C3444" t="s">
        <v>8</v>
      </c>
      <c r="D3444" t="s">
        <v>17</v>
      </c>
      <c r="E3444">
        <v>1109.07</v>
      </c>
      <c r="F3444">
        <v>724.7</v>
      </c>
      <c r="G3444">
        <v>8</v>
      </c>
      <c r="H3444">
        <f t="shared" si="318"/>
        <v>8872.56</v>
      </c>
      <c r="I3444">
        <f t="shared" si="322"/>
        <v>5797.6</v>
      </c>
      <c r="J3444">
        <f t="shared" si="319"/>
        <v>3074.9599999999991</v>
      </c>
      <c r="K3444" s="8">
        <f t="shared" si="320"/>
        <v>0.34656964844419191</v>
      </c>
      <c r="L3444" t="str">
        <f t="shared" si="323"/>
        <v>2022-06</v>
      </c>
      <c r="M3444">
        <f t="shared" si="321"/>
        <v>3074.9599999999991</v>
      </c>
    </row>
    <row r="3445" spans="1:13" x14ac:dyDescent="0.25">
      <c r="A3445" s="1">
        <v>45236</v>
      </c>
      <c r="B3445" t="s">
        <v>25</v>
      </c>
      <c r="C3445" t="s">
        <v>15</v>
      </c>
      <c r="D3445" t="s">
        <v>18</v>
      </c>
      <c r="E3445">
        <v>769.35</v>
      </c>
      <c r="F3445">
        <v>689.25</v>
      </c>
      <c r="G3445">
        <v>3</v>
      </c>
      <c r="H3445">
        <f t="shared" si="318"/>
        <v>2308.0500000000002</v>
      </c>
      <c r="I3445">
        <f t="shared" si="322"/>
        <v>2067.75</v>
      </c>
      <c r="J3445">
        <f t="shared" si="319"/>
        <v>240.30000000000018</v>
      </c>
      <c r="K3445" s="8">
        <f t="shared" si="320"/>
        <v>0.10411386235133561</v>
      </c>
      <c r="L3445" t="str">
        <f t="shared" si="323"/>
        <v>2023-11</v>
      </c>
      <c r="M3445">
        <f t="shared" si="321"/>
        <v>240.30000000000018</v>
      </c>
    </row>
    <row r="3446" spans="1:13" x14ac:dyDescent="0.25">
      <c r="A3446" s="1">
        <v>45634</v>
      </c>
      <c r="B3446" t="s">
        <v>10</v>
      </c>
      <c r="C3446" t="s">
        <v>11</v>
      </c>
      <c r="D3446" t="s">
        <v>9</v>
      </c>
      <c r="E3446">
        <v>955.04</v>
      </c>
      <c r="F3446">
        <v>659.13</v>
      </c>
      <c r="G3446">
        <v>2</v>
      </c>
      <c r="H3446">
        <f t="shared" si="318"/>
        <v>1910.08</v>
      </c>
      <c r="I3446">
        <f t="shared" si="322"/>
        <v>1318.26</v>
      </c>
      <c r="J3446">
        <f t="shared" si="319"/>
        <v>591.81999999999994</v>
      </c>
      <c r="K3446" s="8">
        <f t="shared" si="320"/>
        <v>0.30984042553191488</v>
      </c>
      <c r="L3446" t="str">
        <f t="shared" si="323"/>
        <v>2024-12</v>
      </c>
      <c r="M3446">
        <f t="shared" si="321"/>
        <v>591.81999999999994</v>
      </c>
    </row>
    <row r="3447" spans="1:13" x14ac:dyDescent="0.25">
      <c r="A3447" s="1">
        <v>45643</v>
      </c>
      <c r="B3447" t="s">
        <v>24</v>
      </c>
      <c r="C3447" t="s">
        <v>20</v>
      </c>
      <c r="D3447" t="s">
        <v>9</v>
      </c>
      <c r="E3447">
        <v>292.60000000000002</v>
      </c>
      <c r="F3447">
        <v>169.51</v>
      </c>
      <c r="G3447">
        <v>3</v>
      </c>
      <c r="H3447">
        <f t="shared" si="318"/>
        <v>877.80000000000007</v>
      </c>
      <c r="I3447">
        <f t="shared" si="322"/>
        <v>508.53</v>
      </c>
      <c r="J3447">
        <f t="shared" si="319"/>
        <v>369.2700000000001</v>
      </c>
      <c r="K3447" s="8">
        <f t="shared" si="320"/>
        <v>0.42067669172932337</v>
      </c>
      <c r="L3447" t="str">
        <f t="shared" si="323"/>
        <v>2024-12</v>
      </c>
      <c r="M3447">
        <f t="shared" si="321"/>
        <v>369.2700000000001</v>
      </c>
    </row>
    <row r="3448" spans="1:13" x14ac:dyDescent="0.25">
      <c r="A3448" s="1">
        <v>45569</v>
      </c>
      <c r="B3448" t="s">
        <v>14</v>
      </c>
      <c r="C3448" t="s">
        <v>15</v>
      </c>
      <c r="D3448" t="s">
        <v>17</v>
      </c>
      <c r="E3448">
        <v>191.45</v>
      </c>
      <c r="F3448">
        <v>159.74</v>
      </c>
      <c r="G3448">
        <v>6</v>
      </c>
      <c r="H3448">
        <f t="shared" si="318"/>
        <v>1148.6999999999998</v>
      </c>
      <c r="I3448">
        <f t="shared" si="322"/>
        <v>958.44</v>
      </c>
      <c r="J3448">
        <f t="shared" si="319"/>
        <v>190.25999999999976</v>
      </c>
      <c r="K3448" s="8">
        <f t="shared" si="320"/>
        <v>0.16563071297989013</v>
      </c>
      <c r="L3448" t="str">
        <f t="shared" si="323"/>
        <v>2024-10</v>
      </c>
      <c r="M3448">
        <f t="shared" si="321"/>
        <v>190.25999999999976</v>
      </c>
    </row>
    <row r="3449" spans="1:13" x14ac:dyDescent="0.25">
      <c r="A3449" s="1">
        <v>44885</v>
      </c>
      <c r="B3449" t="s">
        <v>14</v>
      </c>
      <c r="C3449" t="s">
        <v>15</v>
      </c>
      <c r="D3449" t="s">
        <v>9</v>
      </c>
      <c r="E3449">
        <v>71.88</v>
      </c>
      <c r="F3449">
        <v>50.23</v>
      </c>
      <c r="G3449">
        <v>10</v>
      </c>
      <c r="H3449">
        <f t="shared" si="318"/>
        <v>718.8</v>
      </c>
      <c r="I3449">
        <f t="shared" si="322"/>
        <v>502.29999999999995</v>
      </c>
      <c r="J3449">
        <f t="shared" si="319"/>
        <v>216.5</v>
      </c>
      <c r="K3449" s="8">
        <f t="shared" si="320"/>
        <v>0.30119643850862549</v>
      </c>
      <c r="L3449" t="str">
        <f t="shared" si="323"/>
        <v>2022-11</v>
      </c>
      <c r="M3449">
        <f t="shared" si="321"/>
        <v>216.5</v>
      </c>
    </row>
    <row r="3450" spans="1:13" x14ac:dyDescent="0.25">
      <c r="A3450" s="1">
        <v>44969</v>
      </c>
      <c r="B3450" t="s">
        <v>12</v>
      </c>
      <c r="C3450" t="s">
        <v>8</v>
      </c>
      <c r="D3450" t="s">
        <v>9</v>
      </c>
      <c r="E3450">
        <v>1194.28</v>
      </c>
      <c r="F3450">
        <v>763.12</v>
      </c>
      <c r="G3450">
        <v>9</v>
      </c>
      <c r="H3450">
        <f t="shared" si="318"/>
        <v>10748.52</v>
      </c>
      <c r="I3450">
        <f t="shared" si="322"/>
        <v>6868.08</v>
      </c>
      <c r="J3450">
        <f t="shared" si="319"/>
        <v>3880.4400000000005</v>
      </c>
      <c r="K3450" s="8">
        <f t="shared" si="320"/>
        <v>0.36102086612854611</v>
      </c>
      <c r="L3450" t="str">
        <f t="shared" si="323"/>
        <v>2023-02</v>
      </c>
      <c r="M3450">
        <f t="shared" si="321"/>
        <v>3880.4400000000005</v>
      </c>
    </row>
    <row r="3451" spans="1:13" x14ac:dyDescent="0.25">
      <c r="A3451" s="1">
        <v>44598</v>
      </c>
      <c r="B3451" t="s">
        <v>7</v>
      </c>
      <c r="C3451" t="s">
        <v>8</v>
      </c>
      <c r="D3451" t="s">
        <v>9</v>
      </c>
      <c r="E3451">
        <v>1338.79</v>
      </c>
      <c r="F3451">
        <v>1183.08</v>
      </c>
      <c r="G3451">
        <v>9</v>
      </c>
      <c r="H3451">
        <f t="shared" si="318"/>
        <v>12049.11</v>
      </c>
      <c r="I3451">
        <f t="shared" si="322"/>
        <v>10647.72</v>
      </c>
      <c r="J3451">
        <f t="shared" si="319"/>
        <v>1401.3900000000012</v>
      </c>
      <c r="K3451" s="8">
        <f t="shared" si="320"/>
        <v>0.11630651558496861</v>
      </c>
      <c r="L3451" t="str">
        <f t="shared" si="323"/>
        <v>2022-02</v>
      </c>
      <c r="M3451">
        <f t="shared" si="321"/>
        <v>1401.3900000000012</v>
      </c>
    </row>
    <row r="3452" spans="1:13" x14ac:dyDescent="0.25">
      <c r="A3452" s="1">
        <v>45572</v>
      </c>
      <c r="B3452" t="s">
        <v>24</v>
      </c>
      <c r="C3452" t="s">
        <v>20</v>
      </c>
      <c r="D3452" t="s">
        <v>18</v>
      </c>
      <c r="E3452">
        <v>1131.8800000000001</v>
      </c>
      <c r="F3452">
        <v>826.18</v>
      </c>
      <c r="G3452">
        <v>1</v>
      </c>
      <c r="H3452">
        <f t="shared" si="318"/>
        <v>1131.8800000000001</v>
      </c>
      <c r="I3452">
        <f t="shared" si="322"/>
        <v>826.18</v>
      </c>
      <c r="J3452">
        <f t="shared" si="319"/>
        <v>305.70000000000016</v>
      </c>
      <c r="K3452" s="8">
        <f t="shared" si="320"/>
        <v>0.27008163409548724</v>
      </c>
      <c r="L3452" t="str">
        <f t="shared" si="323"/>
        <v>2024-10</v>
      </c>
      <c r="M3452">
        <f t="shared" si="321"/>
        <v>305.70000000000016</v>
      </c>
    </row>
    <row r="3453" spans="1:13" x14ac:dyDescent="0.25">
      <c r="A3453" s="1">
        <v>45081</v>
      </c>
      <c r="B3453" t="s">
        <v>23</v>
      </c>
      <c r="C3453" t="s">
        <v>11</v>
      </c>
      <c r="D3453" t="s">
        <v>18</v>
      </c>
      <c r="E3453">
        <v>676.74</v>
      </c>
      <c r="F3453">
        <v>362.28</v>
      </c>
      <c r="G3453">
        <v>10</v>
      </c>
      <c r="H3453">
        <f t="shared" si="318"/>
        <v>6767.4</v>
      </c>
      <c r="I3453">
        <f t="shared" si="322"/>
        <v>3622.7999999999997</v>
      </c>
      <c r="J3453">
        <f t="shared" si="319"/>
        <v>3144.6</v>
      </c>
      <c r="K3453" s="8">
        <f t="shared" si="320"/>
        <v>0.46466885362177501</v>
      </c>
      <c r="L3453" t="str">
        <f t="shared" si="323"/>
        <v>2023-06</v>
      </c>
      <c r="M3453">
        <f t="shared" si="321"/>
        <v>3144.6</v>
      </c>
    </row>
    <row r="3454" spans="1:13" x14ac:dyDescent="0.25">
      <c r="A3454" s="1">
        <v>45432</v>
      </c>
      <c r="B3454" t="s">
        <v>12</v>
      </c>
      <c r="C3454" t="s">
        <v>8</v>
      </c>
      <c r="D3454" t="s">
        <v>18</v>
      </c>
      <c r="E3454">
        <v>1434.78</v>
      </c>
      <c r="F3454">
        <v>865.28</v>
      </c>
      <c r="G3454">
        <v>6</v>
      </c>
      <c r="H3454">
        <f t="shared" si="318"/>
        <v>8608.68</v>
      </c>
      <c r="I3454">
        <f t="shared" si="322"/>
        <v>5191.68</v>
      </c>
      <c r="J3454">
        <f t="shared" si="319"/>
        <v>3417</v>
      </c>
      <c r="K3454" s="8">
        <f t="shared" si="320"/>
        <v>0.39692496410599531</v>
      </c>
      <c r="L3454" t="str">
        <f t="shared" si="323"/>
        <v>2024-05</v>
      </c>
      <c r="M3454">
        <f t="shared" si="321"/>
        <v>3417</v>
      </c>
    </row>
    <row r="3455" spans="1:13" x14ac:dyDescent="0.25">
      <c r="A3455" s="1">
        <v>45590</v>
      </c>
      <c r="B3455" t="s">
        <v>10</v>
      </c>
      <c r="C3455" t="s">
        <v>11</v>
      </c>
      <c r="D3455" t="s">
        <v>18</v>
      </c>
      <c r="E3455">
        <v>1290.92</v>
      </c>
      <c r="F3455">
        <v>981.78</v>
      </c>
      <c r="G3455">
        <v>3</v>
      </c>
      <c r="H3455">
        <f t="shared" si="318"/>
        <v>3872.76</v>
      </c>
      <c r="I3455">
        <f t="shared" si="322"/>
        <v>2945.34</v>
      </c>
      <c r="J3455">
        <f t="shared" si="319"/>
        <v>927.42000000000007</v>
      </c>
      <c r="K3455" s="8">
        <f t="shared" si="320"/>
        <v>0.23947262417500698</v>
      </c>
      <c r="L3455" t="str">
        <f t="shared" si="323"/>
        <v>2024-10</v>
      </c>
      <c r="M3455">
        <f t="shared" si="321"/>
        <v>927.42000000000007</v>
      </c>
    </row>
    <row r="3456" spans="1:13" x14ac:dyDescent="0.25">
      <c r="A3456" s="1">
        <v>45353</v>
      </c>
      <c r="B3456" t="s">
        <v>25</v>
      </c>
      <c r="C3456" t="s">
        <v>15</v>
      </c>
      <c r="D3456" t="s">
        <v>17</v>
      </c>
      <c r="E3456">
        <v>788.34</v>
      </c>
      <c r="F3456">
        <v>440.04</v>
      </c>
      <c r="G3456">
        <v>7</v>
      </c>
      <c r="H3456">
        <f t="shared" si="318"/>
        <v>5518.38</v>
      </c>
      <c r="I3456">
        <f t="shared" si="322"/>
        <v>3080.28</v>
      </c>
      <c r="J3456">
        <f t="shared" si="319"/>
        <v>2438.1</v>
      </c>
      <c r="K3456" s="8">
        <f t="shared" si="320"/>
        <v>0.44181444554380089</v>
      </c>
      <c r="L3456" t="str">
        <f t="shared" si="323"/>
        <v>2024-03</v>
      </c>
      <c r="M3456">
        <f t="shared" si="321"/>
        <v>2438.1</v>
      </c>
    </row>
    <row r="3457" spans="1:13" x14ac:dyDescent="0.25">
      <c r="A3457" s="1">
        <v>45554</v>
      </c>
      <c r="B3457" t="s">
        <v>25</v>
      </c>
      <c r="C3457" t="s">
        <v>15</v>
      </c>
      <c r="D3457" t="s">
        <v>18</v>
      </c>
      <c r="E3457">
        <v>58.32</v>
      </c>
      <c r="F3457">
        <v>47.15</v>
      </c>
      <c r="G3457">
        <v>8</v>
      </c>
      <c r="H3457">
        <f t="shared" si="318"/>
        <v>466.56</v>
      </c>
      <c r="I3457">
        <f t="shared" si="322"/>
        <v>377.2</v>
      </c>
      <c r="J3457">
        <f t="shared" si="319"/>
        <v>89.360000000000014</v>
      </c>
      <c r="K3457" s="8">
        <f t="shared" si="320"/>
        <v>0.19152949245541842</v>
      </c>
      <c r="L3457" t="str">
        <f t="shared" si="323"/>
        <v>2024-09</v>
      </c>
      <c r="M3457">
        <f t="shared" si="321"/>
        <v>89.360000000000014</v>
      </c>
    </row>
    <row r="3458" spans="1:13" x14ac:dyDescent="0.25">
      <c r="A3458" s="1">
        <v>44738</v>
      </c>
      <c r="B3458" t="s">
        <v>22</v>
      </c>
      <c r="C3458" t="s">
        <v>8</v>
      </c>
      <c r="D3458" t="s">
        <v>13</v>
      </c>
      <c r="E3458">
        <v>1342.11</v>
      </c>
      <c r="F3458">
        <v>793.21</v>
      </c>
      <c r="G3458">
        <v>9</v>
      </c>
      <c r="H3458">
        <f t="shared" si="318"/>
        <v>12078.99</v>
      </c>
      <c r="I3458">
        <f t="shared" si="322"/>
        <v>7138.89</v>
      </c>
      <c r="J3458">
        <f t="shared" si="319"/>
        <v>4940.0999999999995</v>
      </c>
      <c r="K3458" s="8">
        <f t="shared" si="320"/>
        <v>0.40898287025653629</v>
      </c>
      <c r="L3458" t="str">
        <f t="shared" si="323"/>
        <v>2022-06</v>
      </c>
      <c r="M3458">
        <f t="shared" si="321"/>
        <v>4940.0999999999995</v>
      </c>
    </row>
    <row r="3459" spans="1:13" x14ac:dyDescent="0.25">
      <c r="A3459" s="1">
        <v>45269</v>
      </c>
      <c r="B3459" t="s">
        <v>12</v>
      </c>
      <c r="C3459" t="s">
        <v>8</v>
      </c>
      <c r="D3459" t="s">
        <v>9</v>
      </c>
      <c r="E3459">
        <v>200.09</v>
      </c>
      <c r="F3459">
        <v>157.52000000000001</v>
      </c>
      <c r="G3459">
        <v>5</v>
      </c>
      <c r="H3459">
        <f t="shared" ref="H3459:H3501" si="324">E3459*G3459</f>
        <v>1000.45</v>
      </c>
      <c r="I3459">
        <f t="shared" si="322"/>
        <v>787.6</v>
      </c>
      <c r="J3459">
        <f t="shared" ref="J3459:J3501" si="325">H3459-I3459</f>
        <v>212.85000000000002</v>
      </c>
      <c r="K3459" s="8">
        <f t="shared" ref="K3459:K3501" si="326">(H3459-I3459)/H3459</f>
        <v>0.21275426058273778</v>
      </c>
      <c r="L3459" t="str">
        <f t="shared" si="323"/>
        <v>2023-12</v>
      </c>
      <c r="M3459">
        <f t="shared" ref="M3459:M3501" si="327">H3459-I3459</f>
        <v>212.85000000000002</v>
      </c>
    </row>
    <row r="3460" spans="1:13" x14ac:dyDescent="0.25">
      <c r="A3460" s="1">
        <v>44997</v>
      </c>
      <c r="B3460" t="s">
        <v>24</v>
      </c>
      <c r="C3460" t="s">
        <v>20</v>
      </c>
      <c r="D3460" t="s">
        <v>9</v>
      </c>
      <c r="E3460">
        <v>341.18</v>
      </c>
      <c r="F3460">
        <v>197.41</v>
      </c>
      <c r="G3460">
        <v>10</v>
      </c>
      <c r="H3460">
        <f t="shared" si="324"/>
        <v>3411.8</v>
      </c>
      <c r="I3460">
        <f t="shared" ref="I3460:I3501" si="328">F3460*G3460</f>
        <v>1974.1</v>
      </c>
      <c r="J3460">
        <f t="shared" si="325"/>
        <v>1437.7000000000003</v>
      </c>
      <c r="K3460" s="8">
        <f t="shared" si="326"/>
        <v>0.42139046837446514</v>
      </c>
      <c r="L3460" t="str">
        <f t="shared" ref="L3460:L3501" si="329">TEXT(A3460,"rrrr-mm")</f>
        <v>2023-03</v>
      </c>
      <c r="M3460">
        <f t="shared" si="327"/>
        <v>1437.7000000000003</v>
      </c>
    </row>
    <row r="3461" spans="1:13" x14ac:dyDescent="0.25">
      <c r="A3461" s="1">
        <v>45625</v>
      </c>
      <c r="B3461" t="s">
        <v>16</v>
      </c>
      <c r="C3461" t="s">
        <v>15</v>
      </c>
      <c r="D3461" t="s">
        <v>9</v>
      </c>
      <c r="E3461">
        <v>213.46</v>
      </c>
      <c r="F3461">
        <v>110.55</v>
      </c>
      <c r="G3461">
        <v>1</v>
      </c>
      <c r="H3461">
        <f t="shared" si="324"/>
        <v>213.46</v>
      </c>
      <c r="I3461">
        <f t="shared" si="328"/>
        <v>110.55</v>
      </c>
      <c r="J3461">
        <f t="shared" si="325"/>
        <v>102.91000000000001</v>
      </c>
      <c r="K3461" s="8">
        <f t="shared" si="326"/>
        <v>0.48210437552703084</v>
      </c>
      <c r="L3461" t="str">
        <f t="shared" si="329"/>
        <v>2024-11</v>
      </c>
      <c r="M3461">
        <f t="shared" si="327"/>
        <v>102.91000000000001</v>
      </c>
    </row>
    <row r="3462" spans="1:13" x14ac:dyDescent="0.25">
      <c r="A3462" s="1">
        <v>45507</v>
      </c>
      <c r="B3462" t="s">
        <v>12</v>
      </c>
      <c r="C3462" t="s">
        <v>8</v>
      </c>
      <c r="D3462" t="s">
        <v>13</v>
      </c>
      <c r="E3462">
        <v>730.54</v>
      </c>
      <c r="F3462">
        <v>511.29</v>
      </c>
      <c r="G3462">
        <v>1</v>
      </c>
      <c r="H3462">
        <f t="shared" si="324"/>
        <v>730.54</v>
      </c>
      <c r="I3462">
        <f t="shared" si="328"/>
        <v>511.29</v>
      </c>
      <c r="J3462">
        <f t="shared" si="325"/>
        <v>219.24999999999994</v>
      </c>
      <c r="K3462" s="8">
        <f t="shared" si="326"/>
        <v>0.30012045883866723</v>
      </c>
      <c r="L3462" t="str">
        <f t="shared" si="329"/>
        <v>2024-08</v>
      </c>
      <c r="M3462">
        <f t="shared" si="327"/>
        <v>219.24999999999994</v>
      </c>
    </row>
    <row r="3463" spans="1:13" x14ac:dyDescent="0.25">
      <c r="A3463" s="1">
        <v>45619</v>
      </c>
      <c r="B3463" t="s">
        <v>23</v>
      </c>
      <c r="C3463" t="s">
        <v>11</v>
      </c>
      <c r="D3463" t="s">
        <v>18</v>
      </c>
      <c r="E3463">
        <v>1603.68</v>
      </c>
      <c r="F3463">
        <v>818.78</v>
      </c>
      <c r="G3463">
        <v>8</v>
      </c>
      <c r="H3463">
        <f t="shared" si="324"/>
        <v>12829.44</v>
      </c>
      <c r="I3463">
        <f t="shared" si="328"/>
        <v>6550.24</v>
      </c>
      <c r="J3463">
        <f t="shared" si="325"/>
        <v>6279.2000000000007</v>
      </c>
      <c r="K3463" s="8">
        <f t="shared" si="326"/>
        <v>0.48943679537064755</v>
      </c>
      <c r="L3463" t="str">
        <f t="shared" si="329"/>
        <v>2024-11</v>
      </c>
      <c r="M3463">
        <f t="shared" si="327"/>
        <v>6279.2000000000007</v>
      </c>
    </row>
    <row r="3464" spans="1:13" x14ac:dyDescent="0.25">
      <c r="A3464" s="1">
        <v>44578</v>
      </c>
      <c r="B3464" t="s">
        <v>22</v>
      </c>
      <c r="C3464" t="s">
        <v>8</v>
      </c>
      <c r="D3464" t="s">
        <v>13</v>
      </c>
      <c r="E3464">
        <v>252.59</v>
      </c>
      <c r="F3464">
        <v>196.74</v>
      </c>
      <c r="G3464">
        <v>10</v>
      </c>
      <c r="H3464">
        <f t="shared" si="324"/>
        <v>2525.9</v>
      </c>
      <c r="I3464">
        <f t="shared" si="328"/>
        <v>1967.4</v>
      </c>
      <c r="J3464">
        <f t="shared" si="325"/>
        <v>558.5</v>
      </c>
      <c r="K3464" s="8">
        <f t="shared" si="326"/>
        <v>0.22110930757353814</v>
      </c>
      <c r="L3464" t="str">
        <f t="shared" si="329"/>
        <v>2022-01</v>
      </c>
      <c r="M3464">
        <f t="shared" si="327"/>
        <v>558.5</v>
      </c>
    </row>
    <row r="3465" spans="1:13" x14ac:dyDescent="0.25">
      <c r="A3465" s="1">
        <v>45374</v>
      </c>
      <c r="B3465" t="s">
        <v>14</v>
      </c>
      <c r="C3465" t="s">
        <v>15</v>
      </c>
      <c r="D3465" t="s">
        <v>18</v>
      </c>
      <c r="E3465">
        <v>1051.3699999999999</v>
      </c>
      <c r="F3465">
        <v>596.71</v>
      </c>
      <c r="G3465">
        <v>7</v>
      </c>
      <c r="H3465">
        <f t="shared" si="324"/>
        <v>7359.5899999999992</v>
      </c>
      <c r="I3465">
        <f t="shared" si="328"/>
        <v>4176.97</v>
      </c>
      <c r="J3465">
        <f t="shared" si="325"/>
        <v>3182.619999999999</v>
      </c>
      <c r="K3465" s="8">
        <f t="shared" si="326"/>
        <v>0.43244528567488127</v>
      </c>
      <c r="L3465" t="str">
        <f t="shared" si="329"/>
        <v>2024-03</v>
      </c>
      <c r="M3465">
        <f t="shared" si="327"/>
        <v>3182.619999999999</v>
      </c>
    </row>
    <row r="3466" spans="1:13" x14ac:dyDescent="0.25">
      <c r="A3466" s="1">
        <v>45367</v>
      </c>
      <c r="B3466" t="s">
        <v>23</v>
      </c>
      <c r="C3466" t="s">
        <v>11</v>
      </c>
      <c r="D3466" t="s">
        <v>9</v>
      </c>
      <c r="E3466">
        <v>1358.94</v>
      </c>
      <c r="F3466">
        <v>1089.93</v>
      </c>
      <c r="G3466">
        <v>7</v>
      </c>
      <c r="H3466">
        <f t="shared" si="324"/>
        <v>9512.58</v>
      </c>
      <c r="I3466">
        <f t="shared" si="328"/>
        <v>7629.51</v>
      </c>
      <c r="J3466">
        <f t="shared" si="325"/>
        <v>1883.0699999999997</v>
      </c>
      <c r="K3466" s="8">
        <f t="shared" si="326"/>
        <v>0.197955759636187</v>
      </c>
      <c r="L3466" t="str">
        <f t="shared" si="329"/>
        <v>2024-03</v>
      </c>
      <c r="M3466">
        <f t="shared" si="327"/>
        <v>1883.0699999999997</v>
      </c>
    </row>
    <row r="3467" spans="1:13" x14ac:dyDescent="0.25">
      <c r="A3467" s="1">
        <v>45645</v>
      </c>
      <c r="B3467" t="s">
        <v>7</v>
      </c>
      <c r="C3467" t="s">
        <v>8</v>
      </c>
      <c r="D3467" t="s">
        <v>18</v>
      </c>
      <c r="E3467">
        <v>679.06</v>
      </c>
      <c r="F3467">
        <v>453.06</v>
      </c>
      <c r="G3467">
        <v>6</v>
      </c>
      <c r="H3467">
        <f t="shared" si="324"/>
        <v>4074.3599999999997</v>
      </c>
      <c r="I3467">
        <f t="shared" si="328"/>
        <v>2718.36</v>
      </c>
      <c r="J3467">
        <f t="shared" si="325"/>
        <v>1355.9999999999995</v>
      </c>
      <c r="K3467" s="8">
        <f t="shared" si="326"/>
        <v>0.33281300621447285</v>
      </c>
      <c r="L3467" t="str">
        <f t="shared" si="329"/>
        <v>2024-12</v>
      </c>
      <c r="M3467">
        <f t="shared" si="327"/>
        <v>1355.9999999999995</v>
      </c>
    </row>
    <row r="3468" spans="1:13" x14ac:dyDescent="0.25">
      <c r="A3468" s="1">
        <v>45090</v>
      </c>
      <c r="B3468" t="s">
        <v>23</v>
      </c>
      <c r="C3468" t="s">
        <v>11</v>
      </c>
      <c r="D3468" t="s">
        <v>13</v>
      </c>
      <c r="E3468">
        <v>734.31</v>
      </c>
      <c r="F3468">
        <v>657.28</v>
      </c>
      <c r="G3468">
        <v>7</v>
      </c>
      <c r="H3468">
        <f t="shared" si="324"/>
        <v>5140.17</v>
      </c>
      <c r="I3468">
        <f t="shared" si="328"/>
        <v>4600.96</v>
      </c>
      <c r="J3468">
        <f t="shared" si="325"/>
        <v>539.21</v>
      </c>
      <c r="K3468" s="8">
        <f t="shared" si="326"/>
        <v>0.10490119976576651</v>
      </c>
      <c r="L3468" t="str">
        <f t="shared" si="329"/>
        <v>2023-06</v>
      </c>
      <c r="M3468">
        <f t="shared" si="327"/>
        <v>539.21</v>
      </c>
    </row>
    <row r="3469" spans="1:13" x14ac:dyDescent="0.25">
      <c r="A3469" s="1">
        <v>45275</v>
      </c>
      <c r="B3469" t="s">
        <v>25</v>
      </c>
      <c r="C3469" t="s">
        <v>15</v>
      </c>
      <c r="D3469" t="s">
        <v>9</v>
      </c>
      <c r="E3469">
        <v>1617.66</v>
      </c>
      <c r="F3469">
        <v>940.11</v>
      </c>
      <c r="G3469">
        <v>1</v>
      </c>
      <c r="H3469">
        <f t="shared" si="324"/>
        <v>1617.66</v>
      </c>
      <c r="I3469">
        <f t="shared" si="328"/>
        <v>940.11</v>
      </c>
      <c r="J3469">
        <f t="shared" si="325"/>
        <v>677.55000000000007</v>
      </c>
      <c r="K3469" s="8">
        <f t="shared" si="326"/>
        <v>0.41884574014316978</v>
      </c>
      <c r="L3469" t="str">
        <f t="shared" si="329"/>
        <v>2023-12</v>
      </c>
      <c r="M3469">
        <f t="shared" si="327"/>
        <v>677.55000000000007</v>
      </c>
    </row>
    <row r="3470" spans="1:13" x14ac:dyDescent="0.25">
      <c r="A3470" s="1">
        <v>44811</v>
      </c>
      <c r="B3470" t="s">
        <v>24</v>
      </c>
      <c r="C3470" t="s">
        <v>20</v>
      </c>
      <c r="D3470" t="s">
        <v>9</v>
      </c>
      <c r="E3470">
        <v>928.03</v>
      </c>
      <c r="F3470">
        <v>559.13</v>
      </c>
      <c r="G3470">
        <v>4</v>
      </c>
      <c r="H3470">
        <f t="shared" si="324"/>
        <v>3712.12</v>
      </c>
      <c r="I3470">
        <f t="shared" si="328"/>
        <v>2236.52</v>
      </c>
      <c r="J3470">
        <f t="shared" si="325"/>
        <v>1475.6</v>
      </c>
      <c r="K3470" s="8">
        <f t="shared" si="326"/>
        <v>0.39750870122733101</v>
      </c>
      <c r="L3470" t="str">
        <f t="shared" si="329"/>
        <v>2022-09</v>
      </c>
      <c r="M3470">
        <f t="shared" si="327"/>
        <v>1475.6</v>
      </c>
    </row>
    <row r="3471" spans="1:13" x14ac:dyDescent="0.25">
      <c r="A3471" s="1">
        <v>45404</v>
      </c>
      <c r="B3471" t="s">
        <v>12</v>
      </c>
      <c r="C3471" t="s">
        <v>8</v>
      </c>
      <c r="D3471" t="s">
        <v>17</v>
      </c>
      <c r="E3471">
        <v>380.84</v>
      </c>
      <c r="F3471">
        <v>221.59</v>
      </c>
      <c r="G3471">
        <v>8</v>
      </c>
      <c r="H3471">
        <f t="shared" si="324"/>
        <v>3046.72</v>
      </c>
      <c r="I3471">
        <f t="shared" si="328"/>
        <v>1772.72</v>
      </c>
      <c r="J3471">
        <f t="shared" si="325"/>
        <v>1273.9999999999998</v>
      </c>
      <c r="K3471" s="8">
        <f t="shared" si="326"/>
        <v>0.41815460560865453</v>
      </c>
      <c r="L3471" t="str">
        <f t="shared" si="329"/>
        <v>2024-04</v>
      </c>
      <c r="M3471">
        <f t="shared" si="327"/>
        <v>1273.9999999999998</v>
      </c>
    </row>
    <row r="3472" spans="1:13" x14ac:dyDescent="0.25">
      <c r="A3472" s="1">
        <v>44607</v>
      </c>
      <c r="B3472" t="s">
        <v>21</v>
      </c>
      <c r="C3472" t="s">
        <v>20</v>
      </c>
      <c r="D3472" t="s">
        <v>9</v>
      </c>
      <c r="E3472">
        <v>411.49</v>
      </c>
      <c r="F3472">
        <v>273.72000000000003</v>
      </c>
      <c r="G3472">
        <v>1</v>
      </c>
      <c r="H3472">
        <f t="shared" si="324"/>
        <v>411.49</v>
      </c>
      <c r="I3472">
        <f t="shared" si="328"/>
        <v>273.72000000000003</v>
      </c>
      <c r="J3472">
        <f t="shared" si="325"/>
        <v>137.76999999999998</v>
      </c>
      <c r="K3472" s="8">
        <f t="shared" si="326"/>
        <v>0.33480765024666453</v>
      </c>
      <c r="L3472" t="str">
        <f t="shared" si="329"/>
        <v>2022-02</v>
      </c>
      <c r="M3472">
        <f t="shared" si="327"/>
        <v>137.76999999999998</v>
      </c>
    </row>
    <row r="3473" spans="1:13" x14ac:dyDescent="0.25">
      <c r="A3473" s="1">
        <v>45343</v>
      </c>
      <c r="B3473" t="s">
        <v>7</v>
      </c>
      <c r="C3473" t="s">
        <v>8</v>
      </c>
      <c r="D3473" t="s">
        <v>17</v>
      </c>
      <c r="E3473">
        <v>849.22</v>
      </c>
      <c r="F3473">
        <v>625.44000000000005</v>
      </c>
      <c r="G3473">
        <v>2</v>
      </c>
      <c r="H3473">
        <f t="shared" si="324"/>
        <v>1698.44</v>
      </c>
      <c r="I3473">
        <f t="shared" si="328"/>
        <v>1250.8800000000001</v>
      </c>
      <c r="J3473">
        <f t="shared" si="325"/>
        <v>447.55999999999995</v>
      </c>
      <c r="K3473" s="8">
        <f t="shared" si="326"/>
        <v>0.26351239961376316</v>
      </c>
      <c r="L3473" t="str">
        <f t="shared" si="329"/>
        <v>2024-02</v>
      </c>
      <c r="M3473">
        <f t="shared" si="327"/>
        <v>447.55999999999995</v>
      </c>
    </row>
    <row r="3474" spans="1:13" x14ac:dyDescent="0.25">
      <c r="A3474" s="1">
        <v>44588</v>
      </c>
      <c r="B3474" t="s">
        <v>21</v>
      </c>
      <c r="C3474" t="s">
        <v>20</v>
      </c>
      <c r="D3474" t="s">
        <v>17</v>
      </c>
      <c r="E3474">
        <v>679.27</v>
      </c>
      <c r="F3474">
        <v>439.25</v>
      </c>
      <c r="G3474">
        <v>5</v>
      </c>
      <c r="H3474">
        <f t="shared" si="324"/>
        <v>3396.35</v>
      </c>
      <c r="I3474">
        <f t="shared" si="328"/>
        <v>2196.25</v>
      </c>
      <c r="J3474">
        <f t="shared" si="325"/>
        <v>1200.0999999999999</v>
      </c>
      <c r="K3474" s="8">
        <f t="shared" si="326"/>
        <v>0.35334991976680846</v>
      </c>
      <c r="L3474" t="str">
        <f t="shared" si="329"/>
        <v>2022-01</v>
      </c>
      <c r="M3474">
        <f t="shared" si="327"/>
        <v>1200.0999999999999</v>
      </c>
    </row>
    <row r="3475" spans="1:13" x14ac:dyDescent="0.25">
      <c r="A3475" s="1">
        <v>45303</v>
      </c>
      <c r="B3475" t="s">
        <v>10</v>
      </c>
      <c r="C3475" t="s">
        <v>11</v>
      </c>
      <c r="D3475" t="s">
        <v>9</v>
      </c>
      <c r="E3475">
        <v>397.85</v>
      </c>
      <c r="F3475">
        <v>269.83</v>
      </c>
      <c r="G3475">
        <v>5</v>
      </c>
      <c r="H3475">
        <f t="shared" si="324"/>
        <v>1989.25</v>
      </c>
      <c r="I3475">
        <f t="shared" si="328"/>
        <v>1349.1499999999999</v>
      </c>
      <c r="J3475">
        <f t="shared" si="325"/>
        <v>640.10000000000014</v>
      </c>
      <c r="K3475" s="8">
        <f t="shared" si="326"/>
        <v>0.32177956516274986</v>
      </c>
      <c r="L3475" t="str">
        <f t="shared" si="329"/>
        <v>2024-01</v>
      </c>
      <c r="M3475">
        <f t="shared" si="327"/>
        <v>640.10000000000014</v>
      </c>
    </row>
    <row r="3476" spans="1:13" x14ac:dyDescent="0.25">
      <c r="A3476" s="1">
        <v>45353</v>
      </c>
      <c r="B3476" t="s">
        <v>22</v>
      </c>
      <c r="C3476" t="s">
        <v>8</v>
      </c>
      <c r="D3476" t="s">
        <v>9</v>
      </c>
      <c r="E3476">
        <v>1471.63</v>
      </c>
      <c r="F3476">
        <v>888.01</v>
      </c>
      <c r="G3476">
        <v>6</v>
      </c>
      <c r="H3476">
        <f t="shared" si="324"/>
        <v>8829.7800000000007</v>
      </c>
      <c r="I3476">
        <f t="shared" si="328"/>
        <v>5328.0599999999995</v>
      </c>
      <c r="J3476">
        <f t="shared" si="325"/>
        <v>3501.7200000000012</v>
      </c>
      <c r="K3476" s="8">
        <f t="shared" si="326"/>
        <v>0.39658066225885591</v>
      </c>
      <c r="L3476" t="str">
        <f t="shared" si="329"/>
        <v>2024-03</v>
      </c>
      <c r="M3476">
        <f t="shared" si="327"/>
        <v>3501.7200000000012</v>
      </c>
    </row>
    <row r="3477" spans="1:13" x14ac:dyDescent="0.25">
      <c r="A3477" s="1">
        <v>44644</v>
      </c>
      <c r="B3477" t="s">
        <v>7</v>
      </c>
      <c r="C3477" t="s">
        <v>8</v>
      </c>
      <c r="D3477" t="s">
        <v>17</v>
      </c>
      <c r="E3477">
        <v>1464.06</v>
      </c>
      <c r="F3477">
        <v>954.09</v>
      </c>
      <c r="G3477">
        <v>1</v>
      </c>
      <c r="H3477">
        <f t="shared" si="324"/>
        <v>1464.06</v>
      </c>
      <c r="I3477">
        <f t="shared" si="328"/>
        <v>954.09</v>
      </c>
      <c r="J3477">
        <f t="shared" si="325"/>
        <v>509.96999999999991</v>
      </c>
      <c r="K3477" s="8">
        <f t="shared" si="326"/>
        <v>0.34832588828326705</v>
      </c>
      <c r="L3477" t="str">
        <f t="shared" si="329"/>
        <v>2022-03</v>
      </c>
      <c r="M3477">
        <f t="shared" si="327"/>
        <v>509.96999999999991</v>
      </c>
    </row>
    <row r="3478" spans="1:13" x14ac:dyDescent="0.25">
      <c r="A3478" s="1">
        <v>45597</v>
      </c>
      <c r="B3478" t="s">
        <v>14</v>
      </c>
      <c r="C3478" t="s">
        <v>15</v>
      </c>
      <c r="D3478" t="s">
        <v>13</v>
      </c>
      <c r="E3478">
        <v>1041.51</v>
      </c>
      <c r="F3478">
        <v>632.14</v>
      </c>
      <c r="G3478">
        <v>1</v>
      </c>
      <c r="H3478">
        <f t="shared" si="324"/>
        <v>1041.51</v>
      </c>
      <c r="I3478">
        <f t="shared" si="328"/>
        <v>632.14</v>
      </c>
      <c r="J3478">
        <f t="shared" si="325"/>
        <v>409.37</v>
      </c>
      <c r="K3478" s="8">
        <f t="shared" si="326"/>
        <v>0.39305431536903152</v>
      </c>
      <c r="L3478" t="str">
        <f t="shared" si="329"/>
        <v>2024-11</v>
      </c>
      <c r="M3478">
        <f t="shared" si="327"/>
        <v>409.37</v>
      </c>
    </row>
    <row r="3479" spans="1:13" x14ac:dyDescent="0.25">
      <c r="A3479" s="1">
        <v>45006</v>
      </c>
      <c r="B3479" t="s">
        <v>23</v>
      </c>
      <c r="C3479" t="s">
        <v>11</v>
      </c>
      <c r="D3479" t="s">
        <v>13</v>
      </c>
      <c r="E3479">
        <v>1520.08</v>
      </c>
      <c r="F3479">
        <v>1355.69</v>
      </c>
      <c r="G3479">
        <v>5</v>
      </c>
      <c r="H3479">
        <f t="shared" si="324"/>
        <v>7600.4</v>
      </c>
      <c r="I3479">
        <f t="shared" si="328"/>
        <v>6778.4500000000007</v>
      </c>
      <c r="J3479">
        <f t="shared" si="325"/>
        <v>821.94999999999891</v>
      </c>
      <c r="K3479" s="8">
        <f t="shared" si="326"/>
        <v>0.10814562391453067</v>
      </c>
      <c r="L3479" t="str">
        <f t="shared" si="329"/>
        <v>2023-03</v>
      </c>
      <c r="M3479">
        <f t="shared" si="327"/>
        <v>821.94999999999891</v>
      </c>
    </row>
    <row r="3480" spans="1:13" x14ac:dyDescent="0.25">
      <c r="A3480" s="1">
        <v>45136</v>
      </c>
      <c r="B3480" t="s">
        <v>14</v>
      </c>
      <c r="C3480" t="s">
        <v>15</v>
      </c>
      <c r="D3480" t="s">
        <v>18</v>
      </c>
      <c r="E3480">
        <v>1048.1600000000001</v>
      </c>
      <c r="F3480">
        <v>752.02</v>
      </c>
      <c r="G3480">
        <v>4</v>
      </c>
      <c r="H3480">
        <f t="shared" si="324"/>
        <v>4192.6400000000003</v>
      </c>
      <c r="I3480">
        <f t="shared" si="328"/>
        <v>3008.08</v>
      </c>
      <c r="J3480">
        <f t="shared" si="325"/>
        <v>1184.5600000000004</v>
      </c>
      <c r="K3480" s="8">
        <f t="shared" si="326"/>
        <v>0.28253320103800955</v>
      </c>
      <c r="L3480" t="str">
        <f t="shared" si="329"/>
        <v>2023-07</v>
      </c>
      <c r="M3480">
        <f t="shared" si="327"/>
        <v>1184.5600000000004</v>
      </c>
    </row>
    <row r="3481" spans="1:13" x14ac:dyDescent="0.25">
      <c r="A3481" s="1">
        <v>44844</v>
      </c>
      <c r="B3481" t="s">
        <v>25</v>
      </c>
      <c r="C3481" t="s">
        <v>15</v>
      </c>
      <c r="D3481" t="s">
        <v>17</v>
      </c>
      <c r="E3481">
        <v>1984.94</v>
      </c>
      <c r="F3481">
        <v>1007.52</v>
      </c>
      <c r="G3481">
        <v>3</v>
      </c>
      <c r="H3481">
        <f t="shared" si="324"/>
        <v>5954.82</v>
      </c>
      <c r="I3481">
        <f t="shared" si="328"/>
        <v>3022.56</v>
      </c>
      <c r="J3481">
        <f t="shared" si="325"/>
        <v>2932.2599999999998</v>
      </c>
      <c r="K3481" s="8">
        <f t="shared" si="326"/>
        <v>0.49241790683849385</v>
      </c>
      <c r="L3481" t="str">
        <f t="shared" si="329"/>
        <v>2022-10</v>
      </c>
      <c r="M3481">
        <f t="shared" si="327"/>
        <v>2932.2599999999998</v>
      </c>
    </row>
    <row r="3482" spans="1:13" x14ac:dyDescent="0.25">
      <c r="A3482" s="1">
        <v>44930</v>
      </c>
      <c r="B3482" t="s">
        <v>24</v>
      </c>
      <c r="C3482" t="s">
        <v>20</v>
      </c>
      <c r="D3482" t="s">
        <v>9</v>
      </c>
      <c r="E3482">
        <v>143.19</v>
      </c>
      <c r="F3482">
        <v>91.72</v>
      </c>
      <c r="G3482">
        <v>5</v>
      </c>
      <c r="H3482">
        <f t="shared" si="324"/>
        <v>715.95</v>
      </c>
      <c r="I3482">
        <f t="shared" si="328"/>
        <v>458.6</v>
      </c>
      <c r="J3482">
        <f t="shared" si="325"/>
        <v>257.35000000000002</v>
      </c>
      <c r="K3482" s="8">
        <f t="shared" si="326"/>
        <v>0.35945247573154548</v>
      </c>
      <c r="L3482" t="str">
        <f t="shared" si="329"/>
        <v>2023-01</v>
      </c>
      <c r="M3482">
        <f t="shared" si="327"/>
        <v>257.35000000000002</v>
      </c>
    </row>
    <row r="3483" spans="1:13" x14ac:dyDescent="0.25">
      <c r="A3483" s="1">
        <v>45589</v>
      </c>
      <c r="B3483" t="s">
        <v>14</v>
      </c>
      <c r="C3483" t="s">
        <v>15</v>
      </c>
      <c r="D3483" t="s">
        <v>13</v>
      </c>
      <c r="E3483">
        <v>947.41</v>
      </c>
      <c r="F3483">
        <v>699.03</v>
      </c>
      <c r="G3483">
        <v>4</v>
      </c>
      <c r="H3483">
        <f t="shared" si="324"/>
        <v>3789.64</v>
      </c>
      <c r="I3483">
        <f t="shared" si="328"/>
        <v>2796.12</v>
      </c>
      <c r="J3483">
        <f t="shared" si="325"/>
        <v>993.52</v>
      </c>
      <c r="K3483" s="8">
        <f t="shared" si="326"/>
        <v>0.26216738265376133</v>
      </c>
      <c r="L3483" t="str">
        <f t="shared" si="329"/>
        <v>2024-10</v>
      </c>
      <c r="M3483">
        <f t="shared" si="327"/>
        <v>993.52</v>
      </c>
    </row>
    <row r="3484" spans="1:13" x14ac:dyDescent="0.25">
      <c r="A3484" s="1">
        <v>44911</v>
      </c>
      <c r="B3484" t="s">
        <v>7</v>
      </c>
      <c r="C3484" t="s">
        <v>8</v>
      </c>
      <c r="D3484" t="s">
        <v>18</v>
      </c>
      <c r="E3484">
        <v>1693.95</v>
      </c>
      <c r="F3484">
        <v>1343.23</v>
      </c>
      <c r="G3484">
        <v>8</v>
      </c>
      <c r="H3484">
        <f t="shared" si="324"/>
        <v>13551.6</v>
      </c>
      <c r="I3484">
        <f t="shared" si="328"/>
        <v>10745.84</v>
      </c>
      <c r="J3484">
        <f t="shared" si="325"/>
        <v>2805.76</v>
      </c>
      <c r="K3484" s="8">
        <f t="shared" si="326"/>
        <v>0.20704271082381417</v>
      </c>
      <c r="L3484" t="str">
        <f t="shared" si="329"/>
        <v>2022-12</v>
      </c>
      <c r="M3484">
        <f t="shared" si="327"/>
        <v>2805.76</v>
      </c>
    </row>
    <row r="3485" spans="1:13" x14ac:dyDescent="0.25">
      <c r="A3485" s="1">
        <v>44643</v>
      </c>
      <c r="B3485" t="s">
        <v>21</v>
      </c>
      <c r="C3485" t="s">
        <v>20</v>
      </c>
      <c r="D3485" t="s">
        <v>9</v>
      </c>
      <c r="E3485">
        <v>734.13</v>
      </c>
      <c r="F3485">
        <v>448.97</v>
      </c>
      <c r="G3485">
        <v>4</v>
      </c>
      <c r="H3485">
        <f t="shared" si="324"/>
        <v>2936.52</v>
      </c>
      <c r="I3485">
        <f t="shared" si="328"/>
        <v>1795.88</v>
      </c>
      <c r="J3485">
        <f t="shared" si="325"/>
        <v>1140.6399999999999</v>
      </c>
      <c r="K3485" s="8">
        <f t="shared" si="326"/>
        <v>0.3884325664391865</v>
      </c>
      <c r="L3485" t="str">
        <f t="shared" si="329"/>
        <v>2022-03</v>
      </c>
      <c r="M3485">
        <f t="shared" si="327"/>
        <v>1140.6399999999999</v>
      </c>
    </row>
    <row r="3486" spans="1:13" x14ac:dyDescent="0.25">
      <c r="A3486" s="1">
        <v>44614</v>
      </c>
      <c r="B3486" t="s">
        <v>21</v>
      </c>
      <c r="C3486" t="s">
        <v>20</v>
      </c>
      <c r="D3486" t="s">
        <v>9</v>
      </c>
      <c r="E3486">
        <v>472.44</v>
      </c>
      <c r="F3486">
        <v>301.14999999999998</v>
      </c>
      <c r="G3486">
        <v>2</v>
      </c>
      <c r="H3486">
        <f t="shared" si="324"/>
        <v>944.88</v>
      </c>
      <c r="I3486">
        <f t="shared" si="328"/>
        <v>602.29999999999995</v>
      </c>
      <c r="J3486">
        <f t="shared" si="325"/>
        <v>342.58000000000004</v>
      </c>
      <c r="K3486" s="8">
        <f t="shared" si="326"/>
        <v>0.36256455846245028</v>
      </c>
      <c r="L3486" t="str">
        <f t="shared" si="329"/>
        <v>2022-02</v>
      </c>
      <c r="M3486">
        <f t="shared" si="327"/>
        <v>342.58000000000004</v>
      </c>
    </row>
    <row r="3487" spans="1:13" x14ac:dyDescent="0.25">
      <c r="A3487" s="1">
        <v>45556</v>
      </c>
      <c r="B3487" t="s">
        <v>16</v>
      </c>
      <c r="C3487" t="s">
        <v>15</v>
      </c>
      <c r="D3487" t="s">
        <v>13</v>
      </c>
      <c r="E3487">
        <v>1363.23</v>
      </c>
      <c r="F3487">
        <v>808.24</v>
      </c>
      <c r="G3487">
        <v>6</v>
      </c>
      <c r="H3487">
        <f t="shared" si="324"/>
        <v>8179.38</v>
      </c>
      <c r="I3487">
        <f t="shared" si="328"/>
        <v>4849.4400000000005</v>
      </c>
      <c r="J3487">
        <f t="shared" si="325"/>
        <v>3329.9399999999996</v>
      </c>
      <c r="K3487" s="8">
        <f t="shared" si="326"/>
        <v>0.40711398663468373</v>
      </c>
      <c r="L3487" t="str">
        <f t="shared" si="329"/>
        <v>2024-09</v>
      </c>
      <c r="M3487">
        <f t="shared" si="327"/>
        <v>3329.9399999999996</v>
      </c>
    </row>
    <row r="3488" spans="1:13" x14ac:dyDescent="0.25">
      <c r="A3488" s="1">
        <v>44751</v>
      </c>
      <c r="B3488" t="s">
        <v>16</v>
      </c>
      <c r="C3488" t="s">
        <v>15</v>
      </c>
      <c r="D3488" t="s">
        <v>9</v>
      </c>
      <c r="E3488">
        <v>1214.6400000000001</v>
      </c>
      <c r="F3488">
        <v>1014.33</v>
      </c>
      <c r="G3488">
        <v>4</v>
      </c>
      <c r="H3488">
        <f t="shared" si="324"/>
        <v>4858.5600000000004</v>
      </c>
      <c r="I3488">
        <f t="shared" si="328"/>
        <v>4057.32</v>
      </c>
      <c r="J3488">
        <f t="shared" si="325"/>
        <v>801.24000000000024</v>
      </c>
      <c r="K3488" s="8">
        <f t="shared" si="326"/>
        <v>0.16491306065994865</v>
      </c>
      <c r="L3488" t="str">
        <f t="shared" si="329"/>
        <v>2022-07</v>
      </c>
      <c r="M3488">
        <f t="shared" si="327"/>
        <v>801.24000000000024</v>
      </c>
    </row>
    <row r="3489" spans="1:13" x14ac:dyDescent="0.25">
      <c r="A3489" s="1">
        <v>44661</v>
      </c>
      <c r="B3489" t="s">
        <v>24</v>
      </c>
      <c r="C3489" t="s">
        <v>20</v>
      </c>
      <c r="D3489" t="s">
        <v>17</v>
      </c>
      <c r="E3489">
        <v>242.69</v>
      </c>
      <c r="F3489">
        <v>156.16999999999999</v>
      </c>
      <c r="G3489">
        <v>4</v>
      </c>
      <c r="H3489">
        <f t="shared" si="324"/>
        <v>970.76</v>
      </c>
      <c r="I3489">
        <f t="shared" si="328"/>
        <v>624.67999999999995</v>
      </c>
      <c r="J3489">
        <f t="shared" si="325"/>
        <v>346.08000000000004</v>
      </c>
      <c r="K3489" s="8">
        <f t="shared" si="326"/>
        <v>0.35650418229016445</v>
      </c>
      <c r="L3489" t="str">
        <f t="shared" si="329"/>
        <v>2022-04</v>
      </c>
      <c r="M3489">
        <f t="shared" si="327"/>
        <v>346.08000000000004</v>
      </c>
    </row>
    <row r="3490" spans="1:13" x14ac:dyDescent="0.25">
      <c r="A3490" s="1">
        <v>44902</v>
      </c>
      <c r="B3490" t="s">
        <v>24</v>
      </c>
      <c r="C3490" t="s">
        <v>20</v>
      </c>
      <c r="D3490" t="s">
        <v>17</v>
      </c>
      <c r="E3490">
        <v>981.71</v>
      </c>
      <c r="F3490">
        <v>729.44</v>
      </c>
      <c r="G3490">
        <v>7</v>
      </c>
      <c r="H3490">
        <f t="shared" si="324"/>
        <v>6871.97</v>
      </c>
      <c r="I3490">
        <f t="shared" si="328"/>
        <v>5106.08</v>
      </c>
      <c r="J3490">
        <f t="shared" si="325"/>
        <v>1765.8900000000003</v>
      </c>
      <c r="K3490" s="8">
        <f t="shared" si="326"/>
        <v>0.25696998095160489</v>
      </c>
      <c r="L3490" t="str">
        <f t="shared" si="329"/>
        <v>2022-12</v>
      </c>
      <c r="M3490">
        <f t="shared" si="327"/>
        <v>1765.8900000000003</v>
      </c>
    </row>
    <row r="3491" spans="1:13" x14ac:dyDescent="0.25">
      <c r="A3491" s="1">
        <v>45004</v>
      </c>
      <c r="B3491" t="s">
        <v>23</v>
      </c>
      <c r="C3491" t="s">
        <v>11</v>
      </c>
      <c r="D3491" t="s">
        <v>9</v>
      </c>
      <c r="E3491">
        <v>1549.83</v>
      </c>
      <c r="F3491">
        <v>1368.47</v>
      </c>
      <c r="G3491">
        <v>6</v>
      </c>
      <c r="H3491">
        <f t="shared" si="324"/>
        <v>9298.98</v>
      </c>
      <c r="I3491">
        <f t="shared" si="328"/>
        <v>8210.82</v>
      </c>
      <c r="J3491">
        <f t="shared" si="325"/>
        <v>1088.1599999999999</v>
      </c>
      <c r="K3491" s="8">
        <f t="shared" si="326"/>
        <v>0.11701928598620492</v>
      </c>
      <c r="L3491" t="str">
        <f t="shared" si="329"/>
        <v>2023-03</v>
      </c>
      <c r="M3491">
        <f t="shared" si="327"/>
        <v>1088.1599999999999</v>
      </c>
    </row>
    <row r="3492" spans="1:13" x14ac:dyDescent="0.25">
      <c r="A3492" s="1">
        <v>45453</v>
      </c>
      <c r="B3492" t="s">
        <v>12</v>
      </c>
      <c r="C3492" t="s">
        <v>8</v>
      </c>
      <c r="D3492" t="s">
        <v>13</v>
      </c>
      <c r="E3492">
        <v>1830.65</v>
      </c>
      <c r="F3492">
        <v>1531.97</v>
      </c>
      <c r="G3492">
        <v>1</v>
      </c>
      <c r="H3492">
        <f t="shared" si="324"/>
        <v>1830.65</v>
      </c>
      <c r="I3492">
        <f t="shared" si="328"/>
        <v>1531.97</v>
      </c>
      <c r="J3492">
        <f t="shared" si="325"/>
        <v>298.68000000000006</v>
      </c>
      <c r="K3492" s="8">
        <f t="shared" si="326"/>
        <v>0.16315516346652831</v>
      </c>
      <c r="L3492" t="str">
        <f t="shared" si="329"/>
        <v>2024-06</v>
      </c>
      <c r="M3492">
        <f t="shared" si="327"/>
        <v>298.68000000000006</v>
      </c>
    </row>
    <row r="3493" spans="1:13" x14ac:dyDescent="0.25">
      <c r="A3493" s="1">
        <v>45649</v>
      </c>
      <c r="B3493" t="s">
        <v>23</v>
      </c>
      <c r="C3493" t="s">
        <v>11</v>
      </c>
      <c r="D3493" t="s">
        <v>13</v>
      </c>
      <c r="E3493">
        <v>334.3</v>
      </c>
      <c r="F3493">
        <v>211.59</v>
      </c>
      <c r="G3493">
        <v>5</v>
      </c>
      <c r="H3493">
        <f t="shared" si="324"/>
        <v>1671.5</v>
      </c>
      <c r="I3493">
        <f t="shared" si="328"/>
        <v>1057.95</v>
      </c>
      <c r="J3493">
        <f t="shared" si="325"/>
        <v>613.54999999999995</v>
      </c>
      <c r="K3493" s="8">
        <f t="shared" si="326"/>
        <v>0.36706551002093923</v>
      </c>
      <c r="L3493" t="str">
        <f t="shared" si="329"/>
        <v>2024-12</v>
      </c>
      <c r="M3493">
        <f t="shared" si="327"/>
        <v>613.54999999999995</v>
      </c>
    </row>
    <row r="3494" spans="1:13" x14ac:dyDescent="0.25">
      <c r="A3494" s="1">
        <v>45004</v>
      </c>
      <c r="B3494" t="s">
        <v>22</v>
      </c>
      <c r="C3494" t="s">
        <v>8</v>
      </c>
      <c r="D3494" t="s">
        <v>9</v>
      </c>
      <c r="E3494">
        <v>1545.65</v>
      </c>
      <c r="F3494">
        <v>927.94</v>
      </c>
      <c r="G3494">
        <v>7</v>
      </c>
      <c r="H3494">
        <f t="shared" si="324"/>
        <v>10819.550000000001</v>
      </c>
      <c r="I3494">
        <f t="shared" si="328"/>
        <v>6495.58</v>
      </c>
      <c r="J3494">
        <f t="shared" si="325"/>
        <v>4323.9700000000012</v>
      </c>
      <c r="K3494" s="8">
        <f t="shared" si="326"/>
        <v>0.39964416265001784</v>
      </c>
      <c r="L3494" t="str">
        <f t="shared" si="329"/>
        <v>2023-03</v>
      </c>
      <c r="M3494">
        <f t="shared" si="327"/>
        <v>4323.9700000000012</v>
      </c>
    </row>
    <row r="3495" spans="1:13" x14ac:dyDescent="0.25">
      <c r="A3495" s="1">
        <v>45355</v>
      </c>
      <c r="B3495" t="s">
        <v>24</v>
      </c>
      <c r="C3495" t="s">
        <v>20</v>
      </c>
      <c r="D3495" t="s">
        <v>17</v>
      </c>
      <c r="E3495">
        <v>633.66</v>
      </c>
      <c r="F3495">
        <v>561.99</v>
      </c>
      <c r="G3495">
        <v>7</v>
      </c>
      <c r="H3495">
        <f t="shared" si="324"/>
        <v>4435.62</v>
      </c>
      <c r="I3495">
        <f t="shared" si="328"/>
        <v>3933.9300000000003</v>
      </c>
      <c r="J3495">
        <f t="shared" si="325"/>
        <v>501.6899999999996</v>
      </c>
      <c r="K3495" s="8">
        <f t="shared" si="326"/>
        <v>0.11310481961935415</v>
      </c>
      <c r="L3495" t="str">
        <f t="shared" si="329"/>
        <v>2024-03</v>
      </c>
      <c r="M3495">
        <f t="shared" si="327"/>
        <v>501.6899999999996</v>
      </c>
    </row>
    <row r="3496" spans="1:13" x14ac:dyDescent="0.25">
      <c r="A3496" s="1">
        <v>45609</v>
      </c>
      <c r="B3496" t="s">
        <v>19</v>
      </c>
      <c r="C3496" t="s">
        <v>20</v>
      </c>
      <c r="D3496" t="s">
        <v>9</v>
      </c>
      <c r="E3496">
        <v>1874.04</v>
      </c>
      <c r="F3496">
        <v>1609.23</v>
      </c>
      <c r="G3496">
        <v>1</v>
      </c>
      <c r="H3496">
        <f t="shared" si="324"/>
        <v>1874.04</v>
      </c>
      <c r="I3496">
        <f t="shared" si="328"/>
        <v>1609.23</v>
      </c>
      <c r="J3496">
        <f t="shared" si="325"/>
        <v>264.80999999999995</v>
      </c>
      <c r="K3496" s="8">
        <f t="shared" si="326"/>
        <v>0.14130434782608692</v>
      </c>
      <c r="L3496" t="str">
        <f t="shared" si="329"/>
        <v>2024-11</v>
      </c>
      <c r="M3496">
        <f t="shared" si="327"/>
        <v>264.80999999999995</v>
      </c>
    </row>
    <row r="3497" spans="1:13" x14ac:dyDescent="0.25">
      <c r="A3497" s="1">
        <v>45349</v>
      </c>
      <c r="B3497" t="s">
        <v>23</v>
      </c>
      <c r="C3497" t="s">
        <v>11</v>
      </c>
      <c r="D3497" t="s">
        <v>18</v>
      </c>
      <c r="E3497">
        <v>774.13</v>
      </c>
      <c r="F3497">
        <v>428.3</v>
      </c>
      <c r="G3497">
        <v>2</v>
      </c>
      <c r="H3497">
        <f t="shared" si="324"/>
        <v>1548.26</v>
      </c>
      <c r="I3497">
        <f t="shared" si="328"/>
        <v>856.6</v>
      </c>
      <c r="J3497">
        <f t="shared" si="325"/>
        <v>691.66</v>
      </c>
      <c r="K3497" s="8">
        <f t="shared" si="326"/>
        <v>0.44673375272886984</v>
      </c>
      <c r="L3497" t="str">
        <f t="shared" si="329"/>
        <v>2024-02</v>
      </c>
      <c r="M3497">
        <f t="shared" si="327"/>
        <v>691.66</v>
      </c>
    </row>
    <row r="3498" spans="1:13" x14ac:dyDescent="0.25">
      <c r="A3498" s="1">
        <v>45389</v>
      </c>
      <c r="B3498" t="s">
        <v>14</v>
      </c>
      <c r="C3498" t="s">
        <v>15</v>
      </c>
      <c r="D3498" t="s">
        <v>17</v>
      </c>
      <c r="E3498">
        <v>975.76</v>
      </c>
      <c r="F3498">
        <v>827.35</v>
      </c>
      <c r="G3498">
        <v>8</v>
      </c>
      <c r="H3498">
        <f t="shared" si="324"/>
        <v>7806.08</v>
      </c>
      <c r="I3498">
        <f t="shared" si="328"/>
        <v>6618.8</v>
      </c>
      <c r="J3498">
        <f t="shared" si="325"/>
        <v>1187.2799999999997</v>
      </c>
      <c r="K3498" s="8">
        <f t="shared" si="326"/>
        <v>0.15209682708862832</v>
      </c>
      <c r="L3498" t="str">
        <f t="shared" si="329"/>
        <v>2024-04</v>
      </c>
      <c r="M3498">
        <f t="shared" si="327"/>
        <v>1187.2799999999997</v>
      </c>
    </row>
    <row r="3499" spans="1:13" x14ac:dyDescent="0.25">
      <c r="A3499" s="1">
        <v>45406</v>
      </c>
      <c r="B3499" t="s">
        <v>14</v>
      </c>
      <c r="C3499" t="s">
        <v>15</v>
      </c>
      <c r="D3499" t="s">
        <v>9</v>
      </c>
      <c r="E3499">
        <v>1117.72</v>
      </c>
      <c r="F3499">
        <v>767.61</v>
      </c>
      <c r="G3499">
        <v>9</v>
      </c>
      <c r="H3499">
        <f t="shared" si="324"/>
        <v>10059.48</v>
      </c>
      <c r="I3499">
        <f t="shared" si="328"/>
        <v>6908.49</v>
      </c>
      <c r="J3499">
        <f t="shared" si="325"/>
        <v>3150.99</v>
      </c>
      <c r="K3499" s="8">
        <f t="shared" si="326"/>
        <v>0.31323587302723399</v>
      </c>
      <c r="L3499" t="str">
        <f t="shared" si="329"/>
        <v>2024-04</v>
      </c>
      <c r="M3499">
        <f t="shared" si="327"/>
        <v>3150.99</v>
      </c>
    </row>
    <row r="3500" spans="1:13" x14ac:dyDescent="0.25">
      <c r="A3500" s="1">
        <v>45050</v>
      </c>
      <c r="B3500" t="s">
        <v>25</v>
      </c>
      <c r="C3500" t="s">
        <v>15</v>
      </c>
      <c r="D3500" t="s">
        <v>18</v>
      </c>
      <c r="E3500">
        <v>1538.85</v>
      </c>
      <c r="F3500">
        <v>1277.06</v>
      </c>
      <c r="G3500">
        <v>3</v>
      </c>
      <c r="H3500">
        <f t="shared" si="324"/>
        <v>4616.5499999999993</v>
      </c>
      <c r="I3500">
        <f t="shared" si="328"/>
        <v>3831.18</v>
      </c>
      <c r="J3500">
        <f t="shared" si="325"/>
        <v>785.36999999999944</v>
      </c>
      <c r="K3500" s="8">
        <f t="shared" si="326"/>
        <v>0.17012054456249787</v>
      </c>
      <c r="L3500" t="str">
        <f t="shared" si="329"/>
        <v>2023-05</v>
      </c>
      <c r="M3500">
        <f t="shared" si="327"/>
        <v>785.36999999999944</v>
      </c>
    </row>
    <row r="3501" spans="1:13" x14ac:dyDescent="0.25">
      <c r="A3501" s="1">
        <v>44860</v>
      </c>
      <c r="B3501" t="s">
        <v>23</v>
      </c>
      <c r="C3501" t="s">
        <v>11</v>
      </c>
      <c r="D3501" t="s">
        <v>18</v>
      </c>
      <c r="E3501">
        <v>68.06</v>
      </c>
      <c r="F3501">
        <v>34.270000000000003</v>
      </c>
      <c r="G3501">
        <v>3</v>
      </c>
      <c r="H3501">
        <f t="shared" si="324"/>
        <v>204.18</v>
      </c>
      <c r="I3501">
        <f t="shared" si="328"/>
        <v>102.81</v>
      </c>
      <c r="J3501">
        <f t="shared" si="325"/>
        <v>101.37</v>
      </c>
      <c r="K3501" s="8">
        <f t="shared" si="326"/>
        <v>0.49647369967675581</v>
      </c>
      <c r="L3501" t="str">
        <f t="shared" si="329"/>
        <v>2022-10</v>
      </c>
      <c r="M3501">
        <f t="shared" si="327"/>
        <v>101.37</v>
      </c>
    </row>
  </sheetData>
  <conditionalFormatting sqref="M1:M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Sales by category</vt:lpstr>
      <vt:lpstr>Margin analysis</vt:lpstr>
      <vt:lpstr>monthly sales trend</vt:lpstr>
      <vt:lpstr>TOP 10 Product</vt:lpstr>
      <vt:lpstr>Units by Category</vt:lpstr>
      <vt:lpstr>Profitability</vt:lpstr>
      <vt:lpstr>Analist „ABC”</vt:lpstr>
      <vt:lpstr>Top_Categories</vt:lpstr>
      <vt:lpstr>Region_Profit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 Gmuzdek</cp:lastModifiedBy>
  <dcterms:created xsi:type="dcterms:W3CDTF">2025-12-01T18:52:31Z</dcterms:created>
  <dcterms:modified xsi:type="dcterms:W3CDTF">2025-12-13T16:29:53Z</dcterms:modified>
</cp:coreProperties>
</file>